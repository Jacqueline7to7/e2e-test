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jacqueline_yang_wppmedia_com/Documents/桌面/"/>
    </mc:Choice>
  </mc:AlternateContent>
  <xr:revisionPtr revIDLastSave="1" documentId="13_ncr:1_{5AA05451-5345-4F55-8074-57E6F37789E3}" xr6:coauthVersionLast="47" xr6:coauthVersionMax="47" xr10:uidLastSave="{05A09C16-00F1-4F48-A613-14EC531E7532}"/>
  <bookViews>
    <workbookView xWindow="-110" yWindow="-110" windowWidth="19420" windowHeight="10300" xr2:uid="{31D0BDD4-51EB-4809-A1F8-46903AFB389E}"/>
  </bookViews>
  <sheets>
    <sheet name="Summary" sheetId="3" r:id="rId1"/>
    <sheet name="品牌A" sheetId="9" r:id="rId2"/>
    <sheet name="品牌B" sheetId="13" r:id="rId3"/>
    <sheet name="品牌C" sheetId="7" r:id="rId4"/>
    <sheet name="品牌D" sheetId="8" r:id="rId5"/>
    <sheet name="品牌E" sheetId="10" r:id="rId6"/>
  </sheets>
  <definedNames>
    <definedName name="______________________________________________KE8" hidden="1">#REF!</definedName>
    <definedName name="______________________________________________key11" hidden="1">#REF!</definedName>
    <definedName name="______________________________________________key12" hidden="1">#REF!</definedName>
    <definedName name="______________________________________________KEY123" hidden="1">#REF!</definedName>
    <definedName name="______________________________________________KEY3" hidden="1">#REF!</definedName>
    <definedName name="______________________________________________KEY4" hidden="1">#REF!</definedName>
    <definedName name="______________________________________________KEY5" hidden="1">#REF!</definedName>
    <definedName name="______________________________________________KEY6" hidden="1">#REF!</definedName>
    <definedName name="_____________________________________________KE8" hidden="1">#REF!</definedName>
    <definedName name="_____________________________________________key11" hidden="1">#REF!</definedName>
    <definedName name="_____________________________________________key12" hidden="1">#REF!</definedName>
    <definedName name="_____________________________________________KEY123" hidden="1">#REF!</definedName>
    <definedName name="_____________________________________________KEY3" hidden="1">#REF!</definedName>
    <definedName name="_____________________________________________KEY4" hidden="1">#REF!</definedName>
    <definedName name="_____________________________________________KEY5" hidden="1">#REF!</definedName>
    <definedName name="_____________________________________________KEY6" hidden="1">#REF!</definedName>
    <definedName name="____________________________________________key2" hidden="1">#REF!</definedName>
    <definedName name="____________________________________________KEY7" hidden="1">#REF!</definedName>
    <definedName name="____________________________________________key8" hidden="1">#REF!</definedName>
    <definedName name="____________________________________________KEY90" hidden="1">#REF!</definedName>
    <definedName name="___________________________________________KE8" hidden="1">#REF!</definedName>
    <definedName name="___________________________________________key11" hidden="1">#REF!</definedName>
    <definedName name="___________________________________________key12" hidden="1">#REF!</definedName>
    <definedName name="___________________________________________KEY123" hidden="1">#REF!</definedName>
    <definedName name="___________________________________________key2" hidden="1">#REF!</definedName>
    <definedName name="___________________________________________KEY3" hidden="1">#REF!</definedName>
    <definedName name="___________________________________________KEY4" hidden="1">#REF!</definedName>
    <definedName name="___________________________________________KEY5" hidden="1">#REF!</definedName>
    <definedName name="___________________________________________KEY6" hidden="1">#REF!</definedName>
    <definedName name="___________________________________________KEY7" hidden="1">#REF!</definedName>
    <definedName name="___________________________________________key8" hidden="1">#REF!</definedName>
    <definedName name="___________________________________________KEY90" hidden="1">#REF!</definedName>
    <definedName name="__________________________________________KE8" hidden="1">#REF!</definedName>
    <definedName name="__________________________________________key11" hidden="1">#REF!</definedName>
    <definedName name="__________________________________________key12" hidden="1">#REF!</definedName>
    <definedName name="__________________________________________KEY123" hidden="1">#REF!</definedName>
    <definedName name="__________________________________________key2" hidden="1">#REF!</definedName>
    <definedName name="__________________________________________KEY3" hidden="1">#REF!</definedName>
    <definedName name="__________________________________________KEY4" hidden="1">#REF!</definedName>
    <definedName name="__________________________________________KEY5" hidden="1">#REF!</definedName>
    <definedName name="__________________________________________KEY6" hidden="1">#REF!</definedName>
    <definedName name="__________________________________________KEY7" hidden="1">#REF!</definedName>
    <definedName name="__________________________________________key8" hidden="1">#REF!</definedName>
    <definedName name="__________________________________________KEY90" hidden="1">#REF!</definedName>
    <definedName name="_________________________________________KE8" hidden="1">#REF!</definedName>
    <definedName name="_________________________________________key11" hidden="1">#REF!</definedName>
    <definedName name="_________________________________________key12" hidden="1">#REF!</definedName>
    <definedName name="_________________________________________KEY123" hidden="1">#REF!</definedName>
    <definedName name="_________________________________________key2" hidden="1">#REF!</definedName>
    <definedName name="_________________________________________KEY3" hidden="1">#REF!</definedName>
    <definedName name="_________________________________________KEY4" hidden="1">#REF!</definedName>
    <definedName name="_________________________________________KEY5" hidden="1">#REF!</definedName>
    <definedName name="_________________________________________KEY6" hidden="1">#REF!</definedName>
    <definedName name="_________________________________________KEY7" hidden="1">#REF!</definedName>
    <definedName name="_________________________________________key8" hidden="1">#REF!</definedName>
    <definedName name="_________________________________________KEY90" hidden="1">#REF!</definedName>
    <definedName name="________________________________________KE8" hidden="1">#REF!</definedName>
    <definedName name="________________________________________key11" hidden="1">#REF!</definedName>
    <definedName name="________________________________________key12" hidden="1">#REF!</definedName>
    <definedName name="________________________________________KEY123" hidden="1">#REF!</definedName>
    <definedName name="________________________________________key2" hidden="1">#REF!</definedName>
    <definedName name="________________________________________KEY3" hidden="1">#REF!</definedName>
    <definedName name="________________________________________KEY4" hidden="1">#REF!</definedName>
    <definedName name="________________________________________KEY5" hidden="1">#REF!</definedName>
    <definedName name="________________________________________KEY6" hidden="1">#REF!</definedName>
    <definedName name="________________________________________KEY7" hidden="1">#REF!</definedName>
    <definedName name="________________________________________key8" hidden="1">#REF!</definedName>
    <definedName name="________________________________________KEY90" hidden="1">#REF!</definedName>
    <definedName name="_______________________________________KE8" hidden="1">#REF!</definedName>
    <definedName name="_______________________________________key11" hidden="1">#REF!</definedName>
    <definedName name="_______________________________________key12" hidden="1">#REF!</definedName>
    <definedName name="_______________________________________KEY123" hidden="1">#REF!</definedName>
    <definedName name="_______________________________________key2" hidden="1">#REF!</definedName>
    <definedName name="_______________________________________KEY3" hidden="1">#REF!</definedName>
    <definedName name="_______________________________________KEY4" hidden="1">#REF!</definedName>
    <definedName name="_______________________________________KEY5" hidden="1">#REF!</definedName>
    <definedName name="_______________________________________KEY6" hidden="1">#REF!</definedName>
    <definedName name="_______________________________________KEY7" hidden="1">#REF!</definedName>
    <definedName name="_______________________________________key8" hidden="1">#REF!</definedName>
    <definedName name="_______________________________________KEY90" hidden="1">#REF!</definedName>
    <definedName name="______________________________________KE8" hidden="1">#REF!</definedName>
    <definedName name="______________________________________key11" hidden="1">#REF!</definedName>
    <definedName name="______________________________________key12" hidden="1">#REF!</definedName>
    <definedName name="______________________________________KEY123" hidden="1">#REF!</definedName>
    <definedName name="______________________________________key2" hidden="1">#REF!</definedName>
    <definedName name="______________________________________KEY3" hidden="1">#REF!</definedName>
    <definedName name="______________________________________KEY4" hidden="1">#REF!</definedName>
    <definedName name="______________________________________KEY5" hidden="1">#REF!</definedName>
    <definedName name="______________________________________KEY6" hidden="1">#REF!</definedName>
    <definedName name="______________________________________KEY7" hidden="1">#REF!</definedName>
    <definedName name="______________________________________key8" hidden="1">#REF!</definedName>
    <definedName name="______________________________________KEY90" hidden="1">#REF!</definedName>
    <definedName name="_____________________________________KE8" hidden="1">#REF!</definedName>
    <definedName name="_____________________________________key11" hidden="1">#REF!</definedName>
    <definedName name="_____________________________________key12" hidden="1">#REF!</definedName>
    <definedName name="_____________________________________KEY123" hidden="1">#REF!</definedName>
    <definedName name="_____________________________________key2" hidden="1">#REF!</definedName>
    <definedName name="_____________________________________KEY3" hidden="1">#REF!</definedName>
    <definedName name="_____________________________________KEY4" hidden="1">#REF!</definedName>
    <definedName name="_____________________________________KEY5" hidden="1">#REF!</definedName>
    <definedName name="_____________________________________KEY6" hidden="1">#REF!</definedName>
    <definedName name="_____________________________________KEY7" hidden="1">#REF!</definedName>
    <definedName name="_____________________________________key8" hidden="1">#REF!</definedName>
    <definedName name="_____________________________________KEY90" hidden="1">#REF!</definedName>
    <definedName name="____________________________________KE8" hidden="1">#REF!</definedName>
    <definedName name="____________________________________key11" hidden="1">#REF!</definedName>
    <definedName name="____________________________________key12" hidden="1">#REF!</definedName>
    <definedName name="____________________________________KEY123" hidden="1">#REF!</definedName>
    <definedName name="____________________________________key2" hidden="1">#REF!</definedName>
    <definedName name="____________________________________KEY3" hidden="1">#REF!</definedName>
    <definedName name="____________________________________KEY4" hidden="1">#REF!</definedName>
    <definedName name="____________________________________KEY5" hidden="1">#REF!</definedName>
    <definedName name="____________________________________KEY6" hidden="1">#REF!</definedName>
    <definedName name="____________________________________KEY7" hidden="1">#REF!</definedName>
    <definedName name="____________________________________key8" hidden="1">#REF!</definedName>
    <definedName name="____________________________________KEY90" hidden="1">#REF!</definedName>
    <definedName name="___________________________________KE8" hidden="1">#REF!</definedName>
    <definedName name="___________________________________key11" hidden="1">#REF!</definedName>
    <definedName name="___________________________________key12" hidden="1">#REF!</definedName>
    <definedName name="___________________________________KEY123" hidden="1">#REF!</definedName>
    <definedName name="___________________________________key2" hidden="1">#REF!</definedName>
    <definedName name="___________________________________KEY3" hidden="1">#REF!</definedName>
    <definedName name="___________________________________KEY4" hidden="1">#REF!</definedName>
    <definedName name="___________________________________KEY5" hidden="1">#REF!</definedName>
    <definedName name="___________________________________KEY6" hidden="1">#REF!</definedName>
    <definedName name="___________________________________KEY7" hidden="1">#REF!</definedName>
    <definedName name="___________________________________key8" hidden="1">#REF!</definedName>
    <definedName name="___________________________________KEY90" hidden="1">#REF!</definedName>
    <definedName name="__________________________________KE8" hidden="1">#REF!</definedName>
    <definedName name="__________________________________key11" hidden="1">#REF!</definedName>
    <definedName name="__________________________________key12" hidden="1">#REF!</definedName>
    <definedName name="__________________________________KEY123" hidden="1">#REF!</definedName>
    <definedName name="__________________________________key2" hidden="1">#REF!</definedName>
    <definedName name="__________________________________KEY3" hidden="1">#REF!</definedName>
    <definedName name="__________________________________KEY4" hidden="1">#REF!</definedName>
    <definedName name="__________________________________KEY5" hidden="1">#REF!</definedName>
    <definedName name="__________________________________KEY6" hidden="1">#REF!</definedName>
    <definedName name="__________________________________KEY7" hidden="1">#REF!</definedName>
    <definedName name="__________________________________key8" hidden="1">#REF!</definedName>
    <definedName name="__________________________________KEY90" hidden="1">#REF!</definedName>
    <definedName name="_________________________________KE8" hidden="1">#REF!</definedName>
    <definedName name="_________________________________key11" hidden="1">#REF!</definedName>
    <definedName name="_________________________________key12" hidden="1">#REF!</definedName>
    <definedName name="_________________________________KEY123" hidden="1">#REF!</definedName>
    <definedName name="_________________________________key2" hidden="1">#REF!</definedName>
    <definedName name="_________________________________KEY3" hidden="1">#REF!</definedName>
    <definedName name="_________________________________KEY4" hidden="1">#REF!</definedName>
    <definedName name="_________________________________KEY5" hidden="1">#REF!</definedName>
    <definedName name="_________________________________KEY6" hidden="1">#REF!</definedName>
    <definedName name="_________________________________KEY7" hidden="1">#REF!</definedName>
    <definedName name="_________________________________key8" hidden="1">#REF!</definedName>
    <definedName name="_________________________________KEY90" hidden="1">#REF!</definedName>
    <definedName name="________________________________KE8" hidden="1">#REF!</definedName>
    <definedName name="________________________________key11" hidden="1">#REF!</definedName>
    <definedName name="________________________________key12" hidden="1">#REF!</definedName>
    <definedName name="________________________________KEY123" hidden="1">#REF!</definedName>
    <definedName name="________________________________key2" hidden="1">#REF!</definedName>
    <definedName name="________________________________KEY3" hidden="1">#REF!</definedName>
    <definedName name="________________________________KEY4" hidden="1">#REF!</definedName>
    <definedName name="________________________________KEY5" hidden="1">#REF!</definedName>
    <definedName name="________________________________KEY6" hidden="1">#REF!</definedName>
    <definedName name="________________________________KEY7" hidden="1">#REF!</definedName>
    <definedName name="________________________________key8" hidden="1">#REF!</definedName>
    <definedName name="________________________________KEY90" hidden="1">#REF!</definedName>
    <definedName name="_______________________________KE8" hidden="1">#REF!</definedName>
    <definedName name="_______________________________key11" hidden="1">#REF!</definedName>
    <definedName name="_______________________________key12" hidden="1">#REF!</definedName>
    <definedName name="_______________________________KEY123" hidden="1">#REF!</definedName>
    <definedName name="_______________________________key2" hidden="1">#REF!</definedName>
    <definedName name="_______________________________KEY3" hidden="1">#REF!</definedName>
    <definedName name="_______________________________KEY4" hidden="1">#REF!</definedName>
    <definedName name="_______________________________KEY5" hidden="1">#REF!</definedName>
    <definedName name="_______________________________KEY6" hidden="1">#REF!</definedName>
    <definedName name="_______________________________KEY7" hidden="1">#REF!</definedName>
    <definedName name="_______________________________key8" hidden="1">#REF!</definedName>
    <definedName name="_______________________________KEY90" hidden="1">#REF!</definedName>
    <definedName name="______________________________KE8" hidden="1">#REF!</definedName>
    <definedName name="______________________________key11" hidden="1">#REF!</definedName>
    <definedName name="______________________________key12" hidden="1">#REF!</definedName>
    <definedName name="______________________________KEY123" hidden="1">#REF!</definedName>
    <definedName name="______________________________key2" hidden="1">#REF!</definedName>
    <definedName name="______________________________KEY3" hidden="1">#REF!</definedName>
    <definedName name="______________________________KEY4" hidden="1">#REF!</definedName>
    <definedName name="______________________________KEY5" hidden="1">#REF!</definedName>
    <definedName name="______________________________KEY6" hidden="1">#REF!</definedName>
    <definedName name="______________________________KEY7" hidden="1">#REF!</definedName>
    <definedName name="______________________________key8" hidden="1">#REF!</definedName>
    <definedName name="______________________________KEY90" hidden="1">#REF!</definedName>
    <definedName name="_____________________________KE8" hidden="1">#REF!</definedName>
    <definedName name="_____________________________key11" hidden="1">#REF!</definedName>
    <definedName name="_____________________________key12" hidden="1">#REF!</definedName>
    <definedName name="_____________________________KEY123" hidden="1">#REF!</definedName>
    <definedName name="_____________________________key2" hidden="1">#REF!</definedName>
    <definedName name="_____________________________KEY3" hidden="1">#REF!</definedName>
    <definedName name="_____________________________KEY4" hidden="1">#REF!</definedName>
    <definedName name="_____________________________KEY5" hidden="1">#REF!</definedName>
    <definedName name="_____________________________KEY6" hidden="1">#REF!</definedName>
    <definedName name="_____________________________KEY7" hidden="1">#REF!</definedName>
    <definedName name="_____________________________key8" hidden="1">#REF!</definedName>
    <definedName name="_____________________________KEY90" hidden="1">#REF!</definedName>
    <definedName name="____________________________KE8" hidden="1">#REF!</definedName>
    <definedName name="____________________________key11" hidden="1">#REF!</definedName>
    <definedName name="____________________________key12" hidden="1">#REF!</definedName>
    <definedName name="____________________________KEY123" hidden="1">#REF!</definedName>
    <definedName name="____________________________key2" hidden="1">#REF!</definedName>
    <definedName name="____________________________KEY3" hidden="1">#REF!</definedName>
    <definedName name="____________________________KEY4" hidden="1">#REF!</definedName>
    <definedName name="____________________________KEY5" hidden="1">#REF!</definedName>
    <definedName name="____________________________KEY6" hidden="1">#REF!</definedName>
    <definedName name="____________________________KEY7" hidden="1">#REF!</definedName>
    <definedName name="____________________________key8" hidden="1">#REF!</definedName>
    <definedName name="____________________________KEY90" hidden="1">#REF!</definedName>
    <definedName name="___________________________KE8" hidden="1">#REF!</definedName>
    <definedName name="___________________________key11" hidden="1">#REF!</definedName>
    <definedName name="___________________________key12" hidden="1">#REF!</definedName>
    <definedName name="___________________________KEY123" hidden="1">#REF!</definedName>
    <definedName name="___________________________key2" hidden="1">#REF!</definedName>
    <definedName name="___________________________KEY3" hidden="1">#REF!</definedName>
    <definedName name="___________________________KEY4" hidden="1">#REF!</definedName>
    <definedName name="___________________________KEY5" hidden="1">#REF!</definedName>
    <definedName name="___________________________KEY6" hidden="1">#REF!</definedName>
    <definedName name="___________________________KEY7" hidden="1">#REF!</definedName>
    <definedName name="___________________________key8" hidden="1">#REF!</definedName>
    <definedName name="___________________________KEY90" hidden="1">#REF!</definedName>
    <definedName name="__________________________KE8" hidden="1">#REF!</definedName>
    <definedName name="__________________________key11" hidden="1">#REF!</definedName>
    <definedName name="__________________________key12" hidden="1">#REF!</definedName>
    <definedName name="__________________________KEY123" hidden="1">#REF!</definedName>
    <definedName name="__________________________key2" hidden="1">#REF!</definedName>
    <definedName name="__________________________KEY3" hidden="1">#REF!</definedName>
    <definedName name="__________________________KEY4" hidden="1">#REF!</definedName>
    <definedName name="__________________________KEY5" hidden="1">#REF!</definedName>
    <definedName name="__________________________KEY6" hidden="1">#REF!</definedName>
    <definedName name="__________________________KEY7" hidden="1">#REF!</definedName>
    <definedName name="__________________________key8" hidden="1">#REF!</definedName>
    <definedName name="__________________________KEY90" hidden="1">#REF!</definedName>
    <definedName name="_________________________KE8" hidden="1">#REF!</definedName>
    <definedName name="_________________________key11" hidden="1">#REF!</definedName>
    <definedName name="_________________________key12" hidden="1">#REF!</definedName>
    <definedName name="_________________________KEY123" hidden="1">#REF!</definedName>
    <definedName name="_________________________key2" hidden="1">#REF!</definedName>
    <definedName name="_________________________KEY3" hidden="1">#REF!</definedName>
    <definedName name="_________________________KEY4" hidden="1">#REF!</definedName>
    <definedName name="_________________________KEY5" hidden="1">#REF!</definedName>
    <definedName name="_________________________KEY6" hidden="1">#REF!</definedName>
    <definedName name="_________________________KEY7" hidden="1">#REF!</definedName>
    <definedName name="_________________________key8" hidden="1">#REF!</definedName>
    <definedName name="_________________________KEY90" hidden="1">#REF!</definedName>
    <definedName name="________________________KE8" hidden="1">#REF!</definedName>
    <definedName name="________________________key11" hidden="1">#REF!</definedName>
    <definedName name="________________________key12" hidden="1">#REF!</definedName>
    <definedName name="________________________KEY123" hidden="1">#REF!</definedName>
    <definedName name="________________________key2" hidden="1">#REF!</definedName>
    <definedName name="________________________KEY3" hidden="1">#REF!</definedName>
    <definedName name="________________________KEY4" hidden="1">#REF!</definedName>
    <definedName name="________________________KEY5" hidden="1">#REF!</definedName>
    <definedName name="________________________KEY6" hidden="1">#REF!</definedName>
    <definedName name="________________________KEY7" hidden="1">#REF!</definedName>
    <definedName name="________________________key8" hidden="1">#REF!</definedName>
    <definedName name="________________________KEY90" hidden="1">#REF!</definedName>
    <definedName name="_______________________KE8" hidden="1">#REF!</definedName>
    <definedName name="_______________________key11" hidden="1">#REF!</definedName>
    <definedName name="_______________________key12" hidden="1">#REF!</definedName>
    <definedName name="_______________________KEY123" hidden="1">#REF!</definedName>
    <definedName name="_______________________key2" hidden="1">#REF!</definedName>
    <definedName name="_______________________KEY3" hidden="1">#REF!</definedName>
    <definedName name="_______________________KEY4" hidden="1">#REF!</definedName>
    <definedName name="_______________________KEY5" hidden="1">#REF!</definedName>
    <definedName name="_______________________KEY6" hidden="1">#REF!</definedName>
    <definedName name="_______________________KEY7" hidden="1">#REF!</definedName>
    <definedName name="_______________________key8" hidden="1">#REF!</definedName>
    <definedName name="_______________________KEY90" hidden="1">#REF!</definedName>
    <definedName name="______________________KE8" hidden="1">#REF!</definedName>
    <definedName name="______________________key11" hidden="1">#REF!</definedName>
    <definedName name="______________________key12" hidden="1">#REF!</definedName>
    <definedName name="______________________KEY123" hidden="1">#REF!</definedName>
    <definedName name="______________________key2" hidden="1">#REF!</definedName>
    <definedName name="______________________KEY3" hidden="1">#REF!</definedName>
    <definedName name="______________________KEY4" hidden="1">#REF!</definedName>
    <definedName name="______________________KEY5" hidden="1">#REF!</definedName>
    <definedName name="______________________KEY6" hidden="1">#REF!</definedName>
    <definedName name="______________________KEY7" hidden="1">#REF!</definedName>
    <definedName name="______________________key8" hidden="1">#REF!</definedName>
    <definedName name="______________________KEY90" hidden="1">#REF!</definedName>
    <definedName name="_____________________KE8" hidden="1">#REF!</definedName>
    <definedName name="_____________________key11" hidden="1">#REF!</definedName>
    <definedName name="_____________________key12" hidden="1">#REF!</definedName>
    <definedName name="_____________________KEY123" hidden="1">#REF!</definedName>
    <definedName name="_____________________key2" hidden="1">#REF!</definedName>
    <definedName name="_____________________KEY3" hidden="1">#REF!</definedName>
    <definedName name="_____________________KEY4" hidden="1">#REF!</definedName>
    <definedName name="_____________________KEY5" hidden="1">#REF!</definedName>
    <definedName name="_____________________KEY6" hidden="1">#REF!</definedName>
    <definedName name="_____________________KEY7" hidden="1">#REF!</definedName>
    <definedName name="_____________________key8" hidden="1">#REF!</definedName>
    <definedName name="_____________________KEY90" hidden="1">#REF!</definedName>
    <definedName name="____________________KE8" hidden="1">#REF!</definedName>
    <definedName name="____________________key11" hidden="1">#REF!</definedName>
    <definedName name="____________________key12" hidden="1">#REF!</definedName>
    <definedName name="____________________KEY123" hidden="1">#REF!</definedName>
    <definedName name="____________________key2" hidden="1">#REF!</definedName>
    <definedName name="____________________KEY3" hidden="1">#REF!</definedName>
    <definedName name="____________________KEY4" hidden="1">#REF!</definedName>
    <definedName name="____________________KEY5" hidden="1">#REF!</definedName>
    <definedName name="____________________KEY6" hidden="1">#REF!</definedName>
    <definedName name="____________________KEY7" hidden="1">#REF!</definedName>
    <definedName name="____________________key8" hidden="1">#REF!</definedName>
    <definedName name="____________________KEY90" hidden="1">#REF!</definedName>
    <definedName name="___________________KE8" hidden="1">#REF!</definedName>
    <definedName name="___________________key11" hidden="1">#REF!</definedName>
    <definedName name="___________________key12" hidden="1">#REF!</definedName>
    <definedName name="___________________KEY123" hidden="1">#REF!</definedName>
    <definedName name="___________________key2" hidden="1">#REF!</definedName>
    <definedName name="___________________KEY3" hidden="1">#REF!</definedName>
    <definedName name="___________________KEY4" hidden="1">#REF!</definedName>
    <definedName name="___________________KEY5" hidden="1">#REF!</definedName>
    <definedName name="___________________KEY6" hidden="1">#REF!</definedName>
    <definedName name="___________________KEY7" hidden="1">#REF!</definedName>
    <definedName name="___________________key8" hidden="1">#REF!</definedName>
    <definedName name="___________________KEY90" hidden="1">#REF!</definedName>
    <definedName name="______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KE8" hidden="1">#REF!</definedName>
    <definedName name="__________________key11" hidden="1">#REF!</definedName>
    <definedName name="__________________key12" hidden="1">#REF!</definedName>
    <definedName name="__________________KEY123" hidden="1">#REF!</definedName>
    <definedName name="__________________key2" hidden="1">#REF!</definedName>
    <definedName name="__________________KEY3" hidden="1">#REF!</definedName>
    <definedName name="__________________KEY4" hidden="1">#REF!</definedName>
    <definedName name="__________________KEY5" hidden="1">#REF!</definedName>
    <definedName name="__________________KEY6" hidden="1">#REF!</definedName>
    <definedName name="__________________KEY7" hidden="1">#REF!</definedName>
    <definedName name="__________________key8" hidden="1">#REF!</definedName>
    <definedName name="__________________KEY90" hidden="1">#REF!</definedName>
    <definedName name="_____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KE8" hidden="1">#REF!</definedName>
    <definedName name="_________________key11" hidden="1">#REF!</definedName>
    <definedName name="_________________key12" hidden="1">#REF!</definedName>
    <definedName name="_________________KEY123" hidden="1">#REF!</definedName>
    <definedName name="_________________key2" hidden="1">#REF!</definedName>
    <definedName name="_________________KEY3" hidden="1">#REF!</definedName>
    <definedName name="_________________KEY4" hidden="1">#REF!</definedName>
    <definedName name="_________________KEY5" hidden="1">#REF!</definedName>
    <definedName name="_________________KEY6" hidden="1">#REF!</definedName>
    <definedName name="_________________KEY7" hidden="1">#REF!</definedName>
    <definedName name="_________________key8" hidden="1">#REF!</definedName>
    <definedName name="_________________KEY90" hidden="1">#REF!</definedName>
    <definedName name="_________________q1" localSheetId="1" hidden="1">{#N/A,#N/A,FALSE,"elraw";#N/A,#N/A,FALSE,"clraw ";#N/A,#N/A,FALSE,"pxraw ";#N/A,#N/A,FALSE,"arraw ";#N/A,#N/A,FALSE,"orraw ";#N/A,#N/A,FALSE,"90raw  ";#N/A,#N/A,FALSE,"dcraw   "}</definedName>
    <definedName name="_________________q1" localSheetId="3" hidden="1">{#N/A,#N/A,FALSE,"elraw";#N/A,#N/A,FALSE,"clraw ";#N/A,#N/A,FALSE,"pxraw ";#N/A,#N/A,FALSE,"arraw ";#N/A,#N/A,FALSE,"orraw ";#N/A,#N/A,FALSE,"90raw  ";#N/A,#N/A,FALSE,"dcraw   "}</definedName>
    <definedName name="_________________q1" localSheetId="4" hidden="1">{#N/A,#N/A,FALSE,"elraw";#N/A,#N/A,FALSE,"clraw ";#N/A,#N/A,FALSE,"pxraw ";#N/A,#N/A,FALSE,"arraw ";#N/A,#N/A,FALSE,"orraw ";#N/A,#N/A,FALSE,"90raw  ";#N/A,#N/A,FALSE,"dcraw   "}</definedName>
    <definedName name="_________________q1" localSheetId="5" hidden="1">{#N/A,#N/A,FALSE,"elraw";#N/A,#N/A,FALSE,"clraw ";#N/A,#N/A,FALSE,"pxraw ";#N/A,#N/A,FALSE,"arraw ";#N/A,#N/A,FALSE,"orraw ";#N/A,#N/A,FALSE,"90raw  ";#N/A,#N/A,FALSE,"dcraw   "}</definedName>
    <definedName name="_________________q1" hidden="1">{#N/A,#N/A,FALSE,"elraw";#N/A,#N/A,FALSE,"clraw ";#N/A,#N/A,FALSE,"pxraw ";#N/A,#N/A,FALSE,"arraw ";#N/A,#N/A,FALSE,"orraw ";#N/A,#N/A,FALSE,"90raw  ";#N/A,#N/A,FALSE,"dcraw   "}</definedName>
    <definedName name="____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KE8" hidden="1">#REF!</definedName>
    <definedName name="________________key11" hidden="1">#REF!</definedName>
    <definedName name="________________key12" hidden="1">#REF!</definedName>
    <definedName name="________________KEY123" hidden="1">#REF!</definedName>
    <definedName name="________________key2" hidden="1">#REF!</definedName>
    <definedName name="________________KEY3" hidden="1">#REF!</definedName>
    <definedName name="________________KEY4" hidden="1">#REF!</definedName>
    <definedName name="________________KEY5" hidden="1">#REF!</definedName>
    <definedName name="________________KEY6" hidden="1">#REF!</definedName>
    <definedName name="________________KEY7" hidden="1">#REF!</definedName>
    <definedName name="________________key8" hidden="1">#REF!</definedName>
    <definedName name="________________KEY90" hidden="1">#REF!</definedName>
    <definedName name="________________q1" localSheetId="1" hidden="1">{#N/A,#N/A,FALSE,"elraw";#N/A,#N/A,FALSE,"clraw ";#N/A,#N/A,FALSE,"pxraw ";#N/A,#N/A,FALSE,"arraw ";#N/A,#N/A,FALSE,"orraw ";#N/A,#N/A,FALSE,"90raw  ";#N/A,#N/A,FALSE,"dcraw   "}</definedName>
    <definedName name="________________q1" localSheetId="3" hidden="1">{#N/A,#N/A,FALSE,"elraw";#N/A,#N/A,FALSE,"clraw ";#N/A,#N/A,FALSE,"pxraw ";#N/A,#N/A,FALSE,"arraw ";#N/A,#N/A,FALSE,"orraw ";#N/A,#N/A,FALSE,"90raw  ";#N/A,#N/A,FALSE,"dcraw   "}</definedName>
    <definedName name="________________q1" localSheetId="4" hidden="1">{#N/A,#N/A,FALSE,"elraw";#N/A,#N/A,FALSE,"clraw ";#N/A,#N/A,FALSE,"pxraw ";#N/A,#N/A,FALSE,"arraw ";#N/A,#N/A,FALSE,"orraw ";#N/A,#N/A,FALSE,"90raw  ";#N/A,#N/A,FALSE,"dcraw   "}</definedName>
    <definedName name="________________q1" localSheetId="5" hidden="1">{#N/A,#N/A,FALSE,"elraw";#N/A,#N/A,FALSE,"clraw ";#N/A,#N/A,FALSE,"pxraw ";#N/A,#N/A,FALSE,"arraw ";#N/A,#N/A,FALSE,"orraw ";#N/A,#N/A,FALSE,"90raw  ";#N/A,#N/A,FALSE,"dcraw   "}</definedName>
    <definedName name="________________q1" hidden="1">{#N/A,#N/A,FALSE,"elraw";#N/A,#N/A,FALSE,"clraw ";#N/A,#N/A,FALSE,"pxraw ";#N/A,#N/A,FALSE,"arraw ";#N/A,#N/A,FALSE,"orraw ";#N/A,#N/A,FALSE,"90raw  ";#N/A,#N/A,FALSE,"dcraw   "}</definedName>
    <definedName name="___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KE8" hidden="1">#REF!</definedName>
    <definedName name="_______________key11" hidden="1">#REF!</definedName>
    <definedName name="_______________key12" hidden="1">#REF!</definedName>
    <definedName name="_______________KEY123" hidden="1">#REF!</definedName>
    <definedName name="_______________key2" hidden="1">#REF!</definedName>
    <definedName name="_______________KEY3" hidden="1">#REF!</definedName>
    <definedName name="_______________KEY4" hidden="1">#REF!</definedName>
    <definedName name="_______________KEY5" hidden="1">#REF!</definedName>
    <definedName name="_______________KEY6" hidden="1">#REF!</definedName>
    <definedName name="_______________KEY7" hidden="1">#REF!</definedName>
    <definedName name="_______________key8" hidden="1">#REF!</definedName>
    <definedName name="_______________KEY90" hidden="1">#REF!</definedName>
    <definedName name="_______________q1" localSheetId="1" hidden="1">{#N/A,#N/A,FALSE,"elraw";#N/A,#N/A,FALSE,"clraw ";#N/A,#N/A,FALSE,"pxraw ";#N/A,#N/A,FALSE,"arraw ";#N/A,#N/A,FALSE,"orraw ";#N/A,#N/A,FALSE,"90raw  ";#N/A,#N/A,FALSE,"dcraw   "}</definedName>
    <definedName name="_______________q1" localSheetId="3" hidden="1">{#N/A,#N/A,FALSE,"elraw";#N/A,#N/A,FALSE,"clraw ";#N/A,#N/A,FALSE,"pxraw ";#N/A,#N/A,FALSE,"arraw ";#N/A,#N/A,FALSE,"orraw ";#N/A,#N/A,FALSE,"90raw  ";#N/A,#N/A,FALSE,"dcraw   "}</definedName>
    <definedName name="_______________q1" localSheetId="4" hidden="1">{#N/A,#N/A,FALSE,"elraw";#N/A,#N/A,FALSE,"clraw ";#N/A,#N/A,FALSE,"pxraw ";#N/A,#N/A,FALSE,"arraw ";#N/A,#N/A,FALSE,"orraw ";#N/A,#N/A,FALSE,"90raw  ";#N/A,#N/A,FALSE,"dcraw   "}</definedName>
    <definedName name="_______________q1" localSheetId="5" hidden="1">{#N/A,#N/A,FALSE,"elraw";#N/A,#N/A,FALSE,"clraw ";#N/A,#N/A,FALSE,"pxraw ";#N/A,#N/A,FALSE,"arraw ";#N/A,#N/A,FALSE,"orraw ";#N/A,#N/A,FALSE,"90raw  ";#N/A,#N/A,FALSE,"dcraw   "}</definedName>
    <definedName name="_______________q1" hidden="1">{#N/A,#N/A,FALSE,"elraw";#N/A,#N/A,FALSE,"clraw ";#N/A,#N/A,FALSE,"pxraw ";#N/A,#N/A,FALSE,"arraw ";#N/A,#N/A,FALSE,"orraw ";#N/A,#N/A,FALSE,"90raw  ";#N/A,#N/A,FALSE,"dcraw   "}</definedName>
    <definedName name="__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KE8" hidden="1">#REF!</definedName>
    <definedName name="______________key11" hidden="1">#REF!</definedName>
    <definedName name="______________key12" hidden="1">#REF!</definedName>
    <definedName name="______________KEY123" hidden="1">#REF!</definedName>
    <definedName name="______________key2" hidden="1">#REF!</definedName>
    <definedName name="______________KEY3" hidden="1">#REF!</definedName>
    <definedName name="______________KEY4" hidden="1">#REF!</definedName>
    <definedName name="______________KEY5" hidden="1">#REF!</definedName>
    <definedName name="______________KEY6" hidden="1">#REF!</definedName>
    <definedName name="______________KEY7" hidden="1">#REF!</definedName>
    <definedName name="______________key8" hidden="1">#REF!</definedName>
    <definedName name="______________KEY90" hidden="1">#REF!</definedName>
    <definedName name="______________q1" localSheetId="1" hidden="1">{#N/A,#N/A,FALSE,"elraw";#N/A,#N/A,FALSE,"clraw ";#N/A,#N/A,FALSE,"pxraw ";#N/A,#N/A,FALSE,"arraw ";#N/A,#N/A,FALSE,"orraw ";#N/A,#N/A,FALSE,"90raw  ";#N/A,#N/A,FALSE,"dcraw   "}</definedName>
    <definedName name="______________q1" localSheetId="3" hidden="1">{#N/A,#N/A,FALSE,"elraw";#N/A,#N/A,FALSE,"clraw ";#N/A,#N/A,FALSE,"pxraw ";#N/A,#N/A,FALSE,"arraw ";#N/A,#N/A,FALSE,"orraw ";#N/A,#N/A,FALSE,"90raw  ";#N/A,#N/A,FALSE,"dcraw   "}</definedName>
    <definedName name="______________q1" localSheetId="4" hidden="1">{#N/A,#N/A,FALSE,"elraw";#N/A,#N/A,FALSE,"clraw ";#N/A,#N/A,FALSE,"pxraw ";#N/A,#N/A,FALSE,"arraw ";#N/A,#N/A,FALSE,"orraw ";#N/A,#N/A,FALSE,"90raw  ";#N/A,#N/A,FALSE,"dcraw   "}</definedName>
    <definedName name="______________q1" localSheetId="5" hidden="1">{#N/A,#N/A,FALSE,"elraw";#N/A,#N/A,FALSE,"clraw ";#N/A,#N/A,FALSE,"pxraw ";#N/A,#N/A,FALSE,"arraw ";#N/A,#N/A,FALSE,"orraw ";#N/A,#N/A,FALSE,"90raw  ";#N/A,#N/A,FALSE,"dcraw   "}</definedName>
    <definedName name="______________q1" hidden="1">{#N/A,#N/A,FALSE,"elraw";#N/A,#N/A,FALSE,"clraw ";#N/A,#N/A,FALSE,"pxraw ";#N/A,#N/A,FALSE,"arraw ";#N/A,#N/A,FALSE,"orraw ";#N/A,#N/A,FALSE,"90raw  ";#N/A,#N/A,FALSE,"dcraw   "}</definedName>
    <definedName name="_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KE8" hidden="1">#REF!</definedName>
    <definedName name="_____________key11" hidden="1">#REF!</definedName>
    <definedName name="_____________key12" hidden="1">#REF!</definedName>
    <definedName name="_____________KEY123" hidden="1">#REF!</definedName>
    <definedName name="_____________key2" hidden="1">#REF!</definedName>
    <definedName name="_____________KEY3" hidden="1">#REF!</definedName>
    <definedName name="_____________KEY4" hidden="1">#REF!</definedName>
    <definedName name="_____________KEY5" hidden="1">#REF!</definedName>
    <definedName name="_____________KEY6" hidden="1">#REF!</definedName>
    <definedName name="_____________KEY7" hidden="1">#REF!</definedName>
    <definedName name="_____________key8" hidden="1">#REF!</definedName>
    <definedName name="_____________KEY90" hidden="1">#REF!</definedName>
    <definedName name="_____________q1" localSheetId="1" hidden="1">{#N/A,#N/A,FALSE,"elraw";#N/A,#N/A,FALSE,"clraw ";#N/A,#N/A,FALSE,"pxraw ";#N/A,#N/A,FALSE,"arraw ";#N/A,#N/A,FALSE,"orraw ";#N/A,#N/A,FALSE,"90raw  ";#N/A,#N/A,FALSE,"dcraw   "}</definedName>
    <definedName name="_____________q1" localSheetId="3" hidden="1">{#N/A,#N/A,FALSE,"elraw";#N/A,#N/A,FALSE,"clraw ";#N/A,#N/A,FALSE,"pxraw ";#N/A,#N/A,FALSE,"arraw ";#N/A,#N/A,FALSE,"orraw ";#N/A,#N/A,FALSE,"90raw  ";#N/A,#N/A,FALSE,"dcraw   "}</definedName>
    <definedName name="_____________q1" localSheetId="4" hidden="1">{#N/A,#N/A,FALSE,"elraw";#N/A,#N/A,FALSE,"clraw ";#N/A,#N/A,FALSE,"pxraw ";#N/A,#N/A,FALSE,"arraw ";#N/A,#N/A,FALSE,"orraw ";#N/A,#N/A,FALSE,"90raw  ";#N/A,#N/A,FALSE,"dcraw   "}</definedName>
    <definedName name="_____________q1" localSheetId="5" hidden="1">{#N/A,#N/A,FALSE,"elraw";#N/A,#N/A,FALSE,"clraw ";#N/A,#N/A,FALSE,"pxraw ";#N/A,#N/A,FALSE,"arraw ";#N/A,#N/A,FALSE,"orraw ";#N/A,#N/A,FALSE,"90raw  ";#N/A,#N/A,FALSE,"dcraw   "}</definedName>
    <definedName name="_____________q1" hidden="1">{#N/A,#N/A,FALSE,"elraw";#N/A,#N/A,FALSE,"clraw ";#N/A,#N/A,FALSE,"pxraw ";#N/A,#N/A,FALSE,"arraw ";#N/A,#N/A,FALSE,"orraw ";#N/A,#N/A,FALSE,"90raw  ";#N/A,#N/A,FALSE,"dcraw   "}</definedName>
    <definedName name="_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KE8" hidden="1">#REF!</definedName>
    <definedName name="____________key11" hidden="1">#REF!</definedName>
    <definedName name="____________key12" hidden="1">#REF!</definedName>
    <definedName name="____________KEY123" hidden="1">#REF!</definedName>
    <definedName name="____________key2" hidden="1">#REF!</definedName>
    <definedName name="____________KEY3" hidden="1">#REF!</definedName>
    <definedName name="____________KEY4" hidden="1">#REF!</definedName>
    <definedName name="____________KEY5" hidden="1">#REF!</definedName>
    <definedName name="____________KEY6" hidden="1">#REF!</definedName>
    <definedName name="____________KEY7" hidden="1">#REF!</definedName>
    <definedName name="____________key8" hidden="1">#REF!</definedName>
    <definedName name="____________KEY90" hidden="1">#REF!</definedName>
    <definedName name="____________q1" localSheetId="1" hidden="1">{#N/A,#N/A,FALSE,"elraw";#N/A,#N/A,FALSE,"clraw ";#N/A,#N/A,FALSE,"pxraw ";#N/A,#N/A,FALSE,"arraw ";#N/A,#N/A,FALSE,"orraw ";#N/A,#N/A,FALSE,"90raw  ";#N/A,#N/A,FALSE,"dcraw   "}</definedName>
    <definedName name="____________q1" localSheetId="3" hidden="1">{#N/A,#N/A,FALSE,"elraw";#N/A,#N/A,FALSE,"clraw ";#N/A,#N/A,FALSE,"pxraw ";#N/A,#N/A,FALSE,"arraw ";#N/A,#N/A,FALSE,"orraw ";#N/A,#N/A,FALSE,"90raw  ";#N/A,#N/A,FALSE,"dcraw   "}</definedName>
    <definedName name="____________q1" localSheetId="4" hidden="1">{#N/A,#N/A,FALSE,"elraw";#N/A,#N/A,FALSE,"clraw ";#N/A,#N/A,FALSE,"pxraw ";#N/A,#N/A,FALSE,"arraw ";#N/A,#N/A,FALSE,"orraw ";#N/A,#N/A,FALSE,"90raw  ";#N/A,#N/A,FALSE,"dcraw   "}</definedName>
    <definedName name="____________q1" localSheetId="5" hidden="1">{#N/A,#N/A,FALSE,"elraw";#N/A,#N/A,FALSE,"clraw ";#N/A,#N/A,FALSE,"pxraw ";#N/A,#N/A,FALSE,"arraw ";#N/A,#N/A,FALSE,"orraw ";#N/A,#N/A,FALSE,"90raw  ";#N/A,#N/A,FALSE,"dcraw   "}</definedName>
    <definedName name="____________q1" hidden="1">{#N/A,#N/A,FALSE,"elraw";#N/A,#N/A,FALSE,"clraw ";#N/A,#N/A,FALSE,"pxraw ";#N/A,#N/A,FALSE,"arraw ";#N/A,#N/A,FALSE,"orraw ";#N/A,#N/A,FALSE,"90raw  ";#N/A,#N/A,FALSE,"dcraw   "}</definedName>
    <definedName name="_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KE8" hidden="1">#REF!</definedName>
    <definedName name="___________key11" hidden="1">#REF!</definedName>
    <definedName name="___________key12" hidden="1">#REF!</definedName>
    <definedName name="___________KEY123" hidden="1">#REF!</definedName>
    <definedName name="___________key2" hidden="1">#REF!</definedName>
    <definedName name="___________KEY3" hidden="1">#REF!</definedName>
    <definedName name="___________KEY4" hidden="1">#REF!</definedName>
    <definedName name="___________KEY5" hidden="1">#REF!</definedName>
    <definedName name="___________KEY6" hidden="1">#REF!</definedName>
    <definedName name="___________KEY7" hidden="1">#REF!</definedName>
    <definedName name="___________key8" hidden="1">#REF!</definedName>
    <definedName name="___________KEY90" hidden="1">#REF!</definedName>
    <definedName name="___________q1" localSheetId="1" hidden="1">{#N/A,#N/A,FALSE,"elraw";#N/A,#N/A,FALSE,"clraw ";#N/A,#N/A,FALSE,"pxraw ";#N/A,#N/A,FALSE,"arraw ";#N/A,#N/A,FALSE,"orraw ";#N/A,#N/A,FALSE,"90raw  ";#N/A,#N/A,FALSE,"dcraw   "}</definedName>
    <definedName name="___________q1" localSheetId="3" hidden="1">{#N/A,#N/A,FALSE,"elraw";#N/A,#N/A,FALSE,"clraw ";#N/A,#N/A,FALSE,"pxraw ";#N/A,#N/A,FALSE,"arraw ";#N/A,#N/A,FALSE,"orraw ";#N/A,#N/A,FALSE,"90raw  ";#N/A,#N/A,FALSE,"dcraw   "}</definedName>
    <definedName name="___________q1" localSheetId="4" hidden="1">{#N/A,#N/A,FALSE,"elraw";#N/A,#N/A,FALSE,"clraw ";#N/A,#N/A,FALSE,"pxraw ";#N/A,#N/A,FALSE,"arraw ";#N/A,#N/A,FALSE,"orraw ";#N/A,#N/A,FALSE,"90raw  ";#N/A,#N/A,FALSE,"dcraw   "}</definedName>
    <definedName name="___________q1" localSheetId="5" hidden="1">{#N/A,#N/A,FALSE,"elraw";#N/A,#N/A,FALSE,"clraw ";#N/A,#N/A,FALSE,"pxraw ";#N/A,#N/A,FALSE,"arraw ";#N/A,#N/A,FALSE,"orraw ";#N/A,#N/A,FALSE,"90raw  ";#N/A,#N/A,FALSE,"dcraw   "}</definedName>
    <definedName name="___________q1" hidden="1">{#N/A,#N/A,FALSE,"elraw";#N/A,#N/A,FALSE,"clraw ";#N/A,#N/A,FALSE,"pxraw ";#N/A,#N/A,FALSE,"arraw ";#N/A,#N/A,FALSE,"orraw ";#N/A,#N/A,FALSE,"90raw  ";#N/A,#N/A,FALSE,"dcraw   "}</definedName>
    <definedName name="_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KE8" hidden="1">#REF!</definedName>
    <definedName name="__________key11" hidden="1">#REF!</definedName>
    <definedName name="__________key12" hidden="1">#REF!</definedName>
    <definedName name="__________KEY123" hidden="1">#REF!</definedName>
    <definedName name="__________key2" hidden="1">#REF!</definedName>
    <definedName name="__________KEY3" hidden="1">#REF!</definedName>
    <definedName name="__________KEY4" hidden="1">#REF!</definedName>
    <definedName name="__________KEY5" hidden="1">#REF!</definedName>
    <definedName name="__________KEY6" hidden="1">#REF!</definedName>
    <definedName name="__________KEY7" hidden="1">#REF!</definedName>
    <definedName name="__________key8" hidden="1">#REF!</definedName>
    <definedName name="__________KEY90" hidden="1">#REF!</definedName>
    <definedName name="__________q1" localSheetId="1" hidden="1">{#N/A,#N/A,FALSE,"elraw";#N/A,#N/A,FALSE,"clraw ";#N/A,#N/A,FALSE,"pxraw ";#N/A,#N/A,FALSE,"arraw ";#N/A,#N/A,FALSE,"orraw ";#N/A,#N/A,FALSE,"90raw  ";#N/A,#N/A,FALSE,"dcraw   "}</definedName>
    <definedName name="__________q1" localSheetId="3" hidden="1">{#N/A,#N/A,FALSE,"elraw";#N/A,#N/A,FALSE,"clraw ";#N/A,#N/A,FALSE,"pxraw ";#N/A,#N/A,FALSE,"arraw ";#N/A,#N/A,FALSE,"orraw ";#N/A,#N/A,FALSE,"90raw  ";#N/A,#N/A,FALSE,"dcraw   "}</definedName>
    <definedName name="__________q1" localSheetId="4" hidden="1">{#N/A,#N/A,FALSE,"elraw";#N/A,#N/A,FALSE,"clraw ";#N/A,#N/A,FALSE,"pxraw ";#N/A,#N/A,FALSE,"arraw ";#N/A,#N/A,FALSE,"orraw ";#N/A,#N/A,FALSE,"90raw  ";#N/A,#N/A,FALSE,"dcraw   "}</definedName>
    <definedName name="__________q1" localSheetId="5" hidden="1">{#N/A,#N/A,FALSE,"elraw";#N/A,#N/A,FALSE,"clraw ";#N/A,#N/A,FALSE,"pxraw ";#N/A,#N/A,FALSE,"arraw ";#N/A,#N/A,FALSE,"orraw ";#N/A,#N/A,FALSE,"90raw  ";#N/A,#N/A,FALSE,"dcraw   "}</definedName>
    <definedName name="__________q1" hidden="1">{#N/A,#N/A,FALSE,"elraw";#N/A,#N/A,FALSE,"clraw ";#N/A,#N/A,FALSE,"pxraw ";#N/A,#N/A,FALSE,"arraw ";#N/A,#N/A,FALSE,"orraw ";#N/A,#N/A,FALSE,"90raw  ";#N/A,#N/A,FALSE,"dcraw   "}</definedName>
    <definedName name="_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KE8" hidden="1">#REF!</definedName>
    <definedName name="_________key11" hidden="1">#REF!</definedName>
    <definedName name="_________key12" hidden="1">#REF!</definedName>
    <definedName name="_________KEY123" hidden="1">#REF!</definedName>
    <definedName name="_________key2" hidden="1">#REF!</definedName>
    <definedName name="_________KEY3" hidden="1">#REF!</definedName>
    <definedName name="_________KEY4" hidden="1">#REF!</definedName>
    <definedName name="_________KEY5" hidden="1">#REF!</definedName>
    <definedName name="_________KEY6" hidden="1">#REF!</definedName>
    <definedName name="_________KEY7" hidden="1">#REF!</definedName>
    <definedName name="_________key8" hidden="1">#REF!</definedName>
    <definedName name="_________KEY90" hidden="1">#REF!</definedName>
    <definedName name="_________q1" localSheetId="1" hidden="1">{#N/A,#N/A,FALSE,"elraw";#N/A,#N/A,FALSE,"clraw ";#N/A,#N/A,FALSE,"pxraw ";#N/A,#N/A,FALSE,"arraw ";#N/A,#N/A,FALSE,"orraw ";#N/A,#N/A,FALSE,"90raw  ";#N/A,#N/A,FALSE,"dcraw   "}</definedName>
    <definedName name="_________q1" localSheetId="3" hidden="1">{#N/A,#N/A,FALSE,"elraw";#N/A,#N/A,FALSE,"clraw ";#N/A,#N/A,FALSE,"pxraw ";#N/A,#N/A,FALSE,"arraw ";#N/A,#N/A,FALSE,"orraw ";#N/A,#N/A,FALSE,"90raw  ";#N/A,#N/A,FALSE,"dcraw   "}</definedName>
    <definedName name="_________q1" localSheetId="4" hidden="1">{#N/A,#N/A,FALSE,"elraw";#N/A,#N/A,FALSE,"clraw ";#N/A,#N/A,FALSE,"pxraw ";#N/A,#N/A,FALSE,"arraw ";#N/A,#N/A,FALSE,"orraw ";#N/A,#N/A,FALSE,"90raw  ";#N/A,#N/A,FALSE,"dcraw   "}</definedName>
    <definedName name="_________q1" localSheetId="5" hidden="1">{#N/A,#N/A,FALSE,"elraw";#N/A,#N/A,FALSE,"clraw ";#N/A,#N/A,FALSE,"pxraw ";#N/A,#N/A,FALSE,"arraw ";#N/A,#N/A,FALSE,"orraw ";#N/A,#N/A,FALSE,"90raw  ";#N/A,#N/A,FALSE,"dcraw   "}</definedName>
    <definedName name="_________q1" hidden="1">{#N/A,#N/A,FALSE,"elraw";#N/A,#N/A,FALSE,"clraw ";#N/A,#N/A,FALSE,"pxraw ";#N/A,#N/A,FALSE,"arraw ";#N/A,#N/A,FALSE,"orraw ";#N/A,#N/A,FALSE,"90raw  ";#N/A,#N/A,FALSE,"dcraw   "}</definedName>
    <definedName name="_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KE8" hidden="1">#REF!</definedName>
    <definedName name="________key11" hidden="1">#REF!</definedName>
    <definedName name="________key12" hidden="1">#REF!</definedName>
    <definedName name="________KEY123" hidden="1">#REF!</definedName>
    <definedName name="________key2" hidden="1">#REF!</definedName>
    <definedName name="________KEY3" hidden="1">#REF!</definedName>
    <definedName name="________KEY4" hidden="1">#REF!</definedName>
    <definedName name="________KEY5" hidden="1">#REF!</definedName>
    <definedName name="________KEY6" hidden="1">#REF!</definedName>
    <definedName name="________KEY7" hidden="1">#REF!</definedName>
    <definedName name="________key8" hidden="1">#REF!</definedName>
    <definedName name="________KEY90" hidden="1">#REF!</definedName>
    <definedName name="________q1" localSheetId="1" hidden="1">{#N/A,#N/A,FALSE,"elraw";#N/A,#N/A,FALSE,"clraw ";#N/A,#N/A,FALSE,"pxraw ";#N/A,#N/A,FALSE,"arraw ";#N/A,#N/A,FALSE,"orraw ";#N/A,#N/A,FALSE,"90raw  ";#N/A,#N/A,FALSE,"dcraw   "}</definedName>
    <definedName name="________q1" localSheetId="3" hidden="1">{#N/A,#N/A,FALSE,"elraw";#N/A,#N/A,FALSE,"clraw ";#N/A,#N/A,FALSE,"pxraw ";#N/A,#N/A,FALSE,"arraw ";#N/A,#N/A,FALSE,"orraw ";#N/A,#N/A,FALSE,"90raw  ";#N/A,#N/A,FALSE,"dcraw   "}</definedName>
    <definedName name="________q1" localSheetId="4" hidden="1">{#N/A,#N/A,FALSE,"elraw";#N/A,#N/A,FALSE,"clraw ";#N/A,#N/A,FALSE,"pxraw ";#N/A,#N/A,FALSE,"arraw ";#N/A,#N/A,FALSE,"orraw ";#N/A,#N/A,FALSE,"90raw  ";#N/A,#N/A,FALSE,"dcraw   "}</definedName>
    <definedName name="________q1" localSheetId="5" hidden="1">{#N/A,#N/A,FALSE,"elraw";#N/A,#N/A,FALSE,"clraw ";#N/A,#N/A,FALSE,"pxraw ";#N/A,#N/A,FALSE,"arraw ";#N/A,#N/A,FALSE,"orraw ";#N/A,#N/A,FALSE,"90raw  ";#N/A,#N/A,FALSE,"dcraw   "}</definedName>
    <definedName name="________q1" hidden="1">{#N/A,#N/A,FALSE,"elraw";#N/A,#N/A,FALSE,"clraw ";#N/A,#N/A,FALSE,"pxraw ";#N/A,#N/A,FALSE,"arraw ";#N/A,#N/A,FALSE,"orraw ";#N/A,#N/A,FALSE,"90raw  ";#N/A,#N/A,FALSE,"dcraw   "}</definedName>
    <definedName name="_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KE8" hidden="1">#REF!</definedName>
    <definedName name="_______key11" hidden="1">#REF!</definedName>
    <definedName name="_______key12" hidden="1">#REF!</definedName>
    <definedName name="_______KEY123" hidden="1">#REF!</definedName>
    <definedName name="_______key2" hidden="1">#REF!</definedName>
    <definedName name="_______KEY3" hidden="1">#REF!</definedName>
    <definedName name="_______KEY4" hidden="1">#REF!</definedName>
    <definedName name="_______KEY5" hidden="1">#REF!</definedName>
    <definedName name="_______KEY6" hidden="1">#REF!</definedName>
    <definedName name="_______KEY7" hidden="1">#REF!</definedName>
    <definedName name="_______key8" hidden="1">#REF!</definedName>
    <definedName name="_______KEY90" hidden="1">#REF!</definedName>
    <definedName name="_______q1" localSheetId="1" hidden="1">{#N/A,#N/A,FALSE,"elraw";#N/A,#N/A,FALSE,"clraw ";#N/A,#N/A,FALSE,"pxraw ";#N/A,#N/A,FALSE,"arraw ";#N/A,#N/A,FALSE,"orraw ";#N/A,#N/A,FALSE,"90raw  ";#N/A,#N/A,FALSE,"dcraw   "}</definedName>
    <definedName name="_______q1" localSheetId="3" hidden="1">{#N/A,#N/A,FALSE,"elraw";#N/A,#N/A,FALSE,"clraw ";#N/A,#N/A,FALSE,"pxraw ";#N/A,#N/A,FALSE,"arraw ";#N/A,#N/A,FALSE,"orraw ";#N/A,#N/A,FALSE,"90raw  ";#N/A,#N/A,FALSE,"dcraw   "}</definedName>
    <definedName name="_______q1" localSheetId="4" hidden="1">{#N/A,#N/A,FALSE,"elraw";#N/A,#N/A,FALSE,"clraw ";#N/A,#N/A,FALSE,"pxraw ";#N/A,#N/A,FALSE,"arraw ";#N/A,#N/A,FALSE,"orraw ";#N/A,#N/A,FALSE,"90raw  ";#N/A,#N/A,FALSE,"dcraw   "}</definedName>
    <definedName name="_______q1" localSheetId="5" hidden="1">{#N/A,#N/A,FALSE,"elraw";#N/A,#N/A,FALSE,"clraw ";#N/A,#N/A,FALSE,"pxraw ";#N/A,#N/A,FALSE,"arraw ";#N/A,#N/A,FALSE,"orraw ";#N/A,#N/A,FALSE,"90raw  ";#N/A,#N/A,FALSE,"dcraw   "}</definedName>
    <definedName name="_______q1" hidden="1">{#N/A,#N/A,FALSE,"elraw";#N/A,#N/A,FALSE,"clraw ";#N/A,#N/A,FALSE,"pxraw ";#N/A,#N/A,FALSE,"arraw ";#N/A,#N/A,FALSE,"orraw ";#N/A,#N/A,FALSE,"90raw  ";#N/A,#N/A,FALSE,"dcraw   "}</definedName>
    <definedName name="_______q2" localSheetId="1" hidden="1">{#N/A,#N/A,FALSE,"elraw";#N/A,#N/A,FALSE,"clraw ";#N/A,#N/A,FALSE,"pxraw ";#N/A,#N/A,FALSE,"arraw ";#N/A,#N/A,FALSE,"orraw ";#N/A,#N/A,FALSE,"90raw  ";#N/A,#N/A,FALSE,"dcraw   "}</definedName>
    <definedName name="_______q2" localSheetId="3" hidden="1">{#N/A,#N/A,FALSE,"elraw";#N/A,#N/A,FALSE,"clraw ";#N/A,#N/A,FALSE,"pxraw ";#N/A,#N/A,FALSE,"arraw ";#N/A,#N/A,FALSE,"orraw ";#N/A,#N/A,FALSE,"90raw  ";#N/A,#N/A,FALSE,"dcraw   "}</definedName>
    <definedName name="_______q2" localSheetId="4" hidden="1">{#N/A,#N/A,FALSE,"elraw";#N/A,#N/A,FALSE,"clraw ";#N/A,#N/A,FALSE,"pxraw ";#N/A,#N/A,FALSE,"arraw ";#N/A,#N/A,FALSE,"orraw ";#N/A,#N/A,FALSE,"90raw  ";#N/A,#N/A,FALSE,"dcraw   "}</definedName>
    <definedName name="_______q2" localSheetId="5" hidden="1">{#N/A,#N/A,FALSE,"elraw";#N/A,#N/A,FALSE,"clraw ";#N/A,#N/A,FALSE,"pxraw ";#N/A,#N/A,FALSE,"arraw ";#N/A,#N/A,FALSE,"orraw ";#N/A,#N/A,FALSE,"90raw  ";#N/A,#N/A,FALSE,"dcraw   "}</definedName>
    <definedName name="_______q2" hidden="1">{#N/A,#N/A,FALSE,"elraw";#N/A,#N/A,FALSE,"clraw ";#N/A,#N/A,FALSE,"pxraw ";#N/A,#N/A,FALSE,"arraw ";#N/A,#N/A,FALSE,"orraw ";#N/A,#N/A,FALSE,"90raw  ";#N/A,#N/A,FALSE,"dcraw   "}</definedName>
    <definedName name="_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KE8" hidden="1">#REF!</definedName>
    <definedName name="______key11" hidden="1">#REF!</definedName>
    <definedName name="______key12" hidden="1">#REF!</definedName>
    <definedName name="______KEY123" hidden="1">#REF!</definedName>
    <definedName name="______key2" hidden="1">#REF!</definedName>
    <definedName name="______KEY3" hidden="1">#REF!</definedName>
    <definedName name="______KEY4" hidden="1">#REF!</definedName>
    <definedName name="______KEY5" hidden="1">#REF!</definedName>
    <definedName name="______KEY6" hidden="1">#REF!</definedName>
    <definedName name="______KEY7" hidden="1">#REF!</definedName>
    <definedName name="______key8" hidden="1">#REF!</definedName>
    <definedName name="______KEY90" hidden="1">#REF!</definedName>
    <definedName name="______q1" localSheetId="1" hidden="1">{#N/A,#N/A,FALSE,"elraw";#N/A,#N/A,FALSE,"clraw ";#N/A,#N/A,FALSE,"pxraw ";#N/A,#N/A,FALSE,"arraw ";#N/A,#N/A,FALSE,"orraw ";#N/A,#N/A,FALSE,"90raw  ";#N/A,#N/A,FALSE,"dcraw   "}</definedName>
    <definedName name="______q1" localSheetId="3" hidden="1">{#N/A,#N/A,FALSE,"elraw";#N/A,#N/A,FALSE,"clraw ";#N/A,#N/A,FALSE,"pxraw ";#N/A,#N/A,FALSE,"arraw ";#N/A,#N/A,FALSE,"orraw ";#N/A,#N/A,FALSE,"90raw  ";#N/A,#N/A,FALSE,"dcraw   "}</definedName>
    <definedName name="______q1" localSheetId="4" hidden="1">{#N/A,#N/A,FALSE,"elraw";#N/A,#N/A,FALSE,"clraw ";#N/A,#N/A,FALSE,"pxraw ";#N/A,#N/A,FALSE,"arraw ";#N/A,#N/A,FALSE,"orraw ";#N/A,#N/A,FALSE,"90raw  ";#N/A,#N/A,FALSE,"dcraw   "}</definedName>
    <definedName name="______q1" localSheetId="5" hidden="1">{#N/A,#N/A,FALSE,"elraw";#N/A,#N/A,FALSE,"clraw ";#N/A,#N/A,FALSE,"pxraw ";#N/A,#N/A,FALSE,"arraw ";#N/A,#N/A,FALSE,"orraw ";#N/A,#N/A,FALSE,"90raw  ";#N/A,#N/A,FALSE,"dcraw   "}</definedName>
    <definedName name="______q1" hidden="1">{#N/A,#N/A,FALSE,"elraw";#N/A,#N/A,FALSE,"clraw ";#N/A,#N/A,FALSE,"pxraw ";#N/A,#N/A,FALSE,"arraw ";#N/A,#N/A,FALSE,"orraw ";#N/A,#N/A,FALSE,"90raw  ";#N/A,#N/A,FALSE,"dcraw   "}</definedName>
    <definedName name="_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KE8" hidden="1">#REF!</definedName>
    <definedName name="_____key11" hidden="1">#REF!</definedName>
    <definedName name="_____key12" hidden="1">#REF!</definedName>
    <definedName name="_____KEY123" hidden="1">#REF!</definedName>
    <definedName name="_____key2" hidden="1">#REF!</definedName>
    <definedName name="_____KEY3" hidden="1">#REF!</definedName>
    <definedName name="_____KEY4" hidden="1">#REF!</definedName>
    <definedName name="_____KEY5" hidden="1">#REF!</definedName>
    <definedName name="_____KEY6" hidden="1">#REF!</definedName>
    <definedName name="_____KEY7" hidden="1">#REF!</definedName>
    <definedName name="_____key8" hidden="1">#REF!</definedName>
    <definedName name="_____KEY90" hidden="1">#REF!</definedName>
    <definedName name="_____q1" localSheetId="1" hidden="1">{#N/A,#N/A,FALSE,"elraw";#N/A,#N/A,FALSE,"clraw ";#N/A,#N/A,FALSE,"pxraw ";#N/A,#N/A,FALSE,"arraw ";#N/A,#N/A,FALSE,"orraw ";#N/A,#N/A,FALSE,"90raw  ";#N/A,#N/A,FALSE,"dcraw   "}</definedName>
    <definedName name="_____q1" localSheetId="3" hidden="1">{#N/A,#N/A,FALSE,"elraw";#N/A,#N/A,FALSE,"clraw ";#N/A,#N/A,FALSE,"pxraw ";#N/A,#N/A,FALSE,"arraw ";#N/A,#N/A,FALSE,"orraw ";#N/A,#N/A,FALSE,"90raw  ";#N/A,#N/A,FALSE,"dcraw   "}</definedName>
    <definedName name="_____q1" localSheetId="4" hidden="1">{#N/A,#N/A,FALSE,"elraw";#N/A,#N/A,FALSE,"clraw ";#N/A,#N/A,FALSE,"pxraw ";#N/A,#N/A,FALSE,"arraw ";#N/A,#N/A,FALSE,"orraw ";#N/A,#N/A,FALSE,"90raw  ";#N/A,#N/A,FALSE,"dcraw   "}</definedName>
    <definedName name="_____q1" localSheetId="5" hidden="1">{#N/A,#N/A,FALSE,"elraw";#N/A,#N/A,FALSE,"clraw ";#N/A,#N/A,FALSE,"pxraw ";#N/A,#N/A,FALSE,"arraw ";#N/A,#N/A,FALSE,"orraw ";#N/A,#N/A,FALSE,"90raw  ";#N/A,#N/A,FALSE,"dcraw   "}</definedName>
    <definedName name="_____q1" hidden="1">{#N/A,#N/A,FALSE,"elraw";#N/A,#N/A,FALSE,"clraw ";#N/A,#N/A,FALSE,"pxraw ";#N/A,#N/A,FALSE,"arraw ";#N/A,#N/A,FALSE,"orraw ";#N/A,#N/A,FALSE,"90raw  ";#N/A,#N/A,FALSE,"dcraw   "}</definedName>
    <definedName name="_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KE8" hidden="1">#REF!</definedName>
    <definedName name="____key11" hidden="1">#REF!</definedName>
    <definedName name="____key12" hidden="1">#REF!</definedName>
    <definedName name="____KEY123" hidden="1">#REF!</definedName>
    <definedName name="____key2" hidden="1">#REF!</definedName>
    <definedName name="____KEY3" hidden="1">#REF!</definedName>
    <definedName name="____KEY4" hidden="1">#REF!</definedName>
    <definedName name="____KEY5" hidden="1">#REF!</definedName>
    <definedName name="____KEY6" hidden="1">#REF!</definedName>
    <definedName name="____KEY7" hidden="1">#REF!</definedName>
    <definedName name="____key8" hidden="1">#REF!</definedName>
    <definedName name="____KEY90" hidden="1">#REF!</definedName>
    <definedName name="____q1" localSheetId="1" hidden="1">{#N/A,#N/A,FALSE,"elraw";#N/A,#N/A,FALSE,"clraw ";#N/A,#N/A,FALSE,"pxraw ";#N/A,#N/A,FALSE,"arraw ";#N/A,#N/A,FALSE,"orraw ";#N/A,#N/A,FALSE,"90raw  ";#N/A,#N/A,FALSE,"dcraw   "}</definedName>
    <definedName name="____q1" localSheetId="3" hidden="1">{#N/A,#N/A,FALSE,"elraw";#N/A,#N/A,FALSE,"clraw ";#N/A,#N/A,FALSE,"pxraw ";#N/A,#N/A,FALSE,"arraw ";#N/A,#N/A,FALSE,"orraw ";#N/A,#N/A,FALSE,"90raw  ";#N/A,#N/A,FALSE,"dcraw   "}</definedName>
    <definedName name="____q1" localSheetId="4" hidden="1">{#N/A,#N/A,FALSE,"elraw";#N/A,#N/A,FALSE,"clraw ";#N/A,#N/A,FALSE,"pxraw ";#N/A,#N/A,FALSE,"arraw ";#N/A,#N/A,FALSE,"orraw ";#N/A,#N/A,FALSE,"90raw  ";#N/A,#N/A,FALSE,"dcraw   "}</definedName>
    <definedName name="____q1" localSheetId="5" hidden="1">{#N/A,#N/A,FALSE,"elraw";#N/A,#N/A,FALSE,"clraw ";#N/A,#N/A,FALSE,"pxraw ";#N/A,#N/A,FALSE,"arraw ";#N/A,#N/A,FALSE,"orraw ";#N/A,#N/A,FALSE,"90raw  ";#N/A,#N/A,FALSE,"dcraw   "}</definedName>
    <definedName name="____q1" hidden="1">{#N/A,#N/A,FALSE,"elraw";#N/A,#N/A,FALSE,"clraw ";#N/A,#N/A,FALSE,"pxraw ";#N/A,#N/A,FALSE,"arraw ";#N/A,#N/A,FALSE,"orraw ";#N/A,#N/A,FALSE,"90raw  ";#N/A,#N/A,FALSE,"dcraw   "}</definedName>
    <definedName name="_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KE8" hidden="1">#REF!</definedName>
    <definedName name="___key11" hidden="1">#REF!</definedName>
    <definedName name="___key12" hidden="1">#REF!</definedName>
    <definedName name="___KEY123" hidden="1">#REF!</definedName>
    <definedName name="___key2" hidden="1">#REF!</definedName>
    <definedName name="___KEY3" hidden="1">#REF!</definedName>
    <definedName name="___KEY4" hidden="1">#REF!</definedName>
    <definedName name="___KEY5" hidden="1">#REF!</definedName>
    <definedName name="___KEY6" hidden="1">#REF!</definedName>
    <definedName name="___KEY7" hidden="1">#REF!</definedName>
    <definedName name="___key8" hidden="1">#REF!</definedName>
    <definedName name="___KEY90" hidden="1">#REF!</definedName>
    <definedName name="___q1" localSheetId="1" hidden="1">{#N/A,#N/A,FALSE,"elraw";#N/A,#N/A,FALSE,"clraw ";#N/A,#N/A,FALSE,"pxraw ";#N/A,#N/A,FALSE,"arraw ";#N/A,#N/A,FALSE,"orraw ";#N/A,#N/A,FALSE,"90raw  ";#N/A,#N/A,FALSE,"dcraw   "}</definedName>
    <definedName name="___q1" localSheetId="3" hidden="1">{#N/A,#N/A,FALSE,"elraw";#N/A,#N/A,FALSE,"clraw ";#N/A,#N/A,FALSE,"pxraw ";#N/A,#N/A,FALSE,"arraw ";#N/A,#N/A,FALSE,"orraw ";#N/A,#N/A,FALSE,"90raw  ";#N/A,#N/A,FALSE,"dcraw   "}</definedName>
    <definedName name="___q1" localSheetId="4" hidden="1">{#N/A,#N/A,FALSE,"elraw";#N/A,#N/A,FALSE,"clraw ";#N/A,#N/A,FALSE,"pxraw ";#N/A,#N/A,FALSE,"arraw ";#N/A,#N/A,FALSE,"orraw ";#N/A,#N/A,FALSE,"90raw  ";#N/A,#N/A,FALSE,"dcraw   "}</definedName>
    <definedName name="___q1" localSheetId="5" hidden="1">{#N/A,#N/A,FALSE,"elraw";#N/A,#N/A,FALSE,"clraw ";#N/A,#N/A,FALSE,"pxraw ";#N/A,#N/A,FALSE,"arraw ";#N/A,#N/A,FALSE,"orraw ";#N/A,#N/A,FALSE,"90raw  ";#N/A,#N/A,FALSE,"dcraw   "}</definedName>
    <definedName name="___q1" hidden="1">{#N/A,#N/A,FALSE,"elraw";#N/A,#N/A,FALSE,"clraw ";#N/A,#N/A,FALSE,"pxraw ";#N/A,#N/A,FALSE,"arraw ";#N/A,#N/A,FALSE,"orraw ";#N/A,#N/A,FALSE,"90raw  ";#N/A,#N/A,FALSE,"dcraw   "}</definedName>
    <definedName name="_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1__123Graph_ALTP_DIRECT" hidden="1">#REF!</definedName>
    <definedName name="__1__123Graph_ALTP_DIRECT_2" hidden="1">#REF!</definedName>
    <definedName name="__10__123Graph_LBL_CLTP_DIRECT" hidden="1">#REF!</definedName>
    <definedName name="__11__123Graph_XLTP_DIRECT" hidden="1">#REF!</definedName>
    <definedName name="__12__123Graph_XLTP_W_S" hidden="1">#REF!</definedName>
    <definedName name="__123Graph" hidden="1">#REF!</definedName>
    <definedName name="__123Graph_A" hidden="1">#REF!</definedName>
    <definedName name="__123Graph_ACurrent" hidden="1">#REF!</definedName>
    <definedName name="__123Graph_AGRAPH1" hidden="1">#REF!</definedName>
    <definedName name="__123Graph_AGRAPH11" hidden="1">#REF!</definedName>
    <definedName name="__123Graph_AGRAPH12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INNE" hidden="1">#REF!</definedName>
    <definedName name="__123Graph_AKERASTASE" hidden="1">#REF!</definedName>
    <definedName name="__123Graph_AKERDIRECT" hidden="1">#REF!</definedName>
    <definedName name="__123Graph_AKERPRESTIGE" hidden="1">#REF!</definedName>
    <definedName name="__123Graph_ALTPPRESTIGE" hidden="1">#REF!</definedName>
    <definedName name="__123Graph_ALTPREPS" hidden="1">#REF!</definedName>
    <definedName name="__123Graph_B" hidden="1">#REF!</definedName>
    <definedName name="__123Graph_BCurrent" hidden="1">#REF!</definedName>
    <definedName name="__123Graph_BGRAPH1" hidden="1">#REF!</definedName>
    <definedName name="__123Graph_BGRAPH11" hidden="1">#REF!</definedName>
    <definedName name="__123Graph_BGRAPH7" hidden="1">#REF!</definedName>
    <definedName name="__123Graph_BINNE" hidden="1">#REF!</definedName>
    <definedName name="__123Graph_BKERASTASE" hidden="1">#REF!</definedName>
    <definedName name="__123Graph_BKERDIRECT" hidden="1">#REF!</definedName>
    <definedName name="__123Graph_BKERPRESTIGE" hidden="1">#REF!</definedName>
    <definedName name="__123Graph_BLTPPRESTIGE" hidden="1">#REF!</definedName>
    <definedName name="__123Graph_BLTPREPS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GRAPH1" hidden="1">#REF!</definedName>
    <definedName name="__123Graph_LBL_AGRAPH11" hidden="1">#REF!</definedName>
    <definedName name="__123Graph_LBL_AGRAPH6" hidden="1">#REF!</definedName>
    <definedName name="__123Graph_LBL_AGRAPH8" hidden="1">#REF!</definedName>
    <definedName name="__123Graph_LBL_AGRAPH9" hidden="1">#REF!</definedName>
    <definedName name="__123Graph_LBL_AINNE" hidden="1">#REF!</definedName>
    <definedName name="__123Graph_LBL_AKERASTASE" hidden="1">#REF!</definedName>
    <definedName name="__123Graph_LBL_AKERDIRECT" hidden="1">#REF!</definedName>
    <definedName name="__123Graph_LBL_AKERPRESTIGE" hidden="1">#REF!</definedName>
    <definedName name="__123Graph_LBL_ALTPPRESTIGE" hidden="1">#REF!</definedName>
    <definedName name="__123Graph_LBL_ALTPREPS" hidden="1">#REF!</definedName>
    <definedName name="__123Graph_LBL_CKERPRESTIGE" hidden="1">#REF!</definedName>
    <definedName name="__123Graph_LBL_CLTPPRESTIGE" hidden="1">#REF!</definedName>
    <definedName name="__123Graph_LBL_CLTPREPS" hidden="1">#REF!</definedName>
    <definedName name="__123Graph_X" hidden="1">#REF!</definedName>
    <definedName name="__123Graph_XGRAPH12" hidden="1">#REF!</definedName>
    <definedName name="__123Graph_XGRAPH7" hidden="1">#REF!</definedName>
    <definedName name="__123Graph_XGRAPH9" hidden="1">#REF!</definedName>
    <definedName name="__123Graph_XINNE" hidden="1">#REF!</definedName>
    <definedName name="__123Graph_XKERASTASE" hidden="1">#REF!</definedName>
    <definedName name="__123Graph_XKERDIRECT" hidden="1">#REF!</definedName>
    <definedName name="__123Graph_XKERPRESTIGE" hidden="1">#REF!</definedName>
    <definedName name="__123Graph_XLTPPRESTIGE" hidden="1">#REF!</definedName>
    <definedName name="__123Graph_XLTPREPS" hidden="1">#REF!</definedName>
    <definedName name="__13__123Graph_XW_SAVERAGE" hidden="1">#REF!</definedName>
    <definedName name="__2__123Graph_ALTP_W_S" hidden="1">#REF!</definedName>
    <definedName name="__3__123Graph_BLTP_DIRECT" hidden="1">#REF!</definedName>
    <definedName name="__4__123Graph_BLTP_W_S" hidden="1">#REF!</definedName>
    <definedName name="__5__123Graph_CW_SAVERAGE" hidden="1">#REF!</definedName>
    <definedName name="__6__123Graph_DW_SAVERAGE" hidden="1">#REF!</definedName>
    <definedName name="__7__123Graph_EW_SAVERAGE" hidden="1">#REF!</definedName>
    <definedName name="__8__123Graph_LBL_ALTP_DIRECT" hidden="1">#REF!</definedName>
    <definedName name="__9__123Graph_LBL_ALTP_W_S" hidden="1">#REF!</definedName>
    <definedName name="__ddf6" localSheetId="1" hidden="1">{"'Matrix'!$A$3:$J$47"}</definedName>
    <definedName name="__ddf6" localSheetId="3" hidden="1">{"'Matrix'!$A$3:$J$47"}</definedName>
    <definedName name="__ddf6" localSheetId="4" hidden="1">{"'Matrix'!$A$3:$J$47"}</definedName>
    <definedName name="__ddf6" localSheetId="5" hidden="1">{"'Matrix'!$A$3:$J$47"}</definedName>
    <definedName name="__ddf6" hidden="1">{"'Matrix'!$A$3:$J$47"}</definedName>
    <definedName name="__FDS_HYPERLINK_TOGGLE_STATE__" hidden="1">"ON"</definedName>
    <definedName name="__IntlFixup" hidden="1">TRUE</definedName>
    <definedName name="__KE8" hidden="1">#REF!</definedName>
    <definedName name="__key11" hidden="1">#REF!</definedName>
    <definedName name="__key12" hidden="1">#REF!</definedName>
    <definedName name="__KEY123" hidden="1">#REF!</definedName>
    <definedName name="__key2" hidden="1">#REF!</definedName>
    <definedName name="__KEY3" hidden="1">#REF!</definedName>
    <definedName name="__KEY4" hidden="1">#REF!</definedName>
    <definedName name="__KEY5" hidden="1">#REF!</definedName>
    <definedName name="__KEY6" hidden="1">#REF!</definedName>
    <definedName name="__KEY7" hidden="1">#REF!</definedName>
    <definedName name="__key8" hidden="1">#REF!</definedName>
    <definedName name="__KEY90" hidden="1">#REF!</definedName>
    <definedName name="__New2" localSheetId="1" hidden="1">{"ELUSA",#N/A,FALSE,"EL"}</definedName>
    <definedName name="__New2" localSheetId="3" hidden="1">{"ELUSA",#N/A,FALSE,"EL"}</definedName>
    <definedName name="__New2" localSheetId="4" hidden="1">{"ELUSA",#N/A,FALSE,"EL"}</definedName>
    <definedName name="__New2" localSheetId="5" hidden="1">{"ELUSA",#N/A,FALSE,"EL"}</definedName>
    <definedName name="__New2" hidden="1">{"ELUSA",#N/A,FALSE,"EL"}</definedName>
    <definedName name="__q1" localSheetId="1" hidden="1">{#N/A,#N/A,FALSE,"elraw";#N/A,#N/A,FALSE,"clraw ";#N/A,#N/A,FALSE,"pxraw ";#N/A,#N/A,FALSE,"arraw ";#N/A,#N/A,FALSE,"orraw ";#N/A,#N/A,FALSE,"90raw  ";#N/A,#N/A,FALSE,"dcraw   "}</definedName>
    <definedName name="__q1" localSheetId="3" hidden="1">{#N/A,#N/A,FALSE,"elraw";#N/A,#N/A,FALSE,"clraw ";#N/A,#N/A,FALSE,"pxraw ";#N/A,#N/A,FALSE,"arraw ";#N/A,#N/A,FALSE,"orraw ";#N/A,#N/A,FALSE,"90raw  ";#N/A,#N/A,FALSE,"dcraw   "}</definedName>
    <definedName name="__q1" localSheetId="4" hidden="1">{#N/A,#N/A,FALSE,"elraw";#N/A,#N/A,FALSE,"clraw ";#N/A,#N/A,FALSE,"pxraw ";#N/A,#N/A,FALSE,"arraw ";#N/A,#N/A,FALSE,"orraw ";#N/A,#N/A,FALSE,"90raw  ";#N/A,#N/A,FALSE,"dcraw   "}</definedName>
    <definedName name="__q1" localSheetId="5" hidden="1">{#N/A,#N/A,FALSE,"elraw";#N/A,#N/A,FALSE,"clraw ";#N/A,#N/A,FALSE,"pxraw ";#N/A,#N/A,FALSE,"arraw ";#N/A,#N/A,FALSE,"orraw ";#N/A,#N/A,FALSE,"90raw  ";#N/A,#N/A,FALSE,"dcraw   "}</definedName>
    <definedName name="__q1" hidden="1">{#N/A,#N/A,FALSE,"elraw";#N/A,#N/A,FALSE,"clraw ";#N/A,#N/A,FALSE,"pxraw ";#N/A,#N/A,FALSE,"arraw ";#N/A,#N/A,FALSE,"orraw ";#N/A,#N/A,FALSE,"90raw  ";#N/A,#N/A,FALSE,"dcraw   "}</definedName>
    <definedName name="_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_xlcn.WorksheetConnection_数据源数云AS1" hidden="1">#REF!</definedName>
    <definedName name="__xlcn.WorksheetConnection_数云订单AS1" hidden="1">#REF!</definedName>
    <definedName name="__xlcn.WorksheetConnection_数云订单AS11" hidden="1">#REF!</definedName>
    <definedName name="__xlcn.WorksheetConnection_数云订单BP1" hidden="1">#REF!</definedName>
    <definedName name="__xlcn.WorksheetConnection_数云订单数据BT1" hidden="1">#REF!</definedName>
    <definedName name="__xlcn.WorksheetConnection_现货数据源数云AS1" hidden="1">#REF!</definedName>
    <definedName name="__xlfn.IFERROR" hidden="1">#NAME?</definedName>
    <definedName name="_1__123Graph_ALTP_DIRECT" hidden="1">#REF!</definedName>
    <definedName name="_10__123Graph_CW_SAVERAGE" hidden="1">#REF!</definedName>
    <definedName name="_10__123Graph_LBL_AG_FRAM2H" hidden="1">#REF!</definedName>
    <definedName name="_10__123Graph_LBL_CLTP_DIRECT" hidden="1">#REF!</definedName>
    <definedName name="_11__123Graph_XLTP_DIRECT" hidden="1">#REF!</definedName>
    <definedName name="_12__123Graph_ALTP_W_S" hidden="1">#REF!</definedName>
    <definedName name="_12__123Graph_BLTP_DIRECT" hidden="1">#REF!</definedName>
    <definedName name="_12__123Graph_BLTP_W_S" hidden="1">#REF!</definedName>
    <definedName name="_12__123Graph_DW_SAVERAGE" hidden="1">#REF!</definedName>
    <definedName name="_12__123Graph_XLTP_W_S" hidden="1">#REF!</definedName>
    <definedName name="_1212" localSheetId="1" hidden="1">{"'毛利比较'!$A$4:$P$26"}</definedName>
    <definedName name="_1212" localSheetId="3" hidden="1">{"'毛利比较'!$A$4:$P$26"}</definedName>
    <definedName name="_1212" localSheetId="4" hidden="1">{"'毛利比较'!$A$4:$P$26"}</definedName>
    <definedName name="_1212" localSheetId="5" hidden="1">{"'毛利比较'!$A$4:$P$26"}</definedName>
    <definedName name="_1212" hidden="1">{"'毛利比较'!$A$4:$P$26"}</definedName>
    <definedName name="_13__123Graph_XW_SAVERAGE" hidden="1">#REF!</definedName>
    <definedName name="_14__123Graph_EW_SAVERAGE" hidden="1">#REF!</definedName>
    <definedName name="_15__123Graph_CW_SAVERAGE" hidden="1">#REF!</definedName>
    <definedName name="_16__123Graph_BLTP_W_S" hidden="1">#REF!</definedName>
    <definedName name="_16__123Graph_LBL_ALTP_DIRECT" hidden="1">#REF!</definedName>
    <definedName name="_18__123Graph_BLTP_DIRECT" hidden="1">#REF!</definedName>
    <definedName name="_18__123Graph_DW_SAVERAGE" hidden="1">#REF!</definedName>
    <definedName name="_18__123Graph_LBL_ALTP_W_S" hidden="1">#REF!</definedName>
    <definedName name="_2__123Graph_ALTP_DIRECT" hidden="1">#REF!</definedName>
    <definedName name="_2__123Graph_ALTP_W_S" hidden="1">#REF!</definedName>
    <definedName name="_2__123Graph_LBL_AG_E15BM1" hidden="1">#REF!</definedName>
    <definedName name="_20__123Graph_CW_SAVERAGE" hidden="1">#REF!</definedName>
    <definedName name="_20__123Graph_LBL_CLTP_DIRECT" hidden="1">#REF!</definedName>
    <definedName name="_21__123Graph_EW_SAVERAGE" hidden="1">#REF!</definedName>
    <definedName name="_22__123Graph_XLTP_DIRECT" hidden="1">#REF!</definedName>
    <definedName name="_24__123Graph_BLTP_W_S" hidden="1">#REF!</definedName>
    <definedName name="_24__123Graph_DW_SAVERAGE" hidden="1">#REF!</definedName>
    <definedName name="_24__123Graph_LBL_ALTP_DIRECT" hidden="1">#REF!</definedName>
    <definedName name="_24__123Graph_XLTP_W_S" hidden="1">#REF!</definedName>
    <definedName name="_26__123Graph_XW_SAVERAGE" hidden="1">#REF!</definedName>
    <definedName name="_27__123Graph_LBL_ALTP_W_S" hidden="1">#REF!</definedName>
    <definedName name="_28__123Graph_EW_SAVERAGE" hidden="1">#REF!</definedName>
    <definedName name="_3__123Graph_ALTP_DIRECT" hidden="1">#REF!</definedName>
    <definedName name="_3__123Graph_BLTP_DIRECT" hidden="1">#REF!</definedName>
    <definedName name="_30__123Graph_CW_SAVERAGE" hidden="1">#REF!</definedName>
    <definedName name="_30__123Graph_LBL_CLTP_DIRECT" hidden="1">#REF!</definedName>
    <definedName name="_32__123Graph_LBL_ALTP_DIRECT" hidden="1">#REF!</definedName>
    <definedName name="_33__123Graph_XLTP_DIRECT" hidden="1">#REF!</definedName>
    <definedName name="_36__123Graph_DW_SAVERAGE" hidden="1">#REF!</definedName>
    <definedName name="_36__123Graph_LBL_ALTP_W_S" hidden="1">#REF!</definedName>
    <definedName name="_36__123Graph_XLTP_W_S" hidden="1">#REF!</definedName>
    <definedName name="_39__123Graph_XW_SAVERAGE" hidden="1">#REF!</definedName>
    <definedName name="_4__123Graph_ALTP_DIRECT" hidden="1">#REF!</definedName>
    <definedName name="_4__123Graph_ALTP_W_S" hidden="1">#REF!</definedName>
    <definedName name="_4__123Graph_BLTP_W_S" hidden="1">#REF!</definedName>
    <definedName name="_4__123Graph_LBL_AG_E15M2H" hidden="1">#REF!</definedName>
    <definedName name="_40__123Graph_LBL_CLTP_DIRECT" hidden="1">#REF!</definedName>
    <definedName name="_42__123Graph_EW_SAVERAGE" hidden="1">#REF!</definedName>
    <definedName name="_44__123Graph_XLTP_DIRECT" hidden="1">#REF!</definedName>
    <definedName name="_48__123Graph_LBL_ALTP_DIRECT" hidden="1">#REF!</definedName>
    <definedName name="_48__123Graph_XLTP_W_S" hidden="1">#REF!</definedName>
    <definedName name="_5__123Graph_CW_SAVERAGE" hidden="1">#REF!</definedName>
    <definedName name="_52__123Graph_XW_SAVERAGE" hidden="1">#REF!</definedName>
    <definedName name="_54__123Graph_LBL_ALTP_W_S" hidden="1">#REF!</definedName>
    <definedName name="_6__123Graph_ALTP_DIRECT" hidden="1">#REF!</definedName>
    <definedName name="_6__123Graph_ALTP_W_S" hidden="1">#REF!</definedName>
    <definedName name="_6__123Graph_BLTP_DIRECT" hidden="1">#REF!</definedName>
    <definedName name="_6__123Graph_DW_SAVERAGE" hidden="1">#REF!</definedName>
    <definedName name="_6_123Graph_LBL_AG_FRA" hidden="1">#REF!</definedName>
    <definedName name="_60__123Graph_LBL_CLTP_DIRECT" hidden="1">#REF!</definedName>
    <definedName name="_66__123Graph_XLTP_DIRECT" hidden="1">#REF!</definedName>
    <definedName name="_7__123Graph_EW_SAVERAGE" hidden="1">#REF!</definedName>
    <definedName name="_72__123Graph_XLTP_W_S" hidden="1">#REF!</definedName>
    <definedName name="_78__123Graph_XW_SAVERAGE" hidden="1">#REF!</definedName>
    <definedName name="_8__123Graph_ALTP_W_S" hidden="1">#REF!</definedName>
    <definedName name="_8__123Graph_BLTP_W_S" hidden="1">#REF!</definedName>
    <definedName name="_8__123Graph_LBL_AG_FRABM1" hidden="1">#REF!</definedName>
    <definedName name="_8__123Graph_LBL_ALTP_DIRECT" hidden="1">#REF!</definedName>
    <definedName name="_9__123Graph_BLTP_DIRECT" hidden="1">#REF!</definedName>
    <definedName name="_9__123Graph_LBL_ALTP_W_S" hidden="1">#REF!</definedName>
    <definedName name="_a1" localSheetId="1" hidden="1">{"mgmt forecast",#N/A,FALSE,"Mgmt Forecast";"dcf table",#N/A,FALSE,"Mgmt Forecast";"sensitivity",#N/A,FALSE,"Mgmt Forecast";"table inputs",#N/A,FALSE,"Mgmt Forecast";"calculations",#N/A,FALSE,"Mgmt Forecast"}</definedName>
    <definedName name="_a1" localSheetId="3" hidden="1">{"mgmt forecast",#N/A,FALSE,"Mgmt Forecast";"dcf table",#N/A,FALSE,"Mgmt Forecast";"sensitivity",#N/A,FALSE,"Mgmt Forecast";"table inputs",#N/A,FALSE,"Mgmt Forecast";"calculations",#N/A,FALSE,"Mgmt Forecast"}</definedName>
    <definedName name="_a1" localSheetId="4" hidden="1">{"mgmt forecast",#N/A,FALSE,"Mgmt Forecast";"dcf table",#N/A,FALSE,"Mgmt Forecast";"sensitivity",#N/A,FALSE,"Mgmt Forecast";"table inputs",#N/A,FALSE,"Mgmt Forecast";"calculations",#N/A,FALSE,"Mgmt Forecast"}</definedName>
    <definedName name="_a1" localSheetId="5" hidden="1">{"mgmt forecast",#N/A,FALSE,"Mgmt Forecast";"dcf table",#N/A,FALSE,"Mgmt Forecast";"sensitivity",#N/A,FALSE,"Mgmt Forecast";"table inputs",#N/A,FALSE,"Mgmt Forecast";"calculations",#N/A,FALSE,"Mgmt Forecast"}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MO_ContentDefinition_120537796" hidden="1">"'Partitions:8'"</definedName>
    <definedName name="_AMO_ContentDefinition_120537796.0" hidden="1">"'&lt;ContentDefinition name=""SASMain:ELCSTD.SUMMARY_PURCHFREQ"" rsid=""120537796"" type=""Dataset"" format=""REPORTXML"" imgfmt=""ACTIVEX"" created=""08/17/2006 21:37:26"" modifed=""11/09/2006 13:34:20"" user=""seepanas"" apply=""True"" thread=""BACKGR'"</definedName>
    <definedName name="_AMO_ContentDefinition_120537796.1" hidden="1">"'OUND"" css=""C:\Program Files\SAS\Shared Files\BIClientStyles\AMODefault.css"" range=""SASMain_ELCSTD_SUMMARY_PURCHFREQ"" auto=""False"" rdc=""False"" mig=""False"" xTime=""00:00:00.1406250"" rTime=""00:00:00.2187500"" bgnew=""False"" nFmt=""True""'"</definedName>
    <definedName name="_AMO_ContentDefinition_120537796.2" hidden="1">"' grphSet=""True"" imgY=""0"" imgX=""0""&gt;
  &lt;files /&gt;
  &lt;param n=""DisplayName"" v=""SASMain:ELCSTD.SUMMARY_PURCHFREQ"" /&gt;
  &lt;param n=""AMO_Version"" v=""2.1"" /&gt;
  &lt;param n=""DataSourceType"" v=""SAS DATASET"" /&gt;
  &lt;param n=""SASFilter"" v=""elc_'"</definedName>
    <definedName name="_AMO_ContentDefinition_120537796.3" hidden="1">"'country='JP' and brand='BB' and channel='RETL'"" /&gt;
  &lt;param n=""OpenDataInto"" v=""ExistingWorksheet"" /&gt;
  &lt;param n=""MoreSheetsForRows"" v=""False"" /&gt;
  &lt;param n=""ClassName"" v=""SAS.OfficeAddin.DataViewItem"" /&gt;
  &lt;param n=""ServerName"" v'"</definedName>
    <definedName name="_AMO_ContentDefinition_120537796.4" hidden="1">"'=""SASMain""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UseLbls='"</definedName>
    <definedName name="_AMO_ContentDefinition_120537796.5" hidden="1">"'&amp;quot;true&amp;quot; ColSelFlg=&amp;quot;1&amp;quot; Name=&amp;quot;SUMMARY_PURCHFREQ&amp;quot;&amp;gt;&amp;#xD;&amp;#xA;&amp;lt;Cols&amp;gt;&amp;#xD;&amp;#xA;&amp;lt;cn&amp;gt;NumberofTransactions&amp;lt;/cn&amp;gt;&amp;#xD;&amp;#xA;&amp;lt;cn&amp;gt;Customers&amp;lt;/cn&amp;gt;&amp;#xD;&amp;#xA;&amp;lt;cn&amp;gt;PercentofCustomers&amp;lt;/cn&amp;gt;&amp;#xD;&amp;#xA;'"</definedName>
    <definedName name="_AMO_ContentDefinition_120537796.6" hidden="1">"'&amp;lt;/Cols&amp;gt;&amp;#xD;&amp;#xA;&amp;lt;ColOrd&amp;gt;&amp;#xD;&amp;#xA;&amp;lt;cn&amp;gt;NumberofTransactions&amp;lt;/cn&amp;gt;&amp;#xD;&amp;#xA;&amp;lt;cn&amp;gt;Customers&amp;lt;/cn&amp;gt;&amp;#xD;&amp;#xA;&amp;lt;cn&amp;gt;PercentofCustomers&amp;lt;/cn&amp;gt;&amp;#xD;&amp;#xA;&amp;lt;cn&amp;gt;elc_country&amp;lt;/cn&amp;gt;&amp;#xD;&amp;#xA;&amp;lt;cn&amp;gt;brand&amp;lt;/cn'"</definedName>
    <definedName name="_AMO_ContentDefinition_120537796.7" hidden="1">"'&amp;gt;&amp;#xD;&amp;#xA;&amp;lt;cn&amp;gt;channel&amp;lt;/cn&amp;gt;&amp;#xD;&amp;#xA;&amp;lt;/ColOrd&amp;gt;&amp;#xD;&amp;#xA;&amp;lt;/SasDataSource&amp;gt;"" /&gt;
  &lt;ExcelXMLOptions AdjColWidths=""False"" RowOpt=""InsertCells"" ColOpt=""InsertCells"" /&gt;
&lt;/ContentDefinition&gt;'"</definedName>
    <definedName name="_AMO_ContentDefinition_356642672" hidden="1">"'Partitions:8'"</definedName>
    <definedName name="_AMO_ContentDefinition_356642672.0" hidden="1">"'&lt;ContentDefinition name=""SASMain:ELCSTD.SUMMARY_HEADERS"" rsid=""356642672"" type=""Dataset"" format=""REPORTXML"" imgfmt=""ACTIVEX"" created=""08/17/2006 22:03:31"" modifed=""11/09/2006 13:34:19"" user=""seepanas"" apply=""True"" thread=""BACKGROU'"</definedName>
    <definedName name="_AMO_ContentDefinition_356642672.1" hidden="1">"'ND"" css=""C:\Program Files\SAS\Shared Files\BIClientStyles\AMODefault.css"" range=""SASMain_ELCSTD_SUMMARY_HEADERS"" auto=""False"" rdc=""False"" mig=""False"" xTime=""00:00:00.1562500"" rTime=""00:00:00.3906250"" bgnew=""False"" nFmt=""True"" gr'"</definedName>
    <definedName name="_AMO_ContentDefinition_356642672.2" hidden="1">"'phSet=""True"" imgY=""0"" imgX=""0""&gt;
  &lt;files /&gt;
  &lt;param n=""DisplayName"" v=""SASMain:ELCSTD.SUMMARY_HEADERS"" /&gt;
  &lt;param n=""AMO_Version"" v=""2.1"" /&gt;
  &lt;param n=""DataSourceType"" v=""SAS DATASET"" /&gt;
  &lt;param n=""SASFilter"" v=""elc_count'"</definedName>
    <definedName name="_AMO_ContentDefinition_356642672.3" hidden="1">"'ry='JP' and brand='BB' and channel='RETL'"" /&gt;
  &lt;param n=""OpenDataInto"" v=""ExistingWorksheet"" /&gt;
  &lt;param n=""MoreSheetsForRows"" v=""False"" /&gt;
  &lt;param n=""ClassName"" v=""SAS.OfficeAddin.DataViewItem"" /&gt;
  &lt;param n=""ServerName"" v=""SAS'"</definedName>
    <definedName name="_AMO_ContentDefinition_356642672.4" hidden="1">"'Main""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UseLbls=&amp;quot;'"</definedName>
    <definedName name="_AMO_ContentDefinition_356642672.5" hidden="1">"'true&amp;quot; ColSelFlg=&amp;quot;2&amp;quot; Name=&amp;quot;SUMMARY_HEADERS&amp;quot;&amp;gt;&amp;#xD;&amp;#xA;&amp;lt;Cols&amp;gt;&amp;#xD;&amp;#xA;&amp;lt;cn&amp;gt;hdr1&amp;lt;/cn&amp;gt;&amp;#xD;&amp;#xA;&amp;lt;/Cols&amp;gt;&amp;#xD;&amp;#xA;&amp;lt;ColOrd&amp;gt;&amp;#xD;&amp;#xA;&amp;lt;cn&amp;gt;hdr1&amp;lt;/cn&amp;gt;&amp;#xD;&amp;#xA;&amp;lt;cn&amp;gt;elc_country&amp;lt;/cn&amp;gt'"</definedName>
    <definedName name="_AMO_ContentDefinition_356642672.6" hidden="1">"';&amp;#xD;&amp;#xA;&amp;lt;cn&amp;gt;brand&amp;lt;/cn&amp;gt;&amp;#xD;&amp;#xA;&amp;lt;cn&amp;gt;channel&amp;lt;/cn&amp;gt;&amp;#xD;&amp;#xA;&amp;lt;cn&amp;gt;hdr2&amp;lt;/cn&amp;gt;&amp;#xD;&amp;#xA;&amp;lt;cn&amp;gt;hdr3&amp;lt;/cn&amp;gt;&amp;#xD;&amp;#xA;&amp;lt;cn&amp;gt;hdr4&amp;lt;/cn&amp;gt;&amp;#xD;&amp;#xA;&amp;lt;cn&amp;gt;hdr0&amp;lt;/cn&amp;gt;&amp;#xD;&amp;#xA;&amp;lt;/ColOrd&amp;gt;&amp;#xD;&amp;#xA;&amp;'"</definedName>
    <definedName name="_AMO_ContentDefinition_356642672.7" hidden="1">"'lt;/SasDataSource&amp;gt;"" /&gt;
  &lt;ExcelXMLOptions AdjColWidths=""False"" RowOpt=""InsertCells"" ColOpt=""InsertCells"" /&gt;
&lt;/ContentDefinition&gt;'"</definedName>
    <definedName name="_AMO_ContentDefinition_388544619" hidden="1">"'Partitions:10'"</definedName>
    <definedName name="_AMO_ContentDefinition_388544619.0" hidden="1">"'&lt;ContentDefinition name=""SASMain:ELCSTD.SUMMARY_NEWTOFILETRANS"" rsid=""388544619"" type=""Dataset"" format=""REPORTXML"" imgfmt=""ACTIVEX"" created=""08/17/2006 21:48:12"" modifed=""11/09/2006 13:34:19"" user=""seepanas"" apply=""True"" thread=""B'"</definedName>
    <definedName name="_AMO_ContentDefinition_388544619.1" hidden="1">"'ACKGROUND"" css=""C:\Program Files\SAS\Shared Files\BIClientStyles\AMODefault.css"" range=""SASMain_ELCSTD_SUMMARY_NEWTOFILETRANS"" auto=""False"" rdc=""False"" mig=""False"" xTime=""00:00:00.2968750"" rTime=""00:00:00.3750000"" bgnew=""False"" nFm'"</definedName>
    <definedName name="_AMO_ContentDefinition_388544619.2" hidden="1">"'t=""True"" grphSet=""True"" imgY=""0"" imgX=""0""&gt;
  &lt;files /&gt;
  &lt;param n=""DisplayName"" v=""SASMain:ELCSTD.SUMMARY_NEWTOFILETRANS"" /&gt;
  &lt;param n=""AMO_Version"" v=""2.1"" /&gt;
  &lt;param n=""DataSourceType"" v=""SAS DATASET"" /&gt;
  &lt;param n=""SAS'"</definedName>
    <definedName name="_AMO_ContentDefinition_388544619.3" hidden="1">"'Filter"" v=""elc_country='JP' and brand='BB' and channel='RETL' and contactinformation like '%JP%'"" /&gt;
  &lt;param n=""OpenDataInto"" v=""ExistingWorksheet"" /&gt;
  &lt;param n=""MoreSheetsForRows"" v=""False"" /&gt;
  &lt;param n=""ClassName"" v=""SAS.OfficeAd'"</definedName>
    <definedName name="_AMO_ContentDefinition_388544619.4" hidden="1">"'din.DataViewItem"" /&gt;
  &lt;param n=""ServerName"" v=""SASMain"" /&gt;
  &lt;param n=""DataSource"" v=""&amp;lt;SasDataSource Version=&amp;quot;2.1&amp;quot; Type=&amp;quot;SAS.Servers.Dataset&amp;quot; Svr=&amp;quot;SASMain&amp;quot; Lib=&amp;quot;ELCSTD&amp;quot; Filter=&amp;quot;elc_country='JP'"</definedName>
    <definedName name="_AMO_ContentDefinition_388544619.5" hidden="1">"'' and brand='BB' and channel='RETL' and contactinformation like '%JP%'&amp;quot; UseLbls=&amp;quot;true&amp;quot; ColSelFlg=&amp;quot;1&amp;quot; Name=&amp;quot;SUMMARY_NEWTOFILETRANS&amp;quot;&amp;gt;&amp;#xD;&amp;#xA;&amp;lt;Cols&amp;gt;&amp;#xD;&amp;#xA;&amp;lt;cn&amp;gt;tm&amp;lt;/cn&amp;gt;&amp;#xD;&amp;#xA;&amp;lt;cn&amp;gt;ty&amp;lt;/'"</definedName>
    <definedName name="_AMO_ContentDefinition_388544619.6" hidden="1">"'cn&amp;gt;&amp;#xD;&amp;#xA;&amp;lt;cn&amp;gt;py&amp;lt;/cn&amp;gt;&amp;#xD;&amp;#xA;&amp;lt;cn&amp;gt;PctChangeY&amp;lt;/cn&amp;gt;&amp;#xD;&amp;#xA;&amp;lt;/Cols&amp;gt;&amp;#xD;&amp;#xA;&amp;lt;ColOrd&amp;gt;&amp;#xD;&amp;#xA;&amp;lt;cn&amp;gt;tm&amp;lt;/cn&amp;gt;&amp;#xD;&amp;#xA;&amp;lt;cn&amp;gt;ty&amp;lt;/cn&amp;gt;&amp;#xD;&amp;#xA;&amp;lt;cn&amp;gt;py&amp;lt;/cn&amp;gt;&amp;#xD;&amp;#xA;&amp;lt;cn&amp;gt;PctCh'"</definedName>
    <definedName name="_AMO_ContentDefinition_388544619.7" hidden="1">"'angeY&amp;lt;/cn&amp;gt;&amp;#xD;&amp;#xA;&amp;lt;cn&amp;gt;elc_country&amp;lt;/cn&amp;gt;&amp;#xD;&amp;#xA;&amp;lt;cn&amp;gt;brand&amp;lt;/cn&amp;gt;&amp;#xD;&amp;#xA;&amp;lt;cn&amp;gt;channel&amp;lt;/cn&amp;gt;&amp;#xD;&amp;#xA;&amp;lt;cn&amp;gt;ContactInformation&amp;lt;/cn&amp;gt;&amp;#xD;&amp;#xA;&amp;lt;cn&amp;gt;tm_pct&amp;lt;/cn&amp;gt;&amp;#xD;&amp;#xA;&amp;lt;cn&amp;gt;ty_pct&amp;lt;/cn'"</definedName>
    <definedName name="_AMO_ContentDefinition_388544619.8" hidden="1">"'&amp;gt;&amp;#xD;&amp;#xA;&amp;lt;cn&amp;gt;pm&amp;lt;/cn&amp;gt;&amp;#xD;&amp;#xA;&amp;lt;cn&amp;gt;pm_pct&amp;lt;/cn&amp;gt;&amp;#xD;&amp;#xA;&amp;lt;cn&amp;gt;PctChangeM&amp;lt;/cn&amp;gt;&amp;#xD;&amp;#xA;&amp;lt;cn&amp;gt;py_pct&amp;lt;/cn&amp;gt;&amp;#xD;&amp;#xA;&amp;lt;/ColOrd&amp;gt;&amp;#xD;&amp;#xA;&amp;lt;/SasDataSource&amp;gt;"" /&gt;
  &lt;ExcelXMLOptions AdjColWidths=""F'"</definedName>
    <definedName name="_AMO_ContentDefinition_388544619.9" hidden="1">"'alse"" RowOpt=""InsertCells"" ColOpt=""InsertCells"" /&gt;
&lt;/ContentDefinition&gt;'"</definedName>
    <definedName name="_AMO_ContentDefinition_43577925" hidden="1">"'Partitions:8'"</definedName>
    <definedName name="_AMO_ContentDefinition_43577925.0" hidden="1">"'&lt;ContentDefinition name=""SASMain:ELCSTD.SUMMARY_TOPCUST25"" rsid=""43577925"" type=""Dataset"" format=""REPORTXML"" imgfmt=""ACTIVEX"" created=""08/17/2006 22:19:37"" modifed=""11/09/2006 13:34:21"" user=""seepanas"" apply=""True"" thread=""BACKGRO'"</definedName>
    <definedName name="_AMO_ContentDefinition_43577925.1" hidden="1">"'UND"" css=""C:\Program Files\SAS\Shared Files\BIClientStyles\AMODefault.css"" range=""SASMain_ELCSTD_SUMMARY_TOPCUST25"" auto=""False"" rdc=""False"" mig=""False"" xTime=""00:00:00.2343750"" rTime=""00:00:00.5156250"" bgnew=""False"" nFmt=""True"" '"</definedName>
    <definedName name="_AMO_ContentDefinition_43577925.2" hidden="1">"'grphSet=""True"" imgY=""0"" imgX=""0""&gt;
  &lt;files /&gt;
  &lt;param n=""DisplayName"" v=""SASMain:ELCSTD.SUMMARY_TOPCUST25"" /&gt;
  &lt;param n=""AMO_Version"" v=""2.1"" /&gt;
  &lt;param n=""DataSourceType"" v=""SAS DATASET"" /&gt;
  &lt;param n=""SASFilter"" v=""elc_c'"</definedName>
    <definedName name="_AMO_ContentDefinition_43577925.3" hidden="1">"'ountry='JP' and brand='BB' and channel='RETL'"" /&gt;
  &lt;param n=""OpenDataInto"" v=""ExistingWorksheet"" /&gt;
  &lt;param n=""MoreSheetsForRows"" v=""False"" /&gt;
  &lt;param n=""ClassName"" v=""SAS.OfficeAddin.DataViewItem"" /&gt;
  &lt;param n=""ServerName"" v='"</definedName>
    <definedName name="_AMO_ContentDefinition_43577925.4" hidden="1">"'""SASMain""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UseLbls=&amp;'"</definedName>
    <definedName name="_AMO_ContentDefinition_43577925.5" hidden="1">"'quot;true&amp;quot; ColSelFlg=&amp;quot;1&amp;quot; Name=&amp;quot;SUMMARY_TOPCUST25&amp;quot;&amp;gt;&amp;#xD;&amp;#xA;&amp;lt;Cols&amp;gt;&amp;#xD;&amp;#xA;&amp;lt;cn&amp;gt;CUST_ID&amp;lt;/cn&amp;gt;&amp;#xD;&amp;#xA;&amp;lt;cn&amp;gt;tottrips&amp;lt;/cn&amp;gt;&amp;#xD;&amp;#xA;&amp;lt;cn&amp;gt;totrev&amp;lt;/cn&amp;gt;&amp;#xD;&amp;#xA;&amp;lt;/Cols&amp;gt;&amp;#xD;&amp;#xA;&amp;lt;'"</definedName>
    <definedName name="_AMO_ContentDefinition_43577925.6" hidden="1">"'ColOrd&amp;gt;&amp;#xD;&amp;#xA;&amp;lt;cn&amp;gt;CUST_ID&amp;lt;/cn&amp;gt;&amp;#xD;&amp;#xA;&amp;lt;cn&amp;gt;tottrips&amp;lt;/cn&amp;gt;&amp;#xD;&amp;#xA;&amp;lt;cn&amp;gt;totrev&amp;lt;/cn&amp;gt;&amp;#xD;&amp;#xA;&amp;lt;cn&amp;gt;elc_country&amp;lt;/cn&amp;gt;&amp;#xD;&amp;#xA;&amp;lt;cn&amp;gt;brand&amp;lt;/cn&amp;gt;&amp;#xD;&amp;#xA;&amp;lt;cn&amp;gt;channel&amp;lt;/cn&amp;gt;&amp;#xD;&amp;#xA;&amp;'"</definedName>
    <definedName name="_AMO_ContentDefinition_43577925.7" hidden="1">"'lt;/ColOrd&amp;gt;&amp;#xD;&amp;#xA;&amp;lt;/SasDataSource&amp;gt;"" /&gt;
  &lt;ExcelXMLOptions AdjColWidths=""False"" RowOpt=""InsertCells"" ColOpt=""InsertCells"" /&gt;
&lt;/ContentDefinition&gt;'"</definedName>
    <definedName name="_AMO_ContentDefinition_525496189" hidden="1">"'Partitions:11'"</definedName>
    <definedName name="_AMO_ContentDefinition_525496189.0" hidden="1">"'&lt;ContentDefinition name=""SASMain:ELCSTD.SUMMARY_DECILEGROUP"" rsid=""525496189"" type=""Dataset"" format=""REPORTXML"" imgfmt=""ACTIVEX"" created=""08/17/2006 21:55:02"" modifed=""11/09/2006 13:34:20"" user=""seepanas"" apply=""True"" thread=""BACK'"</definedName>
    <definedName name="_AMO_ContentDefinition_525496189.1" hidden="1">"'GROUND"" css=""C:\Program Files\SAS\Shared Files\BIClientStyles\AMODefault.css"" range=""SASMain_ELCSTD_SUMMARY_DECILEGROUP"" auto=""False"" rdc=""False"" mig=""False"" xTime=""00:00:00.1562500"" rTime=""00:00:00.3437500"" bgnew=""False"" nFmt=""Tr'"</definedName>
    <definedName name="_AMO_ContentDefinition_525496189.10" hidden="1">"'t;/ColOrd&amp;gt;&amp;#xD;&amp;#xA;&amp;lt;/SasDataSource&amp;gt;"" /&gt;
  &lt;ExcelXMLOptions AdjColWidths=""False"" RowOpt=""InsertCells"" ColOpt=""InsertCells"" /&gt;
&lt;/ContentDefinition&gt;'"</definedName>
    <definedName name="_AMO_ContentDefinition_525496189.2" hidden="1">"'ue"" grphSet=""True"" imgY=""0"" imgX=""0""&gt;
  &lt;files /&gt;
  &lt;param n=""DisplayName"" v=""SASMain:ELCSTD.SUMMARY_DECILEGROUP"" /&gt;
  &lt;param n=""AMO_Version"" v=""2.1"" /&gt;
  &lt;param n=""DataSourceType"" v=""SAS DATASET"" /&gt;
  &lt;param n=""SASFilter"" v'"</definedName>
    <definedName name="_AMO_ContentDefinition_525496189.3" hidden="1">"'=""elc_country='JP' and brand='BB' and channel='RETL'"" /&gt;
  &lt;param n=""OpenDataInto"" v=""ExistingWorksheet"" /&gt;
  &lt;param n=""MoreSheetsForRows"" v=""False"" /&gt;
  &lt;param n=""ClassName"" v=""SAS.OfficeAddin.DataViewItem"" /&gt;
  &lt;param n=""Server'"</definedName>
    <definedName name="_AMO_ContentDefinition_525496189.4" hidden="1">"'Name"" v=""SASMain""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'"</definedName>
    <definedName name="_AMO_ContentDefinition_525496189.5" hidden="1">"'UseLbls=&amp;quot;true&amp;quot; ColSelFlg=&amp;quot;1&amp;quot; Name=&amp;quot;SUMMARY_DECILEGROUP&amp;quot;&amp;gt;&amp;#xD;&amp;#xA;&amp;lt;Cols&amp;gt;&amp;#xD;&amp;#xA;&amp;lt;cn&amp;gt;Group&amp;lt;/cn&amp;gt;&amp;#xD;&amp;#xA;&amp;lt;cn&amp;gt;Customers&amp;lt;/cn&amp;gt;&amp;#xD;&amp;#xA;&amp;lt;cn&amp;gt;TotalRevenue1000&amp;lt;/cn&amp;gt;&amp;#xD;&amp;#xA;&amp;lt;cn&amp;'"</definedName>
    <definedName name="_AMO_ContentDefinition_525496189.6" hidden="1">"'gt;AvgRevPe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lt;cn&amp;gt;RevenuePct&amp;lt;'"</definedName>
    <definedName name="_AMO_ContentDefinition_525496189.7" hidden="1">"'/cn&amp;gt;&amp;#xD;&amp;#xA;&amp;lt;cn&amp;gt;TransactionPct&amp;lt;/cn&amp;gt;&amp;#xD;&amp;#xA;&amp;lt;/Cols&amp;gt;&amp;#xD;&amp;#xA;&amp;lt;ColOrd&amp;gt;&amp;#xD;&amp;#xA;&amp;lt;cn&amp;gt;Group&amp;lt;/cn&amp;gt;&amp;#xD;&amp;#xA;&amp;lt;cn&amp;gt;Customers&amp;lt;/cn&amp;gt;&amp;#xD;&amp;#xA;&amp;lt;cn&amp;gt;TotalRevenue1000&amp;lt;/cn&amp;gt;&amp;#xD;&amp;#xA;&amp;lt;cn&amp;gt;AvgRevPer'"</definedName>
    <definedName name="_AMO_ContentDefinition_525496189.8" hidden="1">"'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lt;cn&amp;gt;RevenuePct&amp;lt;/cn&amp;gt;&amp;#xD;'"</definedName>
    <definedName name="_AMO_ContentDefinition_525496189.9" hidden="1">"'&amp;#xA;&amp;lt;cn&amp;gt;TransactionPct&amp;lt;/cn&amp;gt;&amp;#xD;&amp;#xA;&amp;lt;cn&amp;gt;elc_country&amp;lt;/cn&amp;gt;&amp;#xD;&amp;#xA;&amp;lt;cn&amp;gt;brand&amp;lt;/cn&amp;gt;&amp;#xD;&amp;#xA;&amp;lt;cn&amp;gt;channel&amp;lt;/cn&amp;gt;&amp;#xD;&amp;#xA;&amp;lt;cn&amp;gt;TotalRevenue&amp;lt;/cn&amp;gt;&amp;#xD;&amp;#xA;&amp;lt;cn&amp;gt;RevChange&amp;lt;/cn&amp;gt;&amp;#xD;&amp;#xA;&amp;l'"</definedName>
    <definedName name="_AMO_ContentDefinition_573259020" hidden="1">"'Partitions:12'"</definedName>
    <definedName name="_AMO_ContentDefinition_573259020.0" hidden="1">"'&lt;ContentDefinition name=""SASMain:ELCSTD.SUMMARY_CUSTDATABASE"" rsid=""573259020"" type=""Dataset"" format=""REPORTXML"" imgfmt=""ACTIVEX"" created=""08/17/2006 21:32:29"" modifed=""11/09/2006 13:34:19"" user=""seepanas"" apply=""True"" thread=""BAC'"</definedName>
    <definedName name="_AMO_ContentDefinition_573259020.1" hidden="1">"'KGROUND"" css=""C:\Program Files\SAS\Shared Files\BIClientStyles\AMODefault.css"" range=""SASMain_ELCSTD_SUMMARY_CUSTDATABASE"" auto=""False"" rdc=""False"" mig=""False"" xTime=""00:00:02.2031250"" rTime=""00:00:00.6718750"" bgnew=""False"" nFmt=""'"</definedName>
    <definedName name="_AMO_ContentDefinition_573259020.10" hidden="1">"'&amp;lt;/cn&amp;gt;&amp;#xD;&amp;#xA;&amp;lt;cn&amp;gt;NameAddr_or_Email&amp;lt;/cn&amp;gt;&amp;#xD;&amp;#xA;&amp;lt;cn&amp;gt;NameAddr_or_NameEmail&amp;lt;/cn&amp;gt;&amp;#xD;&amp;#xA;&amp;lt;cn&amp;gt;NameAddr_or_NameEmail_Pct&amp;lt;/cn&amp;gt;&amp;#xD;&amp;#xA;&amp;lt;cn&amp;gt;NameAddr_or_NameEmail_Pctc&amp;lt;/cn&amp;gt;&amp;#xD;&amp;#xA;&amp;lt;/ColOrd&amp;gt;&amp;#'"</definedName>
    <definedName name="_AMO_ContentDefinition_573259020.11" hidden="1">"'xD;&amp;#xA;&amp;lt;/SasDataSource&amp;gt;"" /&gt;
  &lt;ExcelXMLOptions AdjColWidths=""False"" RowOpt=""InsertCells"" ColOpt=""InsertCells"" /&gt;
&lt;/ContentDefinition&gt;'"</definedName>
    <definedName name="_AMO_ContentDefinition_573259020.2" hidden="1">"'True"" grphSet=""True"" imgY=""0"" imgX=""0""&gt;
  &lt;files /&gt;
  &lt;param n=""DisplayName"" v=""SASMain:ELCSTD.SUMMARY_CUSTDATABASE"" /&gt;
  &lt;param n=""AMO_Version"" v=""2.1"" /&gt;
  &lt;param n=""DataSourceType"" v=""SAS DATASET"" /&gt;
  &lt;param n=""SASFilter'"</definedName>
    <definedName name="_AMO_ContentDefinition_573259020.3" hidden="1">"'"" v=""elc_country='JP' and brand='BB' and channel='RETL'"" /&gt;
  &lt;param n=""OpenDataInto"" v=""ExistingWorksheet"" /&gt;
  &lt;param n=""MoreSheetsForRows"" v=""False"" /&gt;
  &lt;param n=""ClassName"" v=""SAS.OfficeAddin.DataViewItem"" /&gt;
  &lt;param n=""Ser'"</definedName>
    <definedName name="_AMO_ContentDefinition_573259020.4" hidden="1">"'verName"" v=""SASMain""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channel='RETL'&amp;quo'"</definedName>
    <definedName name="_AMO_ContentDefinition_573259020.5" hidden="1">"'t; UseLbls=&amp;quot;true&amp;quot; ColSelFlg=&amp;quot;1&amp;quot; Name=&amp;quot;SUMMARY_CUSTDATABASE&amp;quot;&amp;gt;&amp;#xD;&amp;#xA;&amp;lt;Cols&amp;gt;&amp;#xD;&amp;#xA;&amp;lt;cn&amp;gt;CustomersinDatabase&amp;lt;/cn&amp;gt;&amp;#xD;&amp;#xA;&amp;lt;cn&amp;gt;JP_OptIn&amp;lt;/cn&amp;gt;&amp;#xD;&amp;#xA;&amp;lt;cn&amp;gt;JP_NameAddr&amp;lt;/cn&amp;gt;&amp;#xD;'"</definedName>
    <definedName name="_AMO_ContentDefinition_573259020.6" hidden="1">"'&amp;#xA;&amp;lt;cn&amp;gt;JP_Email&amp;lt;/cn&amp;gt;&amp;#xD;&amp;#xA;&amp;lt;cn&amp;gt;JP_NameAddr_Email&amp;lt;/cn&amp;gt;&amp;#xD;&amp;#xA;&amp;lt;/Cols&amp;gt;&amp;#xD;&amp;#xA;&amp;lt;ColOrd&amp;gt;&amp;#xD;&amp;#xA;&amp;lt;cn&amp;gt;CustomersinDatabase&amp;lt;/cn&amp;gt;&amp;#xD;&amp;#xA;&amp;lt;cn&amp;gt;JP_OptIn&amp;lt;/cn&amp;gt;&amp;#xD;&amp;#xA;&amp;lt;cn&amp;gt;JP_NameAddr&amp;l'"</definedName>
    <definedName name="_AMO_ContentDefinition_573259020.7" hidden="1">"'t;/cn&amp;gt;&amp;#xD;&amp;#xA;&amp;lt;cn&amp;gt;JP_Email&amp;lt;/cn&amp;gt;&amp;#xD;&amp;#xA;&amp;lt;cn&amp;gt;JP_NameAddr_Email&amp;lt;/cn&amp;gt;&amp;#xD;&amp;#xA;&amp;lt;cn&amp;gt;elc_country&amp;lt;/cn&amp;gt;&amp;#xD;&amp;#xA;&amp;lt;cn&amp;gt;brand&amp;lt;/cn&amp;gt;&amp;#xD;&amp;#xA;&amp;lt;cn&amp;gt;channel&amp;lt;/cn&amp;gt;&amp;#xD;&amp;#xA;&amp;lt;cn&amp;gt;OptIn&amp;lt;/cn&amp;gt;&amp;#x'"</definedName>
    <definedName name="_AMO_ContentDefinition_573259020.8" hidden="1">"'D;&amp;#xA;&amp;lt;cn&amp;gt;OptIn_Pct&amp;lt;/cn&amp;gt;&amp;#xD;&amp;#xA;&amp;lt;cn&amp;gt;OptIn_Pctc&amp;lt;/cn&amp;gt;&amp;#xD;&amp;#xA;&amp;lt;cn&amp;gt;NameAddr&amp;lt;/cn&amp;gt;&amp;#xD;&amp;#xA;&amp;lt;cn&amp;gt;NameAddr_Pct&amp;lt;/cn&amp;gt;&amp;#xD;&amp;#xA;&amp;lt;cn&amp;gt;NameAddr_Pctc&amp;lt;/cn&amp;gt;&amp;#xD;&amp;#xA;&amp;lt;cn&amp;gt;Email&amp;lt;/cn&amp;gt;&amp;#xD;&amp;#xA;&amp;'"</definedName>
    <definedName name="_AMO_ContentDefinition_573259020.9" hidden="1">"'lt;cn&amp;gt;NameEmail&amp;lt;/cn&amp;gt;&amp;#xD;&amp;#xA;&amp;lt;cn&amp;gt;NameEmail_Pct&amp;lt;/cn&amp;gt;&amp;#xD;&amp;#xA;&amp;lt;cn&amp;gt;NameEmail_Pctc&amp;lt;/cn&amp;gt;&amp;#xD;&amp;#xA;&amp;lt;cn&amp;gt;NameAddr_Email&amp;lt;/cn&amp;gt;&amp;#xD;&amp;#xA;&amp;lt;cn&amp;gt;NameAddr_Email_Pct&amp;lt;/cn&amp;gt;&amp;#xD;&amp;#xA;&amp;lt;cn&amp;gt;NameAddr_Email_Pctc'"</definedName>
    <definedName name="_AMO_ContentDefinition_641051926" hidden="1">"'Partitions:10'"</definedName>
    <definedName name="_AMO_ContentDefinition_641051926.0" hidden="1">"'&lt;ContentDefinition name=""SASMain:ELCSTD.SUMMARY_ACTIVECUST"" rsid=""641051926"" type=""Dataset"" format=""REPORTXML"" imgfmt=""ACTIVEX"" created=""08/17/2006 21:46:04"" modifed=""11/09/2006 13:34:20"" user=""seepanas"" apply=""True"" thread=""BACKG'"</definedName>
    <definedName name="_AMO_ContentDefinition_641051926.1" hidden="1">"'ROUND"" css=""C:\Program Files\SAS\Shared Files\BIClientStyles\AMODefault.css"" range=""SASMain_ELCSTD_SUMMARY_ACTIVECUST"" auto=""False"" rdc=""False"" mig=""False"" xTime=""00:00:00.1406250"" rTime=""00:00:00.3125000"" bgnew=""False"" nFmt=""True'"</definedName>
    <definedName name="_AMO_ContentDefinition_641051926.2" hidden="1">"'"" grphSet=""True"" imgY=""0"" imgX=""0""&gt;
  &lt;files /&gt;
  &lt;param n=""DisplayName"" v=""SASMain:ELCSTD.SUMMARY_ACTIVECUST"" /&gt;
  &lt;param n=""AMO_Version"" v=""2.1"" /&gt;
  &lt;param n=""DataSourceType"" v=""SAS DATASET"" /&gt;
  &lt;param n=""SASFilter"" v=""e'"</definedName>
    <definedName name="_AMO_ContentDefinition_641051926.3" hidden="1">"'lc_country='JP' and brand='BB' and channel='RETL' and contactinformation like '%JP%'"" /&gt;
  &lt;param n=""OpenDataInto"" v=""ExistingWorksheet"" /&gt;
  &lt;param n=""MoreSheetsForRows"" v=""False"" /&gt;
  &lt;param n=""ClassName"" v=""SAS.OfficeAddin.DataViewI'"</definedName>
    <definedName name="_AMO_ContentDefinition_641051926.4" hidden="1">"'tem"" /&gt;
  &lt;param n=""ServerName"" v=""SASMain"" /&gt;
  &lt;param n=""DataSource"" v=""&amp;lt;SasDataSource Version=&amp;quot;2.1&amp;quot; Type=&amp;quot;SAS.Servers.Dataset&amp;quot; Svr=&amp;quot;SASMain&amp;quot; Lib=&amp;quot;ELCSTD&amp;quot; Filter=&amp;quot;elc_country='JP' and brand=''"</definedName>
    <definedName name="_AMO_ContentDefinition_641051926.5" hidden="1">"'BB' and channel='RETL' and contactinformation like '%JP%'&amp;quot; UseLbls=&amp;quot;true&amp;quot; ColSelFlg=&amp;quot;1&amp;quot; Name=&amp;quot;SUMMARY_ACTIVECUST&amp;quot;&amp;gt;&amp;#xD;&amp;#xA;&amp;lt;Cols&amp;gt;&amp;#xD;&amp;#xA;&amp;lt;cn&amp;gt;tm&amp;lt;/cn&amp;gt;&amp;#xD;&amp;#xA;&amp;lt;cn&amp;gt;ty&amp;lt;/cn&amp;gt;&amp;#xD;&amp;#xA;&amp;'"</definedName>
    <definedName name="_AMO_ContentDefinition_641051926.6" hidden="1">"'lt;cn&amp;gt;py&amp;lt;/cn&amp;gt;&amp;#xD;&amp;#xA;&amp;lt;cn&amp;gt;PctChangeY&amp;lt;/cn&amp;gt;&amp;#xD;&amp;#xA;&amp;lt;/Cols&amp;gt;&amp;#xD;&amp;#xA;&amp;lt;ColOrd&amp;gt;&amp;#xD;&amp;#xA;&amp;lt;cn&amp;gt;tm&amp;lt;/cn&amp;gt;&amp;#xD;&amp;#xA;&amp;lt;cn&amp;gt;ty&amp;lt;/cn&amp;gt;&amp;#xD;&amp;#xA;&amp;lt;cn&amp;gt;py&amp;lt;/cn&amp;gt;&amp;#xD;&amp;#xA;&amp;lt;cn&amp;gt;PctChangeY&amp;lt;/cn&amp;gt;&amp;'"</definedName>
    <definedName name="_AMO_ContentDefinition_641051926.7" hidden="1">"'#xD;&amp;#xA;&amp;lt;cn&amp;gt;elc_country&amp;lt;/cn&amp;gt;&amp;#xD;&amp;#xA;&amp;lt;cn&amp;gt;brand&amp;lt;/cn&amp;gt;&amp;#xD;&amp;#xA;&amp;lt;cn&amp;gt;channel&amp;lt;/cn&amp;gt;&amp;#xD;&amp;#xA;&amp;lt;cn&amp;gt;ContactInformation&amp;lt;/cn&amp;gt;&amp;#xD;&amp;#xA;&amp;lt;cn&amp;gt;tm_pct&amp;lt;/cn&amp;gt;&amp;#xD;&amp;#xA;&amp;lt;cn&amp;gt;ty_pct&amp;lt;/cn&amp;gt;&amp;#xD;&amp;#xA;&amp;lt'"</definedName>
    <definedName name="_AMO_ContentDefinition_641051926.8" hidden="1">"';cn&amp;gt;pm&amp;lt;/cn&amp;gt;&amp;#xD;&amp;#xA;&amp;lt;cn&amp;gt;pm_pct&amp;lt;/cn&amp;gt;&amp;#xD;&amp;#xA;&amp;lt;cn&amp;gt;PctChangeM&amp;lt;/cn&amp;gt;&amp;#xD;&amp;#xA;&amp;lt;cn&amp;gt;py_pct&amp;lt;/cn&amp;gt;&amp;#xD;&amp;#xA;&amp;lt;/ColOrd&amp;gt;&amp;#xD;&amp;#xA;&amp;lt;/SasDataSource&amp;gt;"" /&gt;
  &lt;ExcelXMLOptions AdjColWidths=""False"" RowOpt=""I'"</definedName>
    <definedName name="_AMO_ContentDefinition_641051926.9" hidden="1">"'nsertCells"" ColOpt=""InsertCells"" /&gt;
&lt;/ContentDefinition&gt;'"</definedName>
    <definedName name="_AMO_ContentDefinition_762475362" hidden="1">"'Partitions:10'"</definedName>
    <definedName name="_AMO_ContentDefinition_762475362.0" hidden="1">"'&lt;ContentDefinition name=""SASMain:ELCSTD.SUMMARY_TOPCUST"" rsid=""762475362"" type=""Dataset"" format=""REPORTXML"" imgfmt=""ACTIVEX"" created=""08/17/2006 21:51:18"" modifed=""11/09/2006 13:34:20"" user=""seepanas"" apply=""True"" thread=""BACKGROU'"</definedName>
    <definedName name="_AMO_ContentDefinition_762475362.1" hidden="1">"'ND"" css=""C:\Program Files\SAS\Shared Files\BIClientStyles\AMODefault.css"" range=""SASMain_ELCSTD_SUMMARY_TOPCUST"" auto=""False"" rdc=""False"" mig=""False"" xTime=""00:00:00.1250000"" rTime=""00:00:00.2343750"" bgnew=""False"" nFmt=""True"" gr'"</definedName>
    <definedName name="_AMO_ContentDefinition_762475362.2" hidden="1">"'phSet=""True"" imgY=""0"" imgX=""0""&gt;
  &lt;files /&gt;
  &lt;param n=""DisplayName"" v=""SASMain:ELCSTD.SUMMARY_TOPCUST"" /&gt;
  &lt;param n=""AMO_Version"" v=""2.1"" /&gt;
  &lt;param n=""DataSourceType"" v=""SAS DATASET"" /&gt;
  &lt;param n=""SASFilter"" v=""elc_count'"</definedName>
    <definedName name="_AMO_ContentDefinition_762475362.3" hidden="1">"'ry='JP' and brand='BB' and channel='RETL'"" /&gt;
  &lt;param n=""OpenDataInto"" v=""ExistingWorksheet"" /&gt;
  &lt;param n=""MoreSheetsForRows"" v=""False"" /&gt;
  &lt;param n=""ClassName"" v=""SAS.OfficeAddin.DataViewItem"" /&gt;
  &lt;param n=""ServerName"" v=""SAS'"</definedName>
    <definedName name="_AMO_ContentDefinition_762475362.4" hidden="1">"'Main""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UseLbls=&amp;quot;'"</definedName>
    <definedName name="_AMO_ContentDefinition_762475362.5" hidden="1">"'true&amp;quot; ColSelFlg=&amp;quot;1&amp;quot; Name=&amp;quot;SUMMARY_TOPCUST&amp;quot;&amp;gt;&amp;#xD;&amp;#xA;&amp;lt;Cols&amp;gt;&amp;#xD;&amp;#xA;&amp;lt;cn&amp;gt;TopCustomers&amp;lt;/cn&amp;gt;&amp;#xD;&amp;#xA;&amp;lt;cn&amp;gt;Customers&amp;lt;/cn&amp;gt;&amp;#xD;&amp;#xA;&amp;lt;cn&amp;gt;TotalRevenue1000&amp;lt;/cn&amp;gt;&amp;#xD;&amp;#xA;&amp;lt;cn&amp;gt;AvgRevPe'"</definedName>
    <definedName name="_AMO_ContentDefinition_762475362.6" hidden="1">"'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RevChange&amp;lt;/cn&amp;gt;&amp;#xD;&amp;#xA;&amp;lt;/Cols&amp;gt;&amp;#xD;&amp;#xA;&amp;lt;ColOrd&amp;gt;'"</definedName>
    <definedName name="_AMO_ContentDefinition_762475362.7" hidden="1">"'&amp;#xD;&amp;#xA;&amp;lt;cn&amp;gt;TopCustomers&amp;lt;/cn&amp;gt;&amp;#xD;&amp;#xA;&amp;lt;cn&amp;gt;Customers&amp;lt;/cn&amp;gt;&amp;#xD;&amp;#xA;&amp;lt;cn&amp;gt;TotalRevenue1000&amp;lt;/cn&amp;gt;&amp;#xD;&amp;#xA;&amp;lt;cn&amp;gt;AvgRevPerCustomer&amp;lt;/cn&amp;gt;&amp;#xD;&amp;#xA;&amp;lt;cn&amp;gt;Transactions&amp;lt;/cn&amp;gt;&amp;#xD;&amp;#xA;&amp;lt;cn&amp;gt;AvgTransPe'"</definedName>
    <definedName name="_AMO_ContentDefinition_762475362.8" hidden="1">"'rCustomer&amp;lt;/cn&amp;gt;&amp;#xD;&amp;#xA;&amp;lt;cn&amp;gt;AvgRevPerTransaction&amp;lt;/cn&amp;gt;&amp;#xD;&amp;#xA;&amp;lt;cn&amp;gt;RevChange&amp;lt;/cn&amp;gt;&amp;#xD;&amp;#xA;&amp;lt;cn&amp;gt;elc_country&amp;lt;/cn&amp;gt;&amp;#xD;&amp;#xA;&amp;lt;cn&amp;gt;brand&amp;lt;/cn&amp;gt;&amp;#xD;&amp;#xA;&amp;lt;cn&amp;gt;channel&amp;lt;/cn&amp;gt;&amp;#xD;&amp;#xA;&amp;lt;cn&amp;gt;Tota'"</definedName>
    <definedName name="_AMO_ContentDefinition_762475362.9" hidden="1">"'lRevenue&amp;lt;/cn&amp;gt;&amp;#xD;&amp;#xA;&amp;lt;/ColOrd&amp;gt;&amp;#xD;&amp;#xA;&amp;lt;/SasDataSource&amp;gt;"" /&gt;
  &lt;ExcelXMLOptions AdjColWidths=""False"" RowOpt=""InsertCells"" ColOpt=""InsertCells"" /&gt;
&lt;/ContentDefinition&gt;'"</definedName>
    <definedName name="_AMO_ContentDefinition_992745332" hidden="1">"'Partitions:11'"</definedName>
    <definedName name="_AMO_ContentDefinition_992745332.0" hidden="1">"'&lt;ContentDefinition name=""SASMain:ELCSTD.SUMMARY_VALUEGROUP"" rsid=""992745332"" type=""Dataset"" format=""REPORTXML"" imgfmt=""ACTIVEX"" created=""08/17/2006 21:53:01"" modifed=""11/09/2006 13:34:20"" user=""seepanas"" apply=""True"" thread=""BACKG'"</definedName>
    <definedName name="_AMO_ContentDefinition_992745332.1" hidden="1">"'ROUND"" css=""C:\Program Files\SAS\Shared Files\BIClientStyles\AMODefault.css"" range=""SASMain_ELCSTD_SUMMARY_VALUEGROUP"" auto=""False"" rdc=""False"" mig=""False"" xTime=""00:00:00.3125000"" rTime=""00:00:00.3281250"" bgnew=""False"" nFmt=""True'"</definedName>
    <definedName name="_AMO_ContentDefinition_992745332.10" hidden="1">"'TotalRevenue&amp;lt;/cn&amp;gt;&amp;#xD;&amp;#xA;&amp;lt;/ColOrd&amp;gt;&amp;#xD;&amp;#xA;&amp;lt;/SasDataSource&amp;gt;"" /&gt;
  &lt;ExcelXMLOptions AdjColWidths=""False"" RowOpt=""InsertCells"" ColOpt=""InsertCells"" /&gt;
&lt;/ContentDefinition&gt;'"</definedName>
    <definedName name="_AMO_ContentDefinition_992745332.2" hidden="1">"'"" grphSet=""True"" imgY=""0"" imgX=""0""&gt;
  &lt;files /&gt;
  &lt;param n=""DisplayName"" v=""SASMain:ELCSTD.SUMMARY_VALUEGROUP"" /&gt;
  &lt;param n=""AMO_Version"" v=""2.1"" /&gt;
  &lt;param n=""DataSourceType"" v=""SAS DATASET"" /&gt;
  &lt;param n=""SASFilter"" v=""e'"</definedName>
    <definedName name="_AMO_ContentDefinition_992745332.3" hidden="1">"'lc_country='JP' and brand='BB' and channel='RETL'"" /&gt;
  &lt;param n=""OpenDataInto"" v=""ExistingWorksheet"" /&gt;
  &lt;param n=""MoreSheetsForRows"" v=""False"" /&gt;
  &lt;param n=""ClassName"" v=""SAS.OfficeAddin.DataViewItem"" /&gt;
  &lt;param n=""ServerName'"</definedName>
    <definedName name="_AMO_ContentDefinition_992745332.4" hidden="1">"'"" v=""SASMain""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UseL'"</definedName>
    <definedName name="_AMO_ContentDefinition_992745332.5" hidden="1">"'bls=&amp;quot;true&amp;quot; ColSelFlg=&amp;quot;1&amp;quot; Name=&amp;quot;SUMMARY_VALUEGROUP&amp;quot;&amp;gt;&amp;#xD;&amp;#xA;&amp;lt;Cols&amp;gt;&amp;#xD;&amp;#xA;&amp;lt;cn&amp;gt;Group&amp;lt;/cn&amp;gt;&amp;#xD;&amp;#xA;&amp;lt;cn&amp;gt;Customers&amp;lt;/cn&amp;gt;&amp;#xD;&amp;#xA;&amp;lt;cn&amp;gt;TotalRevenue1000&amp;lt;/cn&amp;gt;&amp;#xD;&amp;#xA;&amp;lt;cn&amp;gt;Av'"</definedName>
    <definedName name="_AMO_ContentDefinition_992745332.6" hidden="1">"'gRevPe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lt;cn&amp;gt;RevenuePct&amp;lt;/cn&amp;g'"</definedName>
    <definedName name="_AMO_ContentDefinition_992745332.7" hidden="1">"'t;&amp;#xD;&amp;#xA;&amp;lt;cn&amp;gt;TransactionPct&amp;lt;/cn&amp;gt;&amp;#xD;&amp;#xA;&amp;lt;cn&amp;gt;RevChange&amp;lt;/cn&amp;gt;&amp;#xD;&amp;#xA;&amp;lt;/Cols&amp;gt;&amp;#xD;&amp;#xA;&amp;lt;ColOrd&amp;gt;&amp;#xD;&amp;#xA;&amp;lt;cn&amp;gt;Group&amp;lt;/cn&amp;gt;&amp;#xD;&amp;#xA;&amp;lt;cn&amp;gt;Customers&amp;lt;/cn&amp;gt;&amp;#xD;&amp;#xA;&amp;lt;cn&amp;gt;TotalRevenue1000&amp;lt;/'"</definedName>
    <definedName name="_AMO_ContentDefinition_992745332.8" hidden="1">"'cn&amp;gt;&amp;#xD;&amp;#xA;&amp;lt;cn&amp;gt;AvgRevPerCustomer&amp;lt;/cn&amp;gt;&amp;#xD;&amp;#xA;&amp;lt;cn&amp;gt;Transactions&amp;lt;/cn&amp;gt;&amp;#xD;&amp;#xA;&amp;lt;cn&amp;gt;AvgTransPerCustomer&amp;lt;/cn&amp;gt;&amp;#xD;&amp;#xA;&amp;lt;cn&amp;gt;AvgRevPerTransaction&amp;lt;/cn&amp;gt;&amp;#xD;&amp;#xA;&amp;lt;cn&amp;gt;CustomerPct&amp;lt;/cn&amp;gt;&amp;#xD;&amp;#xA;&amp;'"</definedName>
    <definedName name="_AMO_ContentDefinition_992745332.9" hidden="1">"'lt;cn&amp;gt;RevenuePct&amp;lt;/cn&amp;gt;&amp;#xD;&amp;#xA;&amp;lt;cn&amp;gt;TransactionPct&amp;lt;/cn&amp;gt;&amp;#xD;&amp;#xA;&amp;lt;cn&amp;gt;RevChange&amp;lt;/cn&amp;gt;&amp;#xD;&amp;#xA;&amp;lt;cn&amp;gt;elc_country&amp;lt;/cn&amp;gt;&amp;#xD;&amp;#xA;&amp;lt;cn&amp;gt;brand&amp;lt;/cn&amp;gt;&amp;#xD;&amp;#xA;&amp;lt;cn&amp;gt;channel&amp;lt;/cn&amp;gt;&amp;#xD;&amp;#xA;&amp;lt;cn&amp;gt;'"</definedName>
    <definedName name="_AMO_ContentDefinition_999840165" hidden="1">"'Partitions:13'"</definedName>
    <definedName name="_AMO_ContentDefinition_999840165.0" hidden="1">"'&lt;ContentDefinition name=""SASMain:ELCSTD.SUMMARY_CUSTTRANS"" rsid=""999840165"" type=""Dataset"" format=""REPORTXML"" imgfmt=""ACTIVEX"" created=""08/17/2006 21:34:39"" modifed=""11/09/2006 13:34:20"" user=""seepanas"" apply=""True"" thread=""BACKGR'"</definedName>
    <definedName name="_AMO_ContentDefinition_999840165.1" hidden="1">"'OUND"" css=""C:\Program Files\SAS\Shared Files\BIClientStyles\AMODefault.css"" range=""SASMain_ELCSTD_SUMMARY_CUSTTRANS"" auto=""False"" rdc=""False"" mig=""False"" xTime=""00:00:00.1250000"" rTime=""00:00:00.2343750"" bgnew=""False"" nFmt=""True""'"</definedName>
    <definedName name="_AMO_ContentDefinition_999840165.10" hidden="1">"';&amp;#xA;&amp;lt;cn&amp;gt;NameEmail_Pctc&amp;lt;/cn&amp;gt;&amp;#xD;&amp;#xA;&amp;lt;cn&amp;gt;NameAddr_Email&amp;lt;/cn&amp;gt;&amp;#xD;&amp;#xA;&amp;lt;cn&amp;gt;NameAddr_Email_Pct&amp;lt;/cn&amp;gt;&amp;#xD;&amp;#xA;&amp;lt;cn&amp;gt;NameAddr_Email_Pctc&amp;lt;/cn&amp;gt;&amp;#xD;&amp;#xA;&amp;lt;cn&amp;gt;NameAddr_or_Email&amp;lt;/cn&amp;gt;&amp;#xD;&amp;#xA;&amp;lt;cn&amp;g'"</definedName>
    <definedName name="_AMO_ContentDefinition_999840165.11" hidden="1">"'t;NameAddr_or_NameEmail&amp;lt;/cn&amp;gt;&amp;#xD;&amp;#xA;&amp;lt;cn&amp;gt;NameAddr_or_NameEmail_Pct&amp;lt;/cn&amp;gt;&amp;#xD;&amp;#xA;&amp;lt;cn&amp;gt;NameAddr_or_NameEmail_Pctc&amp;lt;/cn&amp;gt;&amp;#xD;&amp;#xA;&amp;lt;/ColOrd&amp;gt;&amp;#xD;&amp;#xA;&amp;lt;/SasDataSource&amp;gt;"" /&gt;
  &lt;ExcelXMLOptions AdjColWidths=""False'"</definedName>
    <definedName name="_AMO_ContentDefinition_999840165.12" hidden="1">"'"" RowOpt=""InsertCells"" ColOpt=""InsertCells"" /&gt;
&lt;/ContentDefinition&gt;'"</definedName>
    <definedName name="_AMO_ContentDefinition_999840165.2" hidden="1">"' grphSet=""True"" imgY=""0"" imgX=""0""&gt;
  &lt;files /&gt;
  &lt;param n=""DisplayName"" v=""SASMain:ELCSTD.SUMMARY_CUSTTRANS"" /&gt;
  &lt;param n=""AMO_Version"" v=""2.1"" /&gt;
  &lt;param n=""DataSourceType"" v=""SAS DATASET"" /&gt;
  &lt;param n=""SASFilter"" v=""elc_'"</definedName>
    <definedName name="_AMO_ContentDefinition_999840165.3" hidden="1">"'country='JP' and brand='BB' and channel='RETL'"" /&gt;
  &lt;param n=""OpenDataInto"" v=""ExistingWorksheet"" /&gt;
  &lt;param n=""MoreSheetsForRows"" v=""False"" /&gt;
  &lt;param n=""ClassName"" v=""SAS.OfficeAddin.DataViewItem"" /&gt;
  &lt;param n=""ServerName"" v'"</definedName>
    <definedName name="_AMO_ContentDefinition_999840165.4" hidden="1">"'=""SASMain"" /&gt;
  &lt;param n=""DataSource"" v=""&amp;lt;SasDataSource Version=&amp;quot;2.1&amp;quot; Type=&amp;quot;SAS.Servers.Dataset&amp;quot; Svr=&amp;quot;SASMain&amp;quot; Lib=&amp;quot;ELCSTD&amp;quot; Filter=&amp;quot;elc_country='JP' and brand='BB' and channel='RETL'&amp;quot; UseLbls='"</definedName>
    <definedName name="_AMO_ContentDefinition_999840165.5" hidden="1">"'&amp;quot;true&amp;quot; ColSelFlg=&amp;quot;1&amp;quot; Name=&amp;quot;SUMMARY_CUSTTRANS&amp;quot;&amp;gt;&amp;#xD;&amp;#xA;&amp;lt;Cols&amp;gt;&amp;#xD;&amp;#xA;&amp;lt;cn&amp;gt;CustomerwithTransaction&amp;lt;/cn&amp;gt;&amp;#xD;&amp;#xA;&amp;lt;cn&amp;gt;JP_OptIn&amp;lt;/cn&amp;gt;&amp;#xD;&amp;#xA;&amp;lt;cn&amp;gt;JP_NameAddr&amp;lt;/cn&amp;gt;&amp;#xD;&amp;#xA;&amp;lt;c'"</definedName>
    <definedName name="_AMO_ContentDefinition_999840165.6" hidden="1">"'n&amp;gt;JP_Email&amp;lt;/cn&amp;gt;&amp;#xD;&amp;#xA;&amp;lt;cn&amp;gt;JP_NameAddr_Email&amp;lt;/cn&amp;gt;&amp;#xD;&amp;#xA;&amp;lt;cn&amp;gt;RetentionYrOverYr&amp;lt;/cn&amp;gt;&amp;#xD;&amp;#xA;&amp;lt;cn&amp;gt;CaptureRate&amp;lt;/cn&amp;gt;&amp;#xD;&amp;#xA;&amp;lt;/Cols&amp;gt;&amp;#xD;&amp;#xA;&amp;lt;ColOrd&amp;gt;&amp;#xD;&amp;#xA;&amp;lt;cn&amp;gt;CustomerwithTransactio'"</definedName>
    <definedName name="_AMO_ContentDefinition_999840165.7" hidden="1">"'n&amp;lt;/cn&amp;gt;&amp;#xD;&amp;#xA;&amp;lt;cn&amp;gt;JP_OptIn&amp;lt;/cn&amp;gt;&amp;#xD;&amp;#xA;&amp;lt;cn&amp;gt;JP_NameAddr&amp;lt;/cn&amp;gt;&amp;#xD;&amp;#xA;&amp;lt;cn&amp;gt;JP_Email&amp;lt;/cn&amp;gt;&amp;#xD;&amp;#xA;&amp;lt;cn&amp;gt;JP_NameAddr_Email&amp;lt;/cn&amp;gt;&amp;#xD;&amp;#xA;&amp;lt;cn&amp;gt;RetentionYrOverYr&amp;lt;/cn&amp;gt;&amp;#xD;&amp;#xA;&amp;lt;cn&amp;gt;Cap'"</definedName>
    <definedName name="_AMO_ContentDefinition_999840165.8" hidden="1">"'tureRate&amp;lt;/cn&amp;gt;&amp;#xD;&amp;#xA;&amp;lt;cn&amp;gt;elc_country&amp;lt;/cn&amp;gt;&amp;#xD;&amp;#xA;&amp;lt;cn&amp;gt;brand&amp;lt;/cn&amp;gt;&amp;#xD;&amp;#xA;&amp;lt;cn&amp;gt;channel&amp;lt;/cn&amp;gt;&amp;#xD;&amp;#xA;&amp;lt;cn&amp;gt;OptIn&amp;lt;/cn&amp;gt;&amp;#xD;&amp;#xA;&amp;lt;cn&amp;gt;OptIn_Pct&amp;lt;/cn&amp;gt;&amp;#xD;&amp;#xA;&amp;lt;cn&amp;gt;OptIn_Pctc&amp;lt;/cn&amp;gt'"</definedName>
    <definedName name="_AMO_ContentDefinition_999840165.9" hidden="1">"';&amp;#xD;&amp;#xA;&amp;lt;cn&amp;gt;NameAddr&amp;lt;/cn&amp;gt;&amp;#xD;&amp;#xA;&amp;lt;cn&amp;gt;NameAddr_Pct&amp;lt;/cn&amp;gt;&amp;#xD;&amp;#xA;&amp;lt;cn&amp;gt;NameAddr_Pctc&amp;lt;/cn&amp;gt;&amp;#xD;&amp;#xA;&amp;lt;cn&amp;gt;Email&amp;lt;/cn&amp;gt;&amp;#xD;&amp;#xA;&amp;lt;cn&amp;gt;NameEmail&amp;lt;/cn&amp;gt;&amp;#xD;&amp;#xA;&amp;lt;cn&amp;gt;NameEmail_Pct&amp;lt;/cn&amp;gt;&amp;#xD'"</definedName>
    <definedName name="_AMO_ContentLocation_120537796__A1" hidden="1">"'Partitions:2'"</definedName>
    <definedName name="_AMO_ContentLocation_120537796__A1.0" hidden="1">"'&lt;ContentLocation path=""A1"" rsid=""120537796"" tag="""" fid=""0""&gt;&lt;param n=""VarSelStateFlag"" v=""1"" /&gt;&lt;param n=""VarCount"" v=""3"" /&gt;&lt;param n=""DataInfo"" v=""false"" /&gt;&lt;param n=""ObsColumn"" v=""false"" /&gt;&lt;param n=""DataRowCount"" v=""11"" /'"</definedName>
    <definedName name="_AMO_ContentLocation_120537796__A1.1" hidden="1">"'&gt;&lt;param n=""DataColCount"" v=""3"" /&gt;&lt;param n=""SASDataState"" v=""none"" /&gt;&lt;param n=""SASDataStart"" v=""1"" /&gt;&lt;param n=""SASDataEnd"" v=""10"" /&gt;&lt;param n=""SASFilter"" v=""elc_country='JP' and brand='BB' and channel='RETL'"" /&gt;&lt;/ContentLocation&gt;'"</definedName>
    <definedName name="_AMO_ContentLocation_356642672__A1" hidden="1">"'Partitions:2'"</definedName>
    <definedName name="_AMO_ContentLocation_356642672__A1.0" hidden="1">"'&lt;ContentLocation path=""A1"" rsid=""356642672"" tag="""" fid=""0""&gt;&lt;param n=""VarSelStateFlag"" v=""2"" /&gt;&lt;param n=""VarCount"" v=""1"" /&gt;&lt;param n=""DataInfo"" v=""false"" /&gt;&lt;param n=""ObsColumn"" v=""false"" /&gt;&lt;param n=""DataRowCount"" v=""2"" /&gt;'"</definedName>
    <definedName name="_AMO_ContentLocation_356642672__A1.1" hidden="1">"'&lt;param n=""DataColCount"" v=""1"" /&gt;&lt;param n=""SASDataState"" v=""none"" /&gt;&lt;param n=""SASDataStart"" v=""1"" /&gt;&lt;param n=""SASDataEnd"" v=""1"" /&gt;&lt;param n=""SASFilter"" v=""elc_country='JP' and brand='BB' and channel='RETL'"" /&gt;&lt;/ContentLocation&gt;'"</definedName>
    <definedName name="_AMO_ContentLocation_388544619__A1" hidden="1">"'Partitions:3'"</definedName>
    <definedName name="_AMO_ContentLocation_388544619__A1.0" hidden="1">"'&lt;ContentLocation path=""A1"" rsid=""388544619"" tag="""" fid=""0""&gt;&lt;param n=""VarSelStateFlag"" v=""1"" /&gt;&lt;param n=""VarCount"" v=""4"" /&gt;&lt;param n=""DataInfo"" v=""false"" /&gt;&lt;param n=""ObsColumn"" v=""false"" /&gt;&lt;param n=""DataRowCount"" v=""5"" /&gt;'"</definedName>
    <definedName name="_AMO_ContentLocation_388544619__A1.1" hidden="1">"'&lt;param n=""DataColCount"" v=""4"" /&gt;&lt;param n=""SASDataState"" v=""none"" /&gt;&lt;param n=""SASDataStart"" v=""1"" /&gt;&lt;param n=""SASDataEnd"" v=""4"" /&gt;&lt;param n=""SASFilter"" v=""elc_country='JP' and brand='BB' and channel='RETL' and contactinformation like'"</definedName>
    <definedName name="_AMO_ContentLocation_388544619__A1.2" hidden="1">"' '%JP%'"" /&gt;&lt;/ContentLocation&gt;'"</definedName>
    <definedName name="_AMO_ContentLocation_43577925__A1" hidden="1">"'Partitions:2'"</definedName>
    <definedName name="_AMO_ContentLocation_43577925__A1.0" hidden="1">"'&lt;ContentLocation path=""A1"" rsid=""43577925"" tag="""" fid=""0""&gt;&lt;param n=""VarSelStateFlag"" v=""1"" /&gt;&lt;param n=""VarCount"" v=""3"" /&gt;&lt;param n=""DataInfo"" v=""false"" /&gt;&lt;param n=""ObsColumn"" v=""false"" /&gt;&lt;param n=""DataRowCount"" v=""26"" /&gt;'"</definedName>
    <definedName name="_AMO_ContentLocation_43577925__A1.1" hidden="1">"'&lt;param n=""DataColCount"" v=""3"" /&gt;&lt;param n=""SASDataState"" v=""none"" /&gt;&lt;param n=""SASDataStart"" v=""1"" /&gt;&lt;param n=""SASDataEnd"" v=""25"" /&gt;&lt;param n=""SASFilter"" v=""elc_country='JP' and brand='BB' and channel='RETL'"" /&gt;&lt;/ContentLocation&gt;'"</definedName>
    <definedName name="_AMO_ContentLocation_525496189__A1" hidden="1">"'Partitions:2'"</definedName>
    <definedName name="_AMO_ContentLocation_525496189__A1.0" hidden="1">"'&lt;ContentLocation path=""A1"" rsid=""525496189"" tag="""" fid=""0""&gt;&lt;param n=""VarSelStateFlag"" v=""1"" /&gt;&lt;param n=""VarCount"" v=""10"" /&gt;&lt;param n=""DataInfo"" v=""false"" /&gt;&lt;param n=""ObsColumn"" v=""false"" /&gt;&lt;param n=""DataRowCount"" v=""12"" '"</definedName>
    <definedName name="_AMO_ContentLocation_525496189__A1.1" hidden="1">"'/&gt;&lt;param n=""DataColCount"" v=""10"" /&gt;&lt;param n=""SASDataState"" v=""none"" /&gt;&lt;param n=""SASDataStart"" v=""1"" /&gt;&lt;param n=""SASDataEnd"" v=""11"" /&gt;&lt;param n=""SASFilter"" v=""elc_country='JP' and brand='BB' and channel='RETL'"" /&gt;&lt;/ContentLocation&gt;'"</definedName>
    <definedName name="_AMO_ContentLocation_573259020__A1" hidden="1">"'Partitions:2'"</definedName>
    <definedName name="_AMO_ContentLocation_573259020__A1.0" hidden="1">"'&lt;ContentLocation path=""A1"" rsid=""573259020"" tag="""" fid=""0""&gt;&lt;param n=""VarSelStateFlag"" v=""1"" /&gt;&lt;param n=""VarCount"" v=""5"" /&gt;&lt;param n=""DataInfo"" v=""false"" /&gt;&lt;param n=""ObsColumn"" v=""false"" /&gt;&lt;param n=""DataRowCount"" v=""2"" /&gt;'"</definedName>
    <definedName name="_AMO_ContentLocation_573259020__A1.1" hidden="1">"'&lt;param n=""DataColCount"" v=""5"" /&gt;&lt;param n=""SASDataState"" v=""none"" /&gt;&lt;param n=""SASDataStart"" v=""1"" /&gt;&lt;param n=""SASDataEnd"" v=""1"" /&gt;&lt;param n=""SASFilter"" v=""elc_country='JP' and brand='BB' and channel='RETL'"" /&gt;&lt;/ContentLocation&gt;'"</definedName>
    <definedName name="_AMO_ContentLocation_641051926__A1" hidden="1">"'Partitions:3'"</definedName>
    <definedName name="_AMO_ContentLocation_641051926__A1.0" hidden="1">"'&lt;ContentLocation path=""A1"" rsid=""641051926"" tag="""" fid=""0""&gt;&lt;param n=""VarSelStateFlag"" v=""1"" /&gt;&lt;param n=""VarCount"" v=""4"" /&gt;&lt;param n=""DataInfo"" v=""false"" /&gt;&lt;param n=""ObsColumn"" v=""false"" /&gt;&lt;param n=""DataRowCount"" v=""5"" /&gt;'"</definedName>
    <definedName name="_AMO_ContentLocation_641051926__A1.1" hidden="1">"'&lt;param n=""DataColCount"" v=""4"" /&gt;&lt;param n=""SASDataState"" v=""none"" /&gt;&lt;param n=""SASDataStart"" v=""1"" /&gt;&lt;param n=""SASDataEnd"" v=""4"" /&gt;&lt;param n=""SASFilter"" v=""elc_country='JP' and brand='BB' and channel='RETL' and contactinformation like'"</definedName>
    <definedName name="_AMO_ContentLocation_641051926__A1.2" hidden="1">"' '%JP%'"" /&gt;&lt;/ContentLocation&gt;'"</definedName>
    <definedName name="_AMO_ContentLocation_762475362__A1" hidden="1">"'Partitions:2'"</definedName>
    <definedName name="_AMO_ContentLocation_762475362__A1.0" hidden="1">"'&lt;ContentLocation path=""A1"" rsid=""762475362"" tag="""" fid=""0""&gt;&lt;param n=""VarSelStateFlag"" v=""1"" /&gt;&lt;param n=""VarCount"" v=""8"" /&gt;&lt;param n=""DataInfo"" v=""false"" /&gt;&lt;param n=""ObsColumn"" v=""false"" /&gt;&lt;param n=""DataRowCount"" v=""3"" /&gt;'"</definedName>
    <definedName name="_AMO_ContentLocation_762475362__A1.1" hidden="1">"'&lt;param n=""DataColCount"" v=""8"" /&gt;&lt;param n=""SASDataState"" v=""none"" /&gt;&lt;param n=""SASDataStart"" v=""1"" /&gt;&lt;param n=""SASDataEnd"" v=""2"" /&gt;&lt;param n=""SASFilter"" v=""elc_country='JP' and brand='BB' and channel='RETL'"" /&gt;&lt;/ContentLocation&gt;'"</definedName>
    <definedName name="_AMO_ContentLocation_992745332__A1" hidden="1">"'Partitions:2'"</definedName>
    <definedName name="_AMO_ContentLocation_992745332__A1.0" hidden="1">"'&lt;ContentLocation path=""A1"" rsid=""992745332"" tag="""" fid=""0""&gt;&lt;param n=""VarSelStateFlag"" v=""1"" /&gt;&lt;param n=""VarCount"" v=""11"" /&gt;&lt;param n=""DataInfo"" v=""false"" /&gt;&lt;param n=""ObsColumn"" v=""false"" /&gt;&lt;param n=""DataRowCount"" v=""5"" /'"</definedName>
    <definedName name="_AMO_ContentLocation_992745332__A1.1" hidden="1">"'&gt;&lt;param n=""DataColCount"" v=""11"" /&gt;&lt;param n=""SASDataState"" v=""none"" /&gt;&lt;param n=""SASDataStart"" v=""1"" /&gt;&lt;param n=""SASDataEnd"" v=""4"" /&gt;&lt;param n=""SASFilter"" v=""elc_country='JP' and brand='BB' and channel='RETL'"" /&gt;&lt;/ContentLocation&gt;'"</definedName>
    <definedName name="_AMO_ContentLocation_999840165__A1" hidden="1">"'Partitions:2'"</definedName>
    <definedName name="_AMO_ContentLocation_999840165__A1.0" hidden="1">"'&lt;ContentLocation path=""A1"" rsid=""999840165"" tag="""" fid=""0""&gt;&lt;param n=""VarSelStateFlag"" v=""1"" /&gt;&lt;param n=""VarCount"" v=""7"" /&gt;&lt;param n=""DataInfo"" v=""false"" /&gt;&lt;param n=""ObsColumn"" v=""false"" /&gt;&lt;param n=""DataRowCount"" v=""2"" /&gt;'"</definedName>
    <definedName name="_AMO_ContentLocation_999840165__A1.1" hidden="1">"'&lt;param n=""DataColCount"" v=""7"" /&gt;&lt;param n=""SASDataState"" v=""none"" /&gt;&lt;param n=""SASDataStart"" v=""1"" /&gt;&lt;param n=""SASDataEnd"" v=""1"" /&gt;&lt;param n=""SASFilter"" v=""elc_country='JP' and brand='BB' and channel='RETL'"" /&gt;&lt;/ContentLocation&gt;'"</definedName>
    <definedName name="_AMO_RefreshMultipleList" hidden="1">"'573259020 356642672 388544619 992745332 120537796 999840165 641051926 525496189 762475362 43577925'"</definedName>
    <definedName name="_AMO_RefreshMultipleList.0" hidden="1">"'725871221 31718858 687061927 633595638 149061408 227088334 576895571 923817804 700415427 442228355 905538429 942925916 513725699 405231239 318478557 661488854 873892052 24496982 867678097 55901972 708363232 57382597 454719222 933851611 576747075 78512'"</definedName>
    <definedName name="_AMO_RefreshMultipleList.1" hidden="1">"'0069 747190598 673576837 972330609 139272655 616032905 249677082 104210780 157742816 273529566 297887811 414036721 434180196 440171473 46812520 525841824 539256875 626341356 633964728 677994267 767337025 895931822 898858127 904577730 990058335 3816086'"</definedName>
    <definedName name="_AMO_RefreshMultipleList.2" hidden="1">"'24'"</definedName>
    <definedName name="_AMO_SingleObject_120537796__A1" hidden="1">#REF!</definedName>
    <definedName name="_AMO_SingleObject_356642672__A1" hidden="1">#REF!</definedName>
    <definedName name="_AMO_SingleObject_388544619__A1" hidden="1">#REF!</definedName>
    <definedName name="_AMO_SingleObject_43577925__A1" hidden="1">#REF!</definedName>
    <definedName name="_AMO_SingleObject_525496189__A1" hidden="1">#REF!</definedName>
    <definedName name="_AMO_SingleObject_573259020__A1" hidden="1">#REF!</definedName>
    <definedName name="_AMO_SingleObject_641051926__A1" hidden="1">#REF!</definedName>
    <definedName name="_AMO_SingleObject_762475362__A1" hidden="1">#REF!</definedName>
    <definedName name="_AMO_SingleObject_992745332__A1" hidden="1">#REF!</definedName>
    <definedName name="_AMO_SingleObject_999840165__A1" hidden="1">#REF!</definedName>
    <definedName name="_AMO_XmlVersion" hidden="1">"'1'"</definedName>
    <definedName name="_bdm.04FB7EA7E6C7456F893E5EEEE6AD03CF.edm" hidden="1">#REF!</definedName>
    <definedName name="_bdm.060f569d2e964f8cb7f411f9453e3182.edm" hidden="1">#REF!</definedName>
    <definedName name="_bdm.0688C6E3626848A796EF472422F099CF.edm" hidden="1">#REF!</definedName>
    <definedName name="_bdm.09A6845117EC46DB8BB4D848DDA20465.edm" hidden="1">#REF!</definedName>
    <definedName name="_bdm.10a91029ffd4419bac1442d3848e26b1.edm" hidden="1">#REF!</definedName>
    <definedName name="_bdm.14edcc538bfc4980bf3f391101095f87.edm" hidden="1">#REF!</definedName>
    <definedName name="_bdm.199094e3cb034b03ae3de15097c805ab.edm" hidden="1">#REF!</definedName>
    <definedName name="_bdm.1C0E89F212E74A6FBCDD8531195D8F79.edm" hidden="1">#REF!</definedName>
    <definedName name="_bdm.1CB02684A4B44BDD8E34DEA9DAB895CF.edm" hidden="1">#REF!</definedName>
    <definedName name="_bdm.2C7FF78BDAA8406DBE3635808A625416.edm" hidden="1">#REF!</definedName>
    <definedName name="_bdm.32f3d9981ee84ad2a3da4c159a43bf43.edm" hidden="1">#REF!</definedName>
    <definedName name="_bdm.3356BBBFFBC34C26877281CEFDC451D0.edm" hidden="1">#REF!</definedName>
    <definedName name="_bdm.3769BA5563374F5BBBDA120EDD1DE8FA.edm" hidden="1">#REF!</definedName>
    <definedName name="_bdm.38b8831b9226468a98481fd186326cca.edm" hidden="1">#REF!</definedName>
    <definedName name="_bdm.390FC8BE41724A2098BA93741FBB4B3F.edm" hidden="1">#REF!</definedName>
    <definedName name="_bdm.3e66ce27d2684572919a01b5343024a3.edm" hidden="1">#REF!</definedName>
    <definedName name="_bdm.4437ff5bf57d4767832960aef8f44c66.edm" hidden="1">#REF!</definedName>
    <definedName name="_bdm.47FC673A62A745A08AB82DC1FC63A3DE.edm" hidden="1">#REF!</definedName>
    <definedName name="_bdm.4897F971AD044E68AE19EF67F507282B.edm" hidden="1">#REF!</definedName>
    <definedName name="_bdm.496b2712843e4e25b2af38d8f180f3ba.edm" hidden="1">#REF!</definedName>
    <definedName name="_bdm.497EC5CF04E94F47AE7D3E05B6E1C7D4.edm" hidden="1">#REF!</definedName>
    <definedName name="_bdm.4CEBE2F30B9041E4AEF2FD067EEE3D2C.edm" hidden="1">#REF!</definedName>
    <definedName name="_bdm.4ee97873feec4cdb9e39ebf369848a51.edm" hidden="1">#REF!</definedName>
    <definedName name="_bdm.5509E8CF020C434D9CE64B9B9EEC273D.edm" hidden="1">#REF!</definedName>
    <definedName name="_bdm.65f02a4c739f406fbe055d21736c1da8.edm" hidden="1">#REF!</definedName>
    <definedName name="_bdm.6F0A02E26B694245B904E95506AC44AB.edm" hidden="1">#REF!</definedName>
    <definedName name="_bdm.6FA0DDF4728B43F58CA0CEEB081393EC.edm" hidden="1">#REF!</definedName>
    <definedName name="_bdm.757692ED70744E179670FCBE40A99D6C.edm" hidden="1">#REF!</definedName>
    <definedName name="_bdm.75b3bb86679d4adbb083b8c11e531158.edm" hidden="1">#REF!</definedName>
    <definedName name="_bdm.786284C255F4428187EDE2B29C95F77D.edm" hidden="1">#REF!</definedName>
    <definedName name="_bdm.815069d351924f939af171c04e7e5cc1.edm" hidden="1">#REF!</definedName>
    <definedName name="_bdm.879F8C3B3EFC4778B24E524031FF6937.edm" hidden="1">#REF!</definedName>
    <definedName name="_bdm.88DDECF89ECE446A8E945F0DFCD822AE.edm" hidden="1">#REF!</definedName>
    <definedName name="_bdm.906fd7cbab704c5492e181a1eb271c5e.edm" hidden="1">#REF!</definedName>
    <definedName name="_bdm.9b34240894464e279d4d03fc6428db80.edm" hidden="1">#REF!</definedName>
    <definedName name="_bdm.a426534efdc3440a8ad15ef5f3ca5b79.edm" hidden="1">#REF!</definedName>
    <definedName name="_bdm.aab54dc576f8405d99dec5f847759202.edm" hidden="1">#REF!</definedName>
    <definedName name="_bdm.aacf3da036ab418d95460fd8f1432900.edm" hidden="1">#REF!</definedName>
    <definedName name="_bdm.AC687BE7ABC14425891F5802C41DB286.edm" hidden="1">#REF!</definedName>
    <definedName name="_bdm.AE644AA3EBDB4AC893A9FE49A4B68FA8.edm" hidden="1">#REF!</definedName>
    <definedName name="_bdm.AEAD5C740F674C838A3C51AC3B3CACCD.edm" hidden="1">#REF!</definedName>
    <definedName name="_bdm.b032ebcb5bfe47368b2460b3f36b5e94.edm" hidden="1">#REF!</definedName>
    <definedName name="_bdm.B2F31030F8F14443970C0AEBF4D261A1.edm" hidden="1">#REF!</definedName>
    <definedName name="_bdm.B6DA67A6DE574FD29ABB1A62D4715A07.edm" hidden="1">#REF!</definedName>
    <definedName name="_bdm.B97CA7243DE84D8DBD9B3D855565DD86.edm" hidden="1">#REF!</definedName>
    <definedName name="_bdm.c02c17f76b0843f7b0bdc140e9246d44.edm" hidden="1">#REF!</definedName>
    <definedName name="_bdm.C2F3E42E36C144C8ABC6CCF04136380F.edm" hidden="1">#REF!</definedName>
    <definedName name="_bdm.CB9B7D467AE3406ABCFC3C4F24B1BBC3.edm" hidden="1">#REF!</definedName>
    <definedName name="_bdm.CD5656127DF143C6AC6CD7D6FD144C65.edm" hidden="1">#REF!</definedName>
    <definedName name="_bdm.D1BDC858E14F4518863D59F210C54751.edm" hidden="1">#REF!</definedName>
    <definedName name="_bdm.d9591aa2edd644c5a7d99521db1e2994.edm" hidden="1">#REF!</definedName>
    <definedName name="_bdm.e3680b40a6704794a625d625ba6abb23.edm" hidden="1">#REF!</definedName>
    <definedName name="_bdm.E4E3B48249004DEEAFB5C8077CFD0854.edm" hidden="1">#REF!</definedName>
    <definedName name="_bdm.ec0d2bc171c546b38c5046817c44fd86.edm" hidden="1">#REF!</definedName>
    <definedName name="_bdm.EEAD2AB7E0EE4902B88D4B21195E6E57.edm" hidden="1">#REF!</definedName>
    <definedName name="_bdm.f18703e177404409b33164dfe6576de9.edm" hidden="1">#REF!</definedName>
    <definedName name="_bdm.F86512F18F68467FA949D70B4F6BE619.edm" hidden="1">#REF!</definedName>
    <definedName name="_BQ4.1" hidden="1">#REF!</definedName>
    <definedName name="_BQ4.2" hidden="1">#REF!</definedName>
    <definedName name="_dcc2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dcc2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dcc2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dcc2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dcc2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_ddf6" localSheetId="1" hidden="1">{"'Matrix'!$A$3:$J$47"}</definedName>
    <definedName name="_ddf6" localSheetId="3" hidden="1">{"'Matrix'!$A$3:$J$47"}</definedName>
    <definedName name="_ddf6" localSheetId="4" hidden="1">{"'Matrix'!$A$3:$J$47"}</definedName>
    <definedName name="_ddf6" localSheetId="5" hidden="1">{"'Matrix'!$A$3:$J$47"}</definedName>
    <definedName name="_ddf6" hidden="1">{"'Matrix'!$A$3:$J$47"}</definedName>
    <definedName name="_Fill" hidden="1">#REF!</definedName>
    <definedName name="_xlnm._FilterDatabase" hidden="1">#REF!</definedName>
    <definedName name="_GSRATES_1" hidden="1">"CF300001Latest  20000630"</definedName>
    <definedName name="_GSRATES_2" hidden="1">"CT300001Latest          "</definedName>
    <definedName name="_GSRATES_3" hidden="1">"CT300001Latest          "</definedName>
    <definedName name="_GSRATES_4" hidden="1">"CF3000012001092920010101"</definedName>
    <definedName name="_GSRATES_5" hidden="1">"CT30000120010929        "</definedName>
    <definedName name="_GSRATES_6" hidden="1">"CF3000012000093020000101"</definedName>
    <definedName name="_GSRATES_7" hidden="1">"CF3000012000093020000101"</definedName>
    <definedName name="_GSRATES_8" hidden="1">"CF3000012001092920010101"</definedName>
    <definedName name="_GSRATES_COUNT" hidden="1">1</definedName>
    <definedName name="_kathainahdke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New2" localSheetId="1" hidden="1">{"ELUSA",#N/A,FALSE,"EL"}</definedName>
    <definedName name="_New2" localSheetId="3" hidden="1">{"ELUSA",#N/A,FALSE,"EL"}</definedName>
    <definedName name="_New2" localSheetId="4" hidden="1">{"ELUSA",#N/A,FALSE,"EL"}</definedName>
    <definedName name="_New2" localSheetId="5" hidden="1">{"ELUSA",#N/A,FALSE,"EL"}</definedName>
    <definedName name="_New2" hidden="1">{"ELUSA",#N/A,FALSE,"EL"}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2" hidden="1">#REF!</definedName>
    <definedName name="_q3" hidden="1">#REF!</definedName>
    <definedName name="_qqq1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qqq1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qqq1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qqq1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qqq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_Regression_X" hidden="1">#REF!</definedName>
    <definedName name="_Sort" hidden="1">#REF!</definedName>
    <definedName name="_t1" hidden="1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UNDO_UPS_" hidden="1">#REF!</definedName>
    <definedName name="_UNDO31X31X_" hidden="1">#REF!</definedName>
    <definedName name="_xlcn.WorksheetConnection_数据源数云AS1" hidden="1">#REF!</definedName>
    <definedName name="_xlcn.WorksheetConnection_数云订单AS1" hidden="1">#REF!</definedName>
    <definedName name="_xlcn.WorksheetConnection_数云订单AS11" hidden="1">#REF!</definedName>
    <definedName name="_xlcn.WorksheetConnection_数云订单BP1" hidden="1">#REF!</definedName>
    <definedName name="_xlcn.WorksheetConnection_数云订单数据BT1" hidden="1">#REF!</definedName>
    <definedName name="_xlcn.WorksheetConnection_现货数据源数云AS1" hidden="1">#REF!</definedName>
    <definedName name="AAA_DOCTOPS" hidden="1">"AAA_SET"</definedName>
    <definedName name="AAA_duser" hidden="1">"OFF"</definedName>
    <definedName name="aaaaaaaaaaaaaaaa" localSheetId="1" hidden="1">{#N/A,#N/A,FALSE,"intl comb";#N/A,#N/A,FALSE,"el intl";#N/A,#N/A,FALSE,"cl intl ";#N/A,#N/A,FALSE,"px intl ";#N/A,#N/A,FALSE,"ar intl ";#N/A,#N/A,FALSE,"or intl  ";#N/A,#N/A,FALSE,"adj intl  "}</definedName>
    <definedName name="aaaaaaaaaaaaaaaa" localSheetId="3" hidden="1">{#N/A,#N/A,FALSE,"intl comb";#N/A,#N/A,FALSE,"el intl";#N/A,#N/A,FALSE,"cl intl ";#N/A,#N/A,FALSE,"px intl ";#N/A,#N/A,FALSE,"ar intl ";#N/A,#N/A,FALSE,"or intl  ";#N/A,#N/A,FALSE,"adj intl  "}</definedName>
    <definedName name="aaaaaaaaaaaaaaaa" localSheetId="4" hidden="1">{#N/A,#N/A,FALSE,"intl comb";#N/A,#N/A,FALSE,"el intl";#N/A,#N/A,FALSE,"cl intl ";#N/A,#N/A,FALSE,"px intl ";#N/A,#N/A,FALSE,"ar intl ";#N/A,#N/A,FALSE,"or intl  ";#N/A,#N/A,FALSE,"adj intl  "}</definedName>
    <definedName name="aaaaaaaaaaaaaaaa" localSheetId="5" hidden="1">{#N/A,#N/A,FALSE,"intl comb";#N/A,#N/A,FALSE,"el intl";#N/A,#N/A,FALSE,"cl intl ";#N/A,#N/A,FALSE,"px intl ";#N/A,#N/A,FALSE,"ar intl ";#N/A,#N/A,FALSE,"or intl  ";#N/A,#N/A,FALSE,"adj intl  "}</definedName>
    <definedName name="aaaaaaaaaaaaaaaa" hidden="1">{#N/A,#N/A,FALSE,"intl comb";#N/A,#N/A,FALSE,"el intl";#N/A,#N/A,FALSE,"cl intl ";#N/A,#N/A,FALSE,"px intl ";#N/A,#N/A,FALSE,"ar intl ";#N/A,#N/A,FALSE,"or intl  ";#N/A,#N/A,FALSE,"adj intl  "}</definedName>
    <definedName name="aaaaaaaaaaaaaaaaaa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aaaaaaaaaaaaaaaaa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aaaaaaaaaaaaaaaaa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aaaaaaaaaaaaaaaaa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aaaaaaaaaaaaaaaaa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1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ab" localSheetId="3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ab" localSheetId="4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ab" localSheetId="5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ab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ad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dg" localSheetId="1" hidden="1">{#N/A,#N/A,FALSE,"CBE";#N/A,#N/A,FALSE,"SWK"}</definedName>
    <definedName name="addg" localSheetId="3" hidden="1">{#N/A,#N/A,FALSE,"CBE";#N/A,#N/A,FALSE,"SWK"}</definedName>
    <definedName name="addg" localSheetId="4" hidden="1">{#N/A,#N/A,FALSE,"CBE";#N/A,#N/A,FALSE,"SWK"}</definedName>
    <definedName name="addg" localSheetId="5" hidden="1">{#N/A,#N/A,FALSE,"CBE";#N/A,#N/A,FALSE,"SWK"}</definedName>
    <definedName name="addg" hidden="1">{#N/A,#N/A,FALSE,"CBE";#N/A,#N/A,FALSE,"SWK"}</definedName>
    <definedName name="ADE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E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E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E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E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DETRUIRE" localSheetId="1" hidden="1">{#N/A,#N/A,TRUE,"Forecast &amp; Analysis";#N/A,#N/A,TRUE,"Market Values";#N/A,#N/A,TRUE,"Ratios";#N/A,#N/A,TRUE,"Regressions";#N/A,#N/A,TRUE,"Market Values";#N/A,#N/A,TRUE,"Parameters &amp; Results"}</definedName>
    <definedName name="ADETRUIRE" localSheetId="3" hidden="1">{#N/A,#N/A,TRUE,"Forecast &amp; Analysis";#N/A,#N/A,TRUE,"Market Values";#N/A,#N/A,TRUE,"Ratios";#N/A,#N/A,TRUE,"Regressions";#N/A,#N/A,TRUE,"Market Values";#N/A,#N/A,TRUE,"Parameters &amp; Results"}</definedName>
    <definedName name="ADETRUIRE" localSheetId="4" hidden="1">{#N/A,#N/A,TRUE,"Forecast &amp; Analysis";#N/A,#N/A,TRUE,"Market Values";#N/A,#N/A,TRUE,"Ratios";#N/A,#N/A,TRUE,"Regressions";#N/A,#N/A,TRUE,"Market Values";#N/A,#N/A,TRUE,"Parameters &amp; Results"}</definedName>
    <definedName name="ADETRUIRE" localSheetId="5" hidden="1">{#N/A,#N/A,TRUE,"Forecast &amp; Analysis";#N/A,#N/A,TRUE,"Market Values";#N/A,#N/A,TRUE,"Ratios";#N/A,#N/A,TRUE,"Regressions";#N/A,#N/A,TRUE,"Market Values";#N/A,#N/A,TRUE,"Parameters &amp; Results"}</definedName>
    <definedName name="ADETRUIRE" hidden="1">{#N/A,#N/A,TRUE,"Forecast &amp; Analysis";#N/A,#N/A,TRUE,"Market Values";#N/A,#N/A,TRUE,"Ratios";#N/A,#N/A,TRUE,"Regressions";#N/A,#N/A,TRUE,"Market Values";#N/A,#N/A,TRUE,"Parameters &amp; Results"}</definedName>
    <definedName name="adf" localSheetId="1" hidden="1">{#N/A,#N/A,FALSE,"CHANGES";#N/A,#N/A,FALSE,"PROD SUMMARY";#N/A,#N/A,FALSE,"1995 PO SUM";#N/A,#N/A,FALSE,"1995 GEOG SUM";#N/A,#N/A,FALSE,"1996 PO SUM";#N/A,#N/A,FALSE,"1996 GEOG SUM"}</definedName>
    <definedName name="adf" localSheetId="3" hidden="1">{#N/A,#N/A,FALSE,"CHANGES";#N/A,#N/A,FALSE,"PROD SUMMARY";#N/A,#N/A,FALSE,"1995 PO SUM";#N/A,#N/A,FALSE,"1995 GEOG SUM";#N/A,#N/A,FALSE,"1996 PO SUM";#N/A,#N/A,FALSE,"1996 GEOG SUM"}</definedName>
    <definedName name="adf" localSheetId="4" hidden="1">{#N/A,#N/A,FALSE,"CHANGES";#N/A,#N/A,FALSE,"PROD SUMMARY";#N/A,#N/A,FALSE,"1995 PO SUM";#N/A,#N/A,FALSE,"1995 GEOG SUM";#N/A,#N/A,FALSE,"1996 PO SUM";#N/A,#N/A,FALSE,"1996 GEOG SUM"}</definedName>
    <definedName name="adf" localSheetId="5" hidden="1">{#N/A,#N/A,FALSE,"CHANGES";#N/A,#N/A,FALSE,"PROD SUMMARY";#N/A,#N/A,FALSE,"1995 PO SUM";#N/A,#N/A,FALSE,"1995 GEOG SUM";#N/A,#N/A,FALSE,"1996 PO SUM";#N/A,#N/A,FALSE,"1996 GEOG SUM"}</definedName>
    <definedName name="adf" hidden="1">{#N/A,#N/A,FALSE,"CHANGES";#N/A,#N/A,FALSE,"PROD SUMMARY";#N/A,#N/A,FALSE,"1995 PO SUM";#N/A,#N/A,FALSE,"1995 GEOG SUM";#N/A,#N/A,FALSE,"1996 PO SUM";#N/A,#N/A,FALSE,"1996 GEOG SUM"}</definedName>
    <definedName name="af" hidden="1">#REF!</definedName>
    <definedName name="ahaf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haf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haf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haf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haf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aklsjdfkl" hidden="1">#REF!</definedName>
    <definedName name="alpha" localSheetId="1" hidden="1">{#N/A,#N/A,FALSE,"CHANGES";#N/A,#N/A,FALSE,"PROD SUMMARY";#N/A,#N/A,FALSE,"1995 PO SUM";#N/A,#N/A,FALSE,"1995 GEOG SUM";#N/A,#N/A,FALSE,"1996 PO SUM";#N/A,#N/A,FALSE,"1996 GEOG SUM"}</definedName>
    <definedName name="alpha" localSheetId="3" hidden="1">{#N/A,#N/A,FALSE,"CHANGES";#N/A,#N/A,FALSE,"PROD SUMMARY";#N/A,#N/A,FALSE,"1995 PO SUM";#N/A,#N/A,FALSE,"1995 GEOG SUM";#N/A,#N/A,FALSE,"1996 PO SUM";#N/A,#N/A,FALSE,"1996 GEOG SUM"}</definedName>
    <definedName name="alpha" localSheetId="4" hidden="1">{#N/A,#N/A,FALSE,"CHANGES";#N/A,#N/A,FALSE,"PROD SUMMARY";#N/A,#N/A,FALSE,"1995 PO SUM";#N/A,#N/A,FALSE,"1995 GEOG SUM";#N/A,#N/A,FALSE,"1996 PO SUM";#N/A,#N/A,FALSE,"1996 GEOG SUM"}</definedName>
    <definedName name="alpha" localSheetId="5" hidden="1">{#N/A,#N/A,FALSE,"CHANGES";#N/A,#N/A,FALSE,"PROD SUMMARY";#N/A,#N/A,FALSE,"1995 PO SUM";#N/A,#N/A,FALSE,"1995 GEOG SUM";#N/A,#N/A,FALSE,"1996 PO SUM";#N/A,#N/A,FALSE,"1996 GEOG SUM"}</definedName>
    <definedName name="alpha" hidden="1">{#N/A,#N/A,FALSE,"CHANGES";#N/A,#N/A,FALSE,"PROD SUMMARY";#N/A,#N/A,FALSE,"1995 PO SUM";#N/A,#N/A,FALSE,"1995 GEOG SUM";#N/A,#N/A,FALSE,"1996 PO SUM";#N/A,#N/A,FALSE,"1996 GEOG SUM"}</definedName>
    <definedName name="am" localSheetId="1" hidden="1">{#N/A,#N/A,FALSE,"intl comb";#N/A,#N/A,FALSE,"el intl";#N/A,#N/A,FALSE,"cl intl ";#N/A,#N/A,FALSE,"px intl ";#N/A,#N/A,FALSE,"ar intl ";#N/A,#N/A,FALSE,"or intl  ";#N/A,#N/A,FALSE,"adj intl  "}</definedName>
    <definedName name="am" localSheetId="3" hidden="1">{#N/A,#N/A,FALSE,"intl comb";#N/A,#N/A,FALSE,"el intl";#N/A,#N/A,FALSE,"cl intl ";#N/A,#N/A,FALSE,"px intl ";#N/A,#N/A,FALSE,"ar intl ";#N/A,#N/A,FALSE,"or intl  ";#N/A,#N/A,FALSE,"adj intl  "}</definedName>
    <definedName name="am" localSheetId="4" hidden="1">{#N/A,#N/A,FALSE,"intl comb";#N/A,#N/A,FALSE,"el intl";#N/A,#N/A,FALSE,"cl intl ";#N/A,#N/A,FALSE,"px intl ";#N/A,#N/A,FALSE,"ar intl ";#N/A,#N/A,FALSE,"or intl  ";#N/A,#N/A,FALSE,"adj intl  "}</definedName>
    <definedName name="am" localSheetId="5" hidden="1">{#N/A,#N/A,FALSE,"intl comb";#N/A,#N/A,FALSE,"el intl";#N/A,#N/A,FALSE,"cl intl ";#N/A,#N/A,FALSE,"px intl ";#N/A,#N/A,FALSE,"ar intl ";#N/A,#N/A,FALSE,"or intl  ";#N/A,#N/A,FALSE,"adj intl  "}</definedName>
    <definedName name="am" hidden="1">{#N/A,#N/A,FALSE,"intl comb";#N/A,#N/A,FALSE,"el intl";#N/A,#N/A,FALSE,"cl intl ";#N/A,#N/A,FALSE,"px intl ";#N/A,#N/A,FALSE,"ar intl ";#N/A,#N/A,FALSE,"or intl  ";#N/A,#N/A,FALSE,"adj intl  "}</definedName>
    <definedName name="anna" localSheetId="1" hidden="1">{"Area1",#N/A,TRUE,"Obiettivo";"Area2",#N/A,TRUE,"Dati per Direzione"}</definedName>
    <definedName name="anna" localSheetId="3" hidden="1">{"Area1",#N/A,TRUE,"Obiettivo";"Area2",#N/A,TRUE,"Dati per Direzione"}</definedName>
    <definedName name="anna" localSheetId="4" hidden="1">{"Area1",#N/A,TRUE,"Obiettivo";"Area2",#N/A,TRUE,"Dati per Direzione"}</definedName>
    <definedName name="anna" localSheetId="5" hidden="1">{"Area1",#N/A,TRUE,"Obiettivo";"Area2",#N/A,TRUE,"Dati per Direzione"}</definedName>
    <definedName name="anna" hidden="1">{"Area1",#N/A,TRUE,"Obiettivo";"Area2",#N/A,TRUE,"Dati per Direzione"}</definedName>
    <definedName name="anscount" hidden="1">1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sd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sd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sd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sd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asdff" localSheetId="1" hidden="1">{#N/A,#N/A,FALSE,"CHANGES";#N/A,#N/A,FALSE,"PROD SUMMARY";#N/A,#N/A,FALSE,"1995 PO SUM";#N/A,#N/A,FALSE,"1995 GEOG SUM";#N/A,#N/A,FALSE,"1996 PO SUM";#N/A,#N/A,FALSE,"1996 GEOG SUM"}</definedName>
    <definedName name="asdff" localSheetId="3" hidden="1">{#N/A,#N/A,FALSE,"CHANGES";#N/A,#N/A,FALSE,"PROD SUMMARY";#N/A,#N/A,FALSE,"1995 PO SUM";#N/A,#N/A,FALSE,"1995 GEOG SUM";#N/A,#N/A,FALSE,"1996 PO SUM";#N/A,#N/A,FALSE,"1996 GEOG SUM"}</definedName>
    <definedName name="asdff" localSheetId="4" hidden="1">{#N/A,#N/A,FALSE,"CHANGES";#N/A,#N/A,FALSE,"PROD SUMMARY";#N/A,#N/A,FALSE,"1995 PO SUM";#N/A,#N/A,FALSE,"1995 GEOG SUM";#N/A,#N/A,FALSE,"1996 PO SUM";#N/A,#N/A,FALSE,"1996 GEOG SUM"}</definedName>
    <definedName name="asdff" localSheetId="5" hidden="1">{#N/A,#N/A,FALSE,"CHANGES";#N/A,#N/A,FALSE,"PROD SUMMARY";#N/A,#N/A,FALSE,"1995 PO SUM";#N/A,#N/A,FALSE,"1995 GEOG SUM";#N/A,#N/A,FALSE,"1996 PO SUM";#N/A,#N/A,FALSE,"1996 GEOG SUM"}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TTTTTTTTTTTTTTTT" localSheetId="1" hidden="1">{#N/A,#N/A,TRUE,"cover";#N/A,#N/A,TRUE,"Sales";#N/A,#N/A,TRUE,"Sales COGS"}</definedName>
    <definedName name="asTTTTTTTTTTTTTTTT" localSheetId="3" hidden="1">{#N/A,#N/A,TRUE,"cover";#N/A,#N/A,TRUE,"Sales";#N/A,#N/A,TRUE,"Sales COGS"}</definedName>
    <definedName name="asTTTTTTTTTTTTTTTT" localSheetId="4" hidden="1">{#N/A,#N/A,TRUE,"cover";#N/A,#N/A,TRUE,"Sales";#N/A,#N/A,TRUE,"Sales COGS"}</definedName>
    <definedName name="asTTTTTTTTTTTTTTTT" localSheetId="5" hidden="1">{#N/A,#N/A,TRUE,"cover";#N/A,#N/A,TRUE,"Sales";#N/A,#N/A,TRUE,"Sales COGS"}</definedName>
    <definedName name="asTTTTTTTTTTTTTTTT" hidden="1">{#N/A,#N/A,TRUE,"cover";#N/A,#N/A,TRUE,"Sales";#N/A,#N/A,TRUE,"Sales COGS"}</definedName>
    <definedName name="avdd" localSheetId="1" hidden="1">{#N/A,#N/A,FALSE,"Calc";#N/A,#N/A,FALSE,"Sensitivity";#N/A,#N/A,FALSE,"LT Earn.Dil.";#N/A,#N/A,FALSE,"Dil. AVP"}</definedName>
    <definedName name="avdd" localSheetId="3" hidden="1">{#N/A,#N/A,FALSE,"Calc";#N/A,#N/A,FALSE,"Sensitivity";#N/A,#N/A,FALSE,"LT Earn.Dil.";#N/A,#N/A,FALSE,"Dil. AVP"}</definedName>
    <definedName name="avdd" localSheetId="4" hidden="1">{#N/A,#N/A,FALSE,"Calc";#N/A,#N/A,FALSE,"Sensitivity";#N/A,#N/A,FALSE,"LT Earn.Dil.";#N/A,#N/A,FALSE,"Dil. AVP"}</definedName>
    <definedName name="avdd" localSheetId="5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zerty" hidden="1">#REF!</definedName>
    <definedName name="Base" localSheetId="1" hidden="1">{#N/A,#N/A,FALSE,"COMPWITH ";#N/A,#N/A,FALSE,"PROFORMA";#N/A,#N/A,FALSE,"COMPWO";#N/A,#N/A,FALSE,"LII";#N/A,#N/A,FALSE,"global";#N/A,#N/A,FALSE,"oio";#N/A,#N/A,FALSE,"dom comb";#N/A,#N/A,FALSE,"intl comb"}</definedName>
    <definedName name="Base" localSheetId="3" hidden="1">{#N/A,#N/A,FALSE,"COMPWITH ";#N/A,#N/A,FALSE,"PROFORMA";#N/A,#N/A,FALSE,"COMPWO";#N/A,#N/A,FALSE,"LII";#N/A,#N/A,FALSE,"global";#N/A,#N/A,FALSE,"oio";#N/A,#N/A,FALSE,"dom comb";#N/A,#N/A,FALSE,"intl comb"}</definedName>
    <definedName name="Base" localSheetId="4" hidden="1">{#N/A,#N/A,FALSE,"COMPWITH ";#N/A,#N/A,FALSE,"PROFORMA";#N/A,#N/A,FALSE,"COMPWO";#N/A,#N/A,FALSE,"LII";#N/A,#N/A,FALSE,"global";#N/A,#N/A,FALSE,"oio";#N/A,#N/A,FALSE,"dom comb";#N/A,#N/A,FALSE,"intl comb"}</definedName>
    <definedName name="Base" localSheetId="5" hidden="1">{#N/A,#N/A,FALSE,"COMPWITH ";#N/A,#N/A,FALSE,"PROFORMA";#N/A,#N/A,FALSE,"COMPWO";#N/A,#N/A,FALSE,"LII";#N/A,#N/A,FALSE,"global";#N/A,#N/A,FALSE,"oio";#N/A,#N/A,FALSE,"dom comb";#N/A,#N/A,FALSE,"intl comb"}</definedName>
    <definedName name="Base" hidden="1">{#N/A,#N/A,FALSE,"COMPWITH ";#N/A,#N/A,FALSE,"PROFORMA";#N/A,#N/A,FALSE,"COMPWO";#N/A,#N/A,FALSE,"LII";#N/A,#N/A,FALSE,"global";#N/A,#N/A,FALSE,"oio";#N/A,#N/A,FALSE,"dom comb";#N/A,#N/A,FALSE,"intl comb"}</definedName>
    <definedName name="BBBS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BBS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BBS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BBS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BB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be" localSheetId="1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Bebe" localSheetId="3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Bebe" localSheetId="4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Bebe" localSheetId="5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Bebe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bet" localSheetId="1" hidden="1">{#N/A,#N/A,FALSE,"elraw";#N/A,#N/A,FALSE,"clraw ";#N/A,#N/A,FALSE,"pxraw ";#N/A,#N/A,FALSE,"arraw ";#N/A,#N/A,FALSE,"orraw ";#N/A,#N/A,FALSE,"90raw  ";#N/A,#N/A,FALSE,"dcraw   "}</definedName>
    <definedName name="bet" localSheetId="3" hidden="1">{#N/A,#N/A,FALSE,"elraw";#N/A,#N/A,FALSE,"clraw ";#N/A,#N/A,FALSE,"pxraw ";#N/A,#N/A,FALSE,"arraw ";#N/A,#N/A,FALSE,"orraw ";#N/A,#N/A,FALSE,"90raw  ";#N/A,#N/A,FALSE,"dcraw   "}</definedName>
    <definedName name="bet" localSheetId="4" hidden="1">{#N/A,#N/A,FALSE,"elraw";#N/A,#N/A,FALSE,"clraw ";#N/A,#N/A,FALSE,"pxraw ";#N/A,#N/A,FALSE,"arraw ";#N/A,#N/A,FALSE,"orraw ";#N/A,#N/A,FALSE,"90raw  ";#N/A,#N/A,FALSE,"dcraw   "}</definedName>
    <definedName name="bet" localSheetId="5" hidden="1">{#N/A,#N/A,FALSE,"elraw";#N/A,#N/A,FALSE,"clraw ";#N/A,#N/A,FALSE,"pxraw ";#N/A,#N/A,FALSE,"arraw ";#N/A,#N/A,FALSE,"orraw ";#N/A,#N/A,FALSE,"90raw  ";#N/A,#N/A,FALSE,"dcraw   "}</definedName>
    <definedName name="bet" hidden="1">{#N/A,#N/A,FALSE,"elraw";#N/A,#N/A,FALSE,"clraw ";#N/A,#N/A,FALSE,"pxraw ";#N/A,#N/A,FALSE,"arraw ";#N/A,#N/A,FALSE,"orraw ";#N/A,#N/A,FALSE,"90raw  ";#N/A,#N/A,FALSE,"dcraw   "}</definedName>
    <definedName name="BETA" localSheetId="1" hidden="1">{#N/A,#N/A,FALSE,"CHANGES";#N/A,#N/A,FALSE,"PROD SUMMARY";#N/A,#N/A,FALSE,"1995 PO SUM";#N/A,#N/A,FALSE,"1995 GEOG SUM";#N/A,#N/A,FALSE,"1996 PO SUM";#N/A,#N/A,FALSE,"1996 GEOG SUM"}</definedName>
    <definedName name="BETA" localSheetId="3" hidden="1">{#N/A,#N/A,FALSE,"CHANGES";#N/A,#N/A,FALSE,"PROD SUMMARY";#N/A,#N/A,FALSE,"1995 PO SUM";#N/A,#N/A,FALSE,"1995 GEOG SUM";#N/A,#N/A,FALSE,"1996 PO SUM";#N/A,#N/A,FALSE,"1996 GEOG SUM"}</definedName>
    <definedName name="BETA" localSheetId="4" hidden="1">{#N/A,#N/A,FALSE,"CHANGES";#N/A,#N/A,FALSE,"PROD SUMMARY";#N/A,#N/A,FALSE,"1995 PO SUM";#N/A,#N/A,FALSE,"1995 GEOG SUM";#N/A,#N/A,FALSE,"1996 PO SUM";#N/A,#N/A,FALSE,"1996 GEOG SUM"}</definedName>
    <definedName name="BETA" localSheetId="5" hidden="1">{#N/A,#N/A,FALSE,"CHANGES";#N/A,#N/A,FALSE,"PROD SUMMARY";#N/A,#N/A,FALSE,"1995 PO SUM";#N/A,#N/A,FALSE,"1995 GEOG SUM";#N/A,#N/A,FALSE,"1996 PO SUM";#N/A,#N/A,FALSE,"1996 GEOG SUM"}</definedName>
    <definedName name="BETA" hidden="1">{#N/A,#N/A,FALSE,"CHANGES";#N/A,#N/A,FALSE,"PROD SUMMARY";#N/A,#N/A,FALSE,"1995 PO SUM";#N/A,#N/A,FALSE,"1995 GEOG SUM";#N/A,#N/A,FALSE,"1996 PO SUM";#N/A,#N/A,FALSE,"1996 GEOG SUM"}</definedName>
    <definedName name="bety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ty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ty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ty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ty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BEx3NV49AUOM20L6GJ7OC385G7SD" hidden="1">#REF!</definedName>
    <definedName name="BEx5HZ9JIQ7ODBAJS24IEA7V8A2Z" hidden="1">#REF!</definedName>
    <definedName name="BEx7FF59GI9VSZ6QX4N2SL0K8KYR" hidden="1">#REF!</definedName>
    <definedName name="BExB2MVPEJB49HG7Q34VMXF4EHLT" hidden="1">#REF!</definedName>
    <definedName name="BExB43BOVXDD4A887ELQ8UG3GU80" hidden="1">#REF!</definedName>
    <definedName name="BExB4EKEBIFRC7ZIAOJVC91URZZO" hidden="1">#REF!</definedName>
    <definedName name="BExB8J7VCG1I6L14JG8IEW3OG4QX" hidden="1">#REF!</definedName>
    <definedName name="BExBA5NQ2MOBV2G5W3FN8XW28OKL" hidden="1">#REF!</definedName>
    <definedName name="BExBBDEV7Z4G452PV5OB5VS85EGP" hidden="1">#REF!</definedName>
    <definedName name="BExBC2L6EPN500CDPDWLB5OQ33W2" hidden="1">#REF!</definedName>
    <definedName name="BExD1K3RIPGNI709BMNY8G7RAL76" hidden="1">#REF!</definedName>
    <definedName name="BExEW1AHRP3JN91BKIVHA9E35QGY" hidden="1">#REF!</definedName>
    <definedName name="BExF62KVJ713O1JL0LI65TL8EOS2" hidden="1">#REF!</definedName>
    <definedName name="BExGNEOUQ9P6PL9N5SQRT0I1DH25" hidden="1">#REF!</definedName>
    <definedName name="BExGP030L2V8I0CIAHLWLWZYKZUK" hidden="1">#REF!</definedName>
    <definedName name="BExGYNVTYGLS9A4CTHUJXHFWGSIN" hidden="1">#REF!</definedName>
    <definedName name="BExQBIWJG5WPO0LCY0Q2G50GLY8T" hidden="1">#REF!</definedName>
    <definedName name="BExS09LK5FOIWNJAJGI20ZKQLZHQ" hidden="1">#REF!</definedName>
    <definedName name="BExUC7K0BALQS5ZHBCYZVI2MNW53" hidden="1">#REF!</definedName>
    <definedName name="BExUCHLECPSK4GLWMV3ZFUP28KPS" hidden="1">#REF!</definedName>
    <definedName name="BExVSJUKK10KFXR0LS1T1O5D6UDV" hidden="1">#REF!</definedName>
    <definedName name="BExW5KA3Y44NWERD40Y8148XYL63" hidden="1">#REF!</definedName>
    <definedName name="BExW9MZGLHOXIACLVZ80TEL7XQS9" hidden="1">#REF!</definedName>
    <definedName name="BExZKS5KA1E5XAEJOMIR2LJ88ET1" hidden="1">#REF!</definedName>
    <definedName name="BExZYZAJYB5NDZCGSVSRUHXNQGDW" hidden="1">#REF!</definedName>
    <definedName name="BG" localSheetId="1" hidden="1">{#N/A,#N/A,TRUE,"Cover sheet";#N/A,#N/A,TRUE,"DCF analysis";#N/A,#N/A,TRUE,"WACC calculation"}</definedName>
    <definedName name="BG" localSheetId="3" hidden="1">{#N/A,#N/A,TRUE,"Cover sheet";#N/A,#N/A,TRUE,"DCF analysis";#N/A,#N/A,TRUE,"WACC calculation"}</definedName>
    <definedName name="BG" localSheetId="4" hidden="1">{#N/A,#N/A,TRUE,"Cover sheet";#N/A,#N/A,TRUE,"DCF analysis";#N/A,#N/A,TRUE,"WACC calculation"}</definedName>
    <definedName name="BG" localSheetId="5" hidden="1">{#N/A,#N/A,TRUE,"Cover sheet";#N/A,#N/A,TRUE,"DCF analysis";#N/A,#N/A,TRUE,"WACC calculation"}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hfw" localSheetId="1" hidden="1">{#N/A,#N/A,FALSE,"elraw";#N/A,#N/A,FALSE,"clraw ";#N/A,#N/A,FALSE,"pxraw ";#N/A,#N/A,FALSE,"arraw ";#N/A,#N/A,FALSE,"orraw ";#N/A,#N/A,FALSE,"90raw  ";#N/A,#N/A,FALSE,"dcraw   "}</definedName>
    <definedName name="bhfw" localSheetId="3" hidden="1">{#N/A,#N/A,FALSE,"elraw";#N/A,#N/A,FALSE,"clraw ";#N/A,#N/A,FALSE,"pxraw ";#N/A,#N/A,FALSE,"arraw ";#N/A,#N/A,FALSE,"orraw ";#N/A,#N/A,FALSE,"90raw  ";#N/A,#N/A,FALSE,"dcraw   "}</definedName>
    <definedName name="bhfw" localSheetId="4" hidden="1">{#N/A,#N/A,FALSE,"elraw";#N/A,#N/A,FALSE,"clraw ";#N/A,#N/A,FALSE,"pxraw ";#N/A,#N/A,FALSE,"arraw ";#N/A,#N/A,FALSE,"orraw ";#N/A,#N/A,FALSE,"90raw  ";#N/A,#N/A,FALSE,"dcraw   "}</definedName>
    <definedName name="bhfw" localSheetId="5" hidden="1">{#N/A,#N/A,FALSE,"elraw";#N/A,#N/A,FALSE,"clraw ";#N/A,#N/A,FALSE,"pxraw ";#N/A,#N/A,FALSE,"arraw ";#N/A,#N/A,FALSE,"orraw ";#N/A,#N/A,FALSE,"90raw  ";#N/A,#N/A,FALSE,"dcraw   "}</definedName>
    <definedName name="bhfw" hidden="1">{#N/A,#N/A,FALSE,"elraw";#N/A,#N/A,FALSE,"clraw ";#N/A,#N/A,FALSE,"pxraw ";#N/A,#N/A,FALSE,"arraw ";#N/A,#N/A,FALSE,"orraw ";#N/A,#N/A,FALSE,"90raw  ";#N/A,#N/A,FALSE,"dcraw   "}</definedName>
    <definedName name="bob" localSheetId="1" hidden="1">{#N/A,#N/A,FALSE,"Key Business Drivers";#N/A,#N/A,FALSE,"FY98 Headcount";#N/A,#N/A,FALSE,"FY98 Financial Overview";#N/A,#N/A,FALSE,"(OPTIONAL) Additional Requests"}</definedName>
    <definedName name="bob" localSheetId="3" hidden="1">{#N/A,#N/A,FALSE,"Key Business Drivers";#N/A,#N/A,FALSE,"FY98 Headcount";#N/A,#N/A,FALSE,"FY98 Financial Overview";#N/A,#N/A,FALSE,"(OPTIONAL) Additional Requests"}</definedName>
    <definedName name="bob" localSheetId="4" hidden="1">{#N/A,#N/A,FALSE,"Key Business Drivers";#N/A,#N/A,FALSE,"FY98 Headcount";#N/A,#N/A,FALSE,"FY98 Financial Overview";#N/A,#N/A,FALSE,"(OPTIONAL) Additional Requests"}</definedName>
    <definedName name="bob" localSheetId="5" hidden="1">{#N/A,#N/A,FALSE,"Key Business Drivers";#N/A,#N/A,FALSE,"FY98 Headcount";#N/A,#N/A,FALSE,"FY98 Financial Overview";#N/A,#N/A,FALSE,"(OPTIONAL) Additional Requests"}</definedName>
    <definedName name="bob" hidden="1">{#N/A,#N/A,FALSE,"Key Business Drivers";#N/A,#N/A,FALSE,"FY98 Headcount";#N/A,#N/A,FALSE,"FY98 Financial Overview";#N/A,#N/A,FALSE,"(OPTIONAL) Additional Requests"}</definedName>
    <definedName name="bsnkdcniwo" hidden="1">#REF!</definedName>
    <definedName name="CA" localSheetId="1" hidden="1">{#N/A,#N/A,FALSE,"elraw";#N/A,#N/A,FALSE,"clraw ";#N/A,#N/A,FALSE,"pxraw ";#N/A,#N/A,FALSE,"arraw ";#N/A,#N/A,FALSE,"orraw ";#N/A,#N/A,FALSE,"90raw  ";#N/A,#N/A,FALSE,"dcraw   "}</definedName>
    <definedName name="CA" localSheetId="3" hidden="1">{#N/A,#N/A,FALSE,"elraw";#N/A,#N/A,FALSE,"clraw ";#N/A,#N/A,FALSE,"pxraw ";#N/A,#N/A,FALSE,"arraw ";#N/A,#N/A,FALSE,"orraw ";#N/A,#N/A,FALSE,"90raw  ";#N/A,#N/A,FALSE,"dcraw   "}</definedName>
    <definedName name="CA" localSheetId="4" hidden="1">{#N/A,#N/A,FALSE,"elraw";#N/A,#N/A,FALSE,"clraw ";#N/A,#N/A,FALSE,"pxraw ";#N/A,#N/A,FALSE,"arraw ";#N/A,#N/A,FALSE,"orraw ";#N/A,#N/A,FALSE,"90raw  ";#N/A,#N/A,FALSE,"dcraw   "}</definedName>
    <definedName name="CA" localSheetId="5" hidden="1">{#N/A,#N/A,FALSE,"elraw";#N/A,#N/A,FALSE,"clraw ";#N/A,#N/A,FALSE,"pxraw ";#N/A,#N/A,FALSE,"arraw ";#N/A,#N/A,FALSE,"orraw ";#N/A,#N/A,FALSE,"90raw  ";#N/A,#N/A,FALSE,"dcraw   "}</definedName>
    <definedName name="CA" hidden="1">{#N/A,#N/A,FALSE,"elraw";#N/A,#N/A,FALSE,"clraw ";#N/A,#N/A,FALSE,"pxraw ";#N/A,#N/A,FALSE,"arraw ";#N/A,#N/A,FALSE,"orraw ";#N/A,#N/A,FALSE,"90raw  ";#N/A,#N/A,FALSE,"dcraw   "}</definedName>
    <definedName name="ccccc" localSheetId="1" hidden="1">{"10yp key data",#N/A,FALSE,"Market Data"}</definedName>
    <definedName name="ccccc" localSheetId="3" hidden="1">{"10yp key data",#N/A,FALSE,"Market Data"}</definedName>
    <definedName name="ccccc" localSheetId="4" hidden="1">{"10yp key data",#N/A,FALSE,"Market Data"}</definedName>
    <definedName name="ccccc" localSheetId="5" hidden="1">{"10yp key data",#N/A,FALSE,"Market Data"}</definedName>
    <definedName name="ccccc" hidden="1">{"10yp key data",#N/A,FALSE,"Market Data"}</definedName>
    <definedName name="CDH" hidden="1">#REF!</definedName>
    <definedName name="ceshi" hidden="1">#REF!</definedName>
    <definedName name="CIQWBGuid" hidden="1">"2014.06.12_Latte ThinkStream.xlsx"</definedName>
    <definedName name="cmb" hidden="1">#REF!</definedName>
    <definedName name="coucou" localSheetId="1" hidden="1">{#N/A,#N/A,TRUE,"Cover sheet";#N/A,#N/A,TRUE,"INPUTS";#N/A,#N/A,TRUE,"OUTPUTS";#N/A,#N/A,TRUE,"VALUATION"}</definedName>
    <definedName name="coucou" localSheetId="3" hidden="1">{#N/A,#N/A,TRUE,"Cover sheet";#N/A,#N/A,TRUE,"INPUTS";#N/A,#N/A,TRUE,"OUTPUTS";#N/A,#N/A,TRUE,"VALUATION"}</definedName>
    <definedName name="coucou" localSheetId="4" hidden="1">{#N/A,#N/A,TRUE,"Cover sheet";#N/A,#N/A,TRUE,"INPUTS";#N/A,#N/A,TRUE,"OUTPUTS";#N/A,#N/A,TRUE,"VALUATION"}</definedName>
    <definedName name="coucou" localSheetId="5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vgfjgjerljglerhlijer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cvgfjgjerljglerhlijer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cvgfjgjerljglerhlijer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cvgfjgjerljglerhlijer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cvgfjgjerljglerhlijer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Cwvu.GenAdmin." hidden="1">#REF!</definedName>
    <definedName name="dalm" localSheetId="1" hidden="1">{#N/A,#N/A,FALSE,"Exp Detail";#N/A,#N/A,FALSE,"Headcount";#N/A,#N/A,FALSE,"Travel";#N/A,#N/A,FALSE,"Summary";#N/A,#N/A,FALSE,"Cap Ex"}</definedName>
    <definedName name="dalm" localSheetId="3" hidden="1">{#N/A,#N/A,FALSE,"Exp Detail";#N/A,#N/A,FALSE,"Headcount";#N/A,#N/A,FALSE,"Travel";#N/A,#N/A,FALSE,"Summary";#N/A,#N/A,FALSE,"Cap Ex"}</definedName>
    <definedName name="dalm" localSheetId="4" hidden="1">{#N/A,#N/A,FALSE,"Exp Detail";#N/A,#N/A,FALSE,"Headcount";#N/A,#N/A,FALSE,"Travel";#N/A,#N/A,FALSE,"Summary";#N/A,#N/A,FALSE,"Cap Ex"}</definedName>
    <definedName name="dalm" localSheetId="5" hidden="1">{#N/A,#N/A,FALSE,"Exp Detail";#N/A,#N/A,FALSE,"Headcount";#N/A,#N/A,FALSE,"Travel";#N/A,#N/A,FALSE,"Summary";#N/A,#N/A,FALSE,"Cap Ex"}</definedName>
    <definedName name="dalm" hidden="1">{#N/A,#N/A,FALSE,"Exp Detail";#N/A,#N/A,FALSE,"Headcount";#N/A,#N/A,FALSE,"Travel";#N/A,#N/A,FALSE,"Summary";#N/A,#N/A,FALSE,"Cap Ex"}</definedName>
    <definedName name="_xlnm.Database" hidden="1">#REF!</definedName>
    <definedName name="DCC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CC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CC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CC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CC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CF_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ddd" localSheetId="1" hidden="1">{"10yp profit and loss",#N/A,FALSE,"Celtel alternative 6"}</definedName>
    <definedName name="dddddd" localSheetId="3" hidden="1">{"10yp profit and loss",#N/A,FALSE,"Celtel alternative 6"}</definedName>
    <definedName name="dddddd" localSheetId="4" hidden="1">{"10yp profit and loss",#N/A,FALSE,"Celtel alternative 6"}</definedName>
    <definedName name="dddddd" localSheetId="5" hidden="1">{"10yp profit and loss",#N/A,FALSE,"Celtel alternative 6"}</definedName>
    <definedName name="dddddd" hidden="1">{"10yp profit and loss",#N/A,FALSE,"Celtel alternative 6"}</definedName>
    <definedName name="dff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ff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ff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ff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ff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dfgd" localSheetId="1" hidden="1">{"subs",#N/A,FALSE,"database ";"proportional",#N/A,FALSE,"database "}</definedName>
    <definedName name="dfgd" localSheetId="3" hidden="1">{"subs",#N/A,FALSE,"database ";"proportional",#N/A,FALSE,"database "}</definedName>
    <definedName name="dfgd" localSheetId="4" hidden="1">{"subs",#N/A,FALSE,"database ";"proportional",#N/A,FALSE,"database "}</definedName>
    <definedName name="dfgd" localSheetId="5" hidden="1">{"subs",#N/A,FALSE,"database ";"proportional",#N/A,FALSE,"database "}</definedName>
    <definedName name="dfgd" hidden="1">{"subs",#N/A,FALSE,"database ";"proportional",#N/A,FALSE,"database "}</definedName>
    <definedName name="dfgsh" localSheetId="1" hidden="1">{"'Matrix'!$A$3:$J$47"}</definedName>
    <definedName name="dfgsh" localSheetId="3" hidden="1">{"'Matrix'!$A$3:$J$47"}</definedName>
    <definedName name="dfgsh" localSheetId="4" hidden="1">{"'Matrix'!$A$3:$J$47"}</definedName>
    <definedName name="dfgsh" localSheetId="5" hidden="1">{"'Matrix'!$A$3:$J$47"}</definedName>
    <definedName name="dfgsh" hidden="1">{"'Matrix'!$A$3:$J$47"}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riPlan" localSheetId="1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DoriPlan" localSheetId="3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DoriPlan" localSheetId="4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DoriPlan" localSheetId="5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DoriPlan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down" localSheetId="1" hidden="1">{#N/A,#N/A,FALSE,"Umsatz";#N/A,#N/A,FALSE,"Base V.02";#N/A,#N/A,FALSE,"Charts"}</definedName>
    <definedName name="down" localSheetId="3" hidden="1">{#N/A,#N/A,FALSE,"Umsatz";#N/A,#N/A,FALSE,"Base V.02";#N/A,#N/A,FALSE,"Charts"}</definedName>
    <definedName name="down" localSheetId="4" hidden="1">{#N/A,#N/A,FALSE,"Umsatz";#N/A,#N/A,FALSE,"Base V.02";#N/A,#N/A,FALSE,"Charts"}</definedName>
    <definedName name="down" localSheetId="5" hidden="1">{#N/A,#N/A,FALSE,"Umsatz";#N/A,#N/A,FALSE,"Base V.02";#N/A,#N/A,FALSE,"Charts"}</definedName>
    <definedName name="down" hidden="1">{#N/A,#N/A,FALSE,"Umsatz";#N/A,#N/A,FALSE,"Base V.02";#N/A,#N/A,FALSE,"Charts"}</definedName>
    <definedName name="draka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localSheetId="5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sggd" localSheetId="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3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4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s" hidden="1">#REF!</definedName>
    <definedName name="dsssssssssssssssssssssss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dsssssssssssssssssssssss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dsssssssssssssssssssssss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dsssssssssssssssssssssss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dssssssssssssssssssssss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edp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mily" localSheetId="1" hidden="1">{#N/A,#N/A,FALSE,"Calc";#N/A,#N/A,FALSE,"Sensitivity";#N/A,#N/A,FALSE,"LT Earn.Dil.";#N/A,#N/A,FALSE,"Dil. AVP"}</definedName>
    <definedName name="emily" localSheetId="3" hidden="1">{#N/A,#N/A,FALSE,"Calc";#N/A,#N/A,FALSE,"Sensitivity";#N/A,#N/A,FALSE,"LT Earn.Dil.";#N/A,#N/A,FALSE,"Dil. AVP"}</definedName>
    <definedName name="emily" localSheetId="4" hidden="1">{#N/A,#N/A,FALSE,"Calc";#N/A,#N/A,FALSE,"Sensitivity";#N/A,#N/A,FALSE,"LT Earn.Dil.";#N/A,#N/A,FALSE,"Dil. AVP"}</definedName>
    <definedName name="emily" localSheetId="5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rt" hidden="1">#REF!</definedName>
    <definedName name="erwer" localSheetId="1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erwer" localSheetId="3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erwer" localSheetId="4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erwer" localSheetId="5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erwer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et" hidden="1">#REF!</definedName>
    <definedName name="EV__EXPOPTIONS__" hidden="1">0</definedName>
    <definedName name="EV__LASTREFTIME__" hidden="1">40276.7892824074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134217791</definedName>
    <definedName name="EV__WBVERSION__" hidden="1">0</definedName>
    <definedName name="EV__WSINFO__" hidden="1">"CPM"</definedName>
    <definedName name="fdgdg" hidden="1">#REF!</definedName>
    <definedName name="fds" localSheetId="1" hidden="1">{"comps",#N/A,FALSE,"comps";"notes",#N/A,FALSE,"comps"}</definedName>
    <definedName name="fds" localSheetId="3" hidden="1">{"comps",#N/A,FALSE,"comps";"notes",#N/A,FALSE,"comps"}</definedName>
    <definedName name="fds" localSheetId="4" hidden="1">{"comps",#N/A,FALSE,"comps";"notes",#N/A,FALSE,"comps"}</definedName>
    <definedName name="fds" localSheetId="5" hidden="1">{"comps",#N/A,FALSE,"comps";"notes",#N/A,FALSE,"comps"}</definedName>
    <definedName name="fds" hidden="1">{"comps",#N/A,FALSE,"comps";"notes",#N/A,FALSE,"comps"}</definedName>
    <definedName name="fdsf" localSheetId="1" hidden="1">{"general",#N/A,FALSE,"Assumptions"}</definedName>
    <definedName name="fdsf" localSheetId="3" hidden="1">{"general",#N/A,FALSE,"Assumptions"}</definedName>
    <definedName name="fdsf" localSheetId="4" hidden="1">{"general",#N/A,FALSE,"Assumptions"}</definedName>
    <definedName name="fdsf" localSheetId="5" hidden="1">{"general",#N/A,FALSE,"Assumptions"}</definedName>
    <definedName name="fdsf" hidden="1">{"general",#N/A,FALSE,"Assumptions"}</definedName>
    <definedName name="ffff" localSheetId="1" hidden="1">{"'毛利比较'!$A$4:$P$26"}</definedName>
    <definedName name="ffff" localSheetId="3" hidden="1">{"'毛利比较'!$A$4:$P$26"}</definedName>
    <definedName name="ffff" localSheetId="4" hidden="1">{"'毛利比较'!$A$4:$P$26"}</definedName>
    <definedName name="ffff" localSheetId="5" hidden="1">{"'毛利比较'!$A$4:$P$26"}</definedName>
    <definedName name="ffff" hidden="1">{"'毛利比较'!$A$4:$P$26"}</definedName>
    <definedName name="ffffff" localSheetId="1" hidden="1">{"budget992000 capex",#N/A,FALSE,"Celtel alternative 6"}</definedName>
    <definedName name="ffffff" localSheetId="3" hidden="1">{"budget992000 capex",#N/A,FALSE,"Celtel alternative 6"}</definedName>
    <definedName name="ffffff" localSheetId="4" hidden="1">{"budget992000 capex",#N/A,FALSE,"Celtel alternative 6"}</definedName>
    <definedName name="ffffff" localSheetId="5" hidden="1">{"budget992000 capex",#N/A,FALSE,"Celtel alternative 6"}</definedName>
    <definedName name="ffffff" hidden="1">{"budget992000 capex",#N/A,FALSE,"Celtel alternative 6"}</definedName>
    <definedName name="fgdfgd" localSheetId="1" hidden="1">{"'Matrix'!$A$3:$J$47"}</definedName>
    <definedName name="fgdfgd" localSheetId="3" hidden="1">{"'Matrix'!$A$3:$J$47"}</definedName>
    <definedName name="fgdfgd" localSheetId="4" hidden="1">{"'Matrix'!$A$3:$J$47"}</definedName>
    <definedName name="fgdfgd" localSheetId="5" hidden="1">{"'Matrix'!$A$3:$J$47"}</definedName>
    <definedName name="fgdfgd" hidden="1">{"'Matrix'!$A$3:$J$47"}</definedName>
    <definedName name="fgdfgdf" hidden="1">#REF!</definedName>
    <definedName name="FGFR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gddf" localSheetId="1" hidden="1">{"Employee Efficiency",#N/A,FALSE,"Benchmarking"}</definedName>
    <definedName name="fggddf" localSheetId="3" hidden="1">{"Employee Efficiency",#N/A,FALSE,"Benchmarking"}</definedName>
    <definedName name="fggddf" localSheetId="4" hidden="1">{"Employee Efficiency",#N/A,FALSE,"Benchmarking"}</definedName>
    <definedName name="fggddf" localSheetId="5" hidden="1">{"Employee Efficiency",#N/A,FALSE,"Benchmarking"}</definedName>
    <definedName name="fggddf" hidden="1">{"Employee Efficiency",#N/A,FALSE,"Benchmarking"}</definedName>
    <definedName name="Frank" localSheetId="1" hidden="1">{#N/A,#N/A,TRUE,"Cover sheet";#N/A,#N/A,TRUE,"DCF analysis";#N/A,#N/A,TRUE,"WACC calculation"}</definedName>
    <definedName name="Frank" localSheetId="3" hidden="1">{#N/A,#N/A,TRUE,"Cover sheet";#N/A,#N/A,TRUE,"DCF analysis";#N/A,#N/A,TRUE,"WACC calculation"}</definedName>
    <definedName name="Frank" localSheetId="4" hidden="1">{#N/A,#N/A,TRUE,"Cover sheet";#N/A,#N/A,TRUE,"DCF analysis";#N/A,#N/A,TRUE,"WACC calculation"}</definedName>
    <definedName name="Frank" localSheetId="5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sadfas" hidden="1">#REF!</definedName>
    <definedName name="fuffuy" localSheetId="1" hidden="1">{#N/A,#N/A,FALSE,"Cover";"outputs total",#N/A,FALSE,"Outputs"}</definedName>
    <definedName name="fuffuy" localSheetId="3" hidden="1">{#N/A,#N/A,FALSE,"Cover";"outputs total",#N/A,FALSE,"Outputs"}</definedName>
    <definedName name="fuffuy" localSheetId="4" hidden="1">{#N/A,#N/A,FALSE,"Cover";"outputs total",#N/A,FALSE,"Outputs"}</definedName>
    <definedName name="fuffuy" localSheetId="5" hidden="1">{#N/A,#N/A,FALSE,"Cover";"outputs total",#N/A,FALSE,"Outputs"}</definedName>
    <definedName name="fuffuy" hidden="1">{#N/A,#N/A,FALSE,"Cover";"outputs total",#N/A,FALSE,"Outputs"}</definedName>
    <definedName name="FY16Summary" hidden="1">#REF!</definedName>
    <definedName name="GB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GB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GB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GB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GB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gdff" localSheetId="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localSheetId="3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localSheetId="4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localSheetId="5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dfgd" hidden="1">#REF!</definedName>
    <definedName name="gdsfg" localSheetId="1" hidden="1">{#N/A,#N/A,TRUE,"Cover sheet";#N/A,#N/A,TRUE,"INPUTS";#N/A,#N/A,TRUE,"OUTPUTS";#N/A,#N/A,TRUE,"VALUATION"}</definedName>
    <definedName name="gdsfg" localSheetId="3" hidden="1">{#N/A,#N/A,TRUE,"Cover sheet";#N/A,#N/A,TRUE,"INPUTS";#N/A,#N/A,TRUE,"OUTPUTS";#N/A,#N/A,TRUE,"VALUATION"}</definedName>
    <definedName name="gdsfg" localSheetId="4" hidden="1">{#N/A,#N/A,TRUE,"Cover sheet";#N/A,#N/A,TRUE,"INPUTS";#N/A,#N/A,TRUE,"OUTPUTS";#N/A,#N/A,TRUE,"VALUATION"}</definedName>
    <definedName name="gdsfg" localSheetId="5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gggg" localSheetId="1" hidden="1">{"budget992000_customers",#N/A,FALSE,"Celtel alternative 6"}</definedName>
    <definedName name="ggggg" localSheetId="3" hidden="1">{"budget992000_customers",#N/A,FALSE,"Celtel alternative 6"}</definedName>
    <definedName name="ggggg" localSheetId="4" hidden="1">{"budget992000_customers",#N/A,FALSE,"Celtel alternative 6"}</definedName>
    <definedName name="ggggg" localSheetId="5" hidden="1">{"budget992000_customers",#N/A,FALSE,"Celtel alternative 6"}</definedName>
    <definedName name="ggggg" hidden="1">{"budget992000_customers",#N/A,FALSE,"Celtel alternative 6"}</definedName>
    <definedName name="ggggggg" localSheetId="1" hidden="1">{"budget992000 profit and loss",#N/A,FALSE,"Celtel alternative 6"}</definedName>
    <definedName name="ggggggg" localSheetId="3" hidden="1">{"budget992000 profit and loss",#N/A,FALSE,"Celtel alternative 6"}</definedName>
    <definedName name="ggggggg" localSheetId="4" hidden="1">{"budget992000 profit and loss",#N/A,FALSE,"Celtel alternative 6"}</definedName>
    <definedName name="ggggggg" localSheetId="5" hidden="1">{"budget992000 profit and loss",#N/A,FALSE,"Celtel alternative 6"}</definedName>
    <definedName name="ggggggg" hidden="1">{"budget992000 profit and loss",#N/A,FALSE,"Celtel alternative 6"}</definedName>
    <definedName name="gggggggggggggggg" localSheetId="1" hidden="1">{#N/A,#N/A,FALSE,"elraw";#N/A,#N/A,FALSE,"clraw ";#N/A,#N/A,FALSE,"pxraw ";#N/A,#N/A,FALSE,"arraw ";#N/A,#N/A,FALSE,"orraw ";#N/A,#N/A,FALSE,"90raw  ";#N/A,#N/A,FALSE,"dcraw   "}</definedName>
    <definedName name="gggggggggggggggg" localSheetId="3" hidden="1">{#N/A,#N/A,FALSE,"elraw";#N/A,#N/A,FALSE,"clraw ";#N/A,#N/A,FALSE,"pxraw ";#N/A,#N/A,FALSE,"arraw ";#N/A,#N/A,FALSE,"orraw ";#N/A,#N/A,FALSE,"90raw  ";#N/A,#N/A,FALSE,"dcraw   "}</definedName>
    <definedName name="gggggggggggggggg" localSheetId="4" hidden="1">{#N/A,#N/A,FALSE,"elraw";#N/A,#N/A,FALSE,"clraw ";#N/A,#N/A,FALSE,"pxraw ";#N/A,#N/A,FALSE,"arraw ";#N/A,#N/A,FALSE,"orraw ";#N/A,#N/A,FALSE,"90raw  ";#N/A,#N/A,FALSE,"dcraw   "}</definedName>
    <definedName name="gggggggggggggggg" localSheetId="5" hidden="1">{#N/A,#N/A,FALSE,"elraw";#N/A,#N/A,FALSE,"clraw ";#N/A,#N/A,FALSE,"pxraw ";#N/A,#N/A,FALSE,"arraw ";#N/A,#N/A,FALSE,"orraw ";#N/A,#N/A,FALSE,"90raw  ";#N/A,#N/A,FALSE,"dcraw   "}</definedName>
    <definedName name="gggggggggggggggg" hidden="1">{#N/A,#N/A,FALSE,"elraw";#N/A,#N/A,FALSE,"clraw ";#N/A,#N/A,FALSE,"pxraw ";#N/A,#N/A,FALSE,"arraw ";#N/A,#N/A,FALSE,"orraw ";#N/A,#N/A,FALSE,"90raw  ";#N/A,#N/A,FALSE,"dcraw   "}</definedName>
    <definedName name="gogo" localSheetId="1" hidden="1">{#N/A,#N/A,TRUE,"Cover sheet";#N/A,#N/A,TRUE,"INPUTS";#N/A,#N/A,TRUE,"OUTPUTS";#N/A,#N/A,TRUE,"VALUATION"}</definedName>
    <definedName name="gogo" localSheetId="3" hidden="1">{#N/A,#N/A,TRUE,"Cover sheet";#N/A,#N/A,TRUE,"INPUTS";#N/A,#N/A,TRUE,"OUTPUTS";#N/A,#N/A,TRUE,"VALUATION"}</definedName>
    <definedName name="gogo" localSheetId="4" hidden="1">{#N/A,#N/A,TRUE,"Cover sheet";#N/A,#N/A,TRUE,"INPUTS";#N/A,#N/A,TRUE,"OUTPUTS";#N/A,#N/A,TRUE,"VALUATION"}</definedName>
    <definedName name="gogo" localSheetId="5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odbye" localSheetId="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3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4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h" hidden="1">#REF!</definedName>
    <definedName name="help8" localSheetId="1" hidden="1">{#N/A,#N/A,FALSE,"W-Cons";#N/A,#N/A,FALSE,"MTAs";#N/A,#N/A,FALSE,"BTAs";#N/A,#N/A,FALSE,"D.C.";#N/A,#N/A,FALSE,"L.A."}</definedName>
    <definedName name="help8" localSheetId="3" hidden="1">{#N/A,#N/A,FALSE,"W-Cons";#N/A,#N/A,FALSE,"MTAs";#N/A,#N/A,FALSE,"BTAs";#N/A,#N/A,FALSE,"D.C.";#N/A,#N/A,FALSE,"L.A."}</definedName>
    <definedName name="help8" localSheetId="4" hidden="1">{#N/A,#N/A,FALSE,"W-Cons";#N/A,#N/A,FALSE,"MTAs";#N/A,#N/A,FALSE,"BTAs";#N/A,#N/A,FALSE,"D.C.";#N/A,#N/A,FALSE,"L.A."}</definedName>
    <definedName name="help8" localSheetId="5" hidden="1">{#N/A,#N/A,FALSE,"W-Cons";#N/A,#N/A,FALSE,"MTAs";#N/A,#N/A,FALSE,"BTAs";#N/A,#N/A,FALSE,"D.C.";#N/A,#N/A,FALSE,"L.A."}</definedName>
    <definedName name="help8" hidden="1">{#N/A,#N/A,FALSE,"W-Cons";#N/A,#N/A,FALSE,"MTAs";#N/A,#N/A,FALSE,"BTAs";#N/A,#N/A,FALSE,"D.C.";#N/A,#N/A,FALSE,"L.A."}</definedName>
    <definedName name="hgjfjfjjtyj" localSheetId="1" hidden="1">{"'Matrix'!$A$3:$J$47"}</definedName>
    <definedName name="hgjfjfjjtyj" localSheetId="3" hidden="1">{"'Matrix'!$A$3:$J$47"}</definedName>
    <definedName name="hgjfjfjjtyj" localSheetId="4" hidden="1">{"'Matrix'!$A$3:$J$47"}</definedName>
    <definedName name="hgjfjfjjtyj" localSheetId="5" hidden="1">{"'Matrix'!$A$3:$J$47"}</definedName>
    <definedName name="hgjfjfjjtyj" hidden="1">{"'Matrix'!$A$3:$J$47"}</definedName>
    <definedName name="hhhsdf" localSheetId="1" hidden="1">{"up stand alones",#N/A,FALSE,"Acquiror"}</definedName>
    <definedName name="hhhsdf" localSheetId="3" hidden="1">{"up stand alones",#N/A,FALSE,"Acquiror"}</definedName>
    <definedName name="hhhsdf" localSheetId="4" hidden="1">{"up stand alones",#N/A,FALSE,"Acquiror"}</definedName>
    <definedName name="hhhsdf" localSheetId="5" hidden="1">{"up stand alones",#N/A,FALSE,"Acquiror"}</definedName>
    <definedName name="hhhsdf" hidden="1">{"up stand alones",#N/A,FALSE,"Acquiror"}</definedName>
    <definedName name="hi" hidden="1">#REF!</definedName>
    <definedName name="hkjj" localSheetId="1" hidden="1">{"Line Efficiency",#N/A,FALSE,"Benchmarking"}</definedName>
    <definedName name="hkjj" localSheetId="3" hidden="1">{"Line Efficiency",#N/A,FALSE,"Benchmarking"}</definedName>
    <definedName name="hkjj" localSheetId="4" hidden="1">{"Line Efficiency",#N/A,FALSE,"Benchmarking"}</definedName>
    <definedName name="hkjj" localSheetId="5" hidden="1">{"Line Efficiency",#N/A,FALSE,"Benchmarking"}</definedName>
    <definedName name="hkjj" hidden="1">{"Line Efficiency",#N/A,FALSE,"Benchmarking"}</definedName>
    <definedName name="HTML_CodePage" hidden="1">1252</definedName>
    <definedName name="HTML_Control" localSheetId="1" hidden="1">{"'OPTION TW (N)'!$I$28:$K$28"}</definedName>
    <definedName name="HTML_Control" localSheetId="3" hidden="1">{"'OPTION TW (N)'!$I$28:$K$28"}</definedName>
    <definedName name="HTML_Control" localSheetId="4" hidden="1">{"'OPTION TW (N)'!$I$28:$K$28"}</definedName>
    <definedName name="HTML_Control" localSheetId="5" hidden="1">{"'OPTION TW (N)'!$I$28:$K$28"}</definedName>
    <definedName name="HTML_Control" hidden="1">{"'OPTION TW (N)'!$I$28:$K$28"}</definedName>
    <definedName name="HTML_Description" hidden="1">""</definedName>
    <definedName name="HTML_Email" hidden="1">""</definedName>
    <definedName name="HTML_Header" hidden="1">"OPTION TW (N)"</definedName>
    <definedName name="HTML_LastUpdate" hidden="1">"28/08/98"</definedName>
    <definedName name="HTML_LineAfter" hidden="1">FALSE</definedName>
    <definedName name="HTML_LineBefore" hidden="1">FALSE</definedName>
    <definedName name="HTML_Name" hidden="1">"jessica"</definedName>
    <definedName name="HTML_OBDlg2" hidden="1">TRUE</definedName>
    <definedName name="HTML_OBDlg4" hidden="1">TRUE</definedName>
    <definedName name="HTML_OS" hidden="1">0</definedName>
    <definedName name="HTML_PathFile" hidden="1">"J:\DB\VIVIEN\MyHTML.htm"</definedName>
    <definedName name="HTML_Title" hidden="1">"CPRPN"</definedName>
    <definedName name="Internet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Internet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Internet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Internet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Internet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IntroPrintArea" hidden="1">#REF!</definedName>
    <definedName name="IP" localSheetId="1" hidden="1">{#N/A,#N/A,FALSE,"elraw";#N/A,#N/A,FALSE,"clraw ";#N/A,#N/A,FALSE,"pxraw ";#N/A,#N/A,FALSE,"arraw ";#N/A,#N/A,FALSE,"orraw ";#N/A,#N/A,FALSE,"90raw  ";#N/A,#N/A,FALSE,"dcraw   "}</definedName>
    <definedName name="IP" localSheetId="3" hidden="1">{#N/A,#N/A,FALSE,"elraw";#N/A,#N/A,FALSE,"clraw ";#N/A,#N/A,FALSE,"pxraw ";#N/A,#N/A,FALSE,"arraw ";#N/A,#N/A,FALSE,"orraw ";#N/A,#N/A,FALSE,"90raw  ";#N/A,#N/A,FALSE,"dcraw   "}</definedName>
    <definedName name="IP" localSheetId="4" hidden="1">{#N/A,#N/A,FALSE,"elraw";#N/A,#N/A,FALSE,"clraw ";#N/A,#N/A,FALSE,"pxraw ";#N/A,#N/A,FALSE,"arraw ";#N/A,#N/A,FALSE,"orraw ";#N/A,#N/A,FALSE,"90raw  ";#N/A,#N/A,FALSE,"dcraw   "}</definedName>
    <definedName name="IP" localSheetId="5" hidden="1">{#N/A,#N/A,FALSE,"elraw";#N/A,#N/A,FALSE,"clraw ";#N/A,#N/A,FALSE,"pxraw ";#N/A,#N/A,FALSE,"arraw ";#N/A,#N/A,FALSE,"orraw ";#N/A,#N/A,FALSE,"90raw  ";#N/A,#N/A,FALSE,"dcraw   "}</definedName>
    <definedName name="IP" hidden="1">{#N/A,#N/A,FALSE,"elraw";#N/A,#N/A,FALSE,"clraw ";#N/A,#N/A,FALSE,"pxraw ";#N/A,#N/A,FALSE,"arraw ";#N/A,#N/A,FALSE,"orraw ";#N/A,#N/A,FALSE,"90raw  ";#N/A,#N/A,FALSE,"dcraw   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RATE" hidden="1">"c2192"</definedName>
    <definedName name="IQ_CONVERT" hidden="1">"c2536"</definedName>
    <definedName name="IQ_CONVERT_DEBT" hidden="1">"c224"</definedName>
    <definedName name="IQ_CONVERT_PCT" hidden="1">"c2537"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NET_INT" hidden="1">"c360"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NET_INT" hidden="1">"c373"</definedName>
    <definedName name="IQ_EBITDA_NO_EST" hidden="1">"c267"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"IQ_EPS_EST_1"</definedName>
    <definedName name="IQ_EPS_NO_EST" hidden="1">"c271"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FFO_REUT" hidden="1">"c3843"</definedName>
    <definedName name="IQ_EST_ACT_FFO_SHARE_SHARE_REUT" hidden="1">"c3843"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EPS_SURPRISE" hidden="1">"c1635"</definedName>
    <definedName name="IQ_EST_FFO_DIFF_REUT" hidden="1">"c3890"</definedName>
    <definedName name="IQ_EST_FFO_SHARE_SHARE_DIFF_REUT" hidden="1">"c3890"</definedName>
    <definedName name="IQ_EST_FFO_SHARE_SHARE_SURPRISE_PERCENT_REUT" hidden="1">"c3891"</definedName>
    <definedName name="IQ_EST_FFO_SURPRISE_PERCENT_REUT" hidden="1">"c3891"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1360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O_EST" hidden="1">"c276"</definedName>
    <definedName name="IQ_FFO_NUM_EST_REUT" hidden="1">"c3841"</definedName>
    <definedName name="IQ_FFO_PAYOUT_RATIO" hidden="1">"c3492"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TDDEV_EST_REUT" hidden="1">"c3842"</definedName>
    <definedName name="IQ_FH" hidden="1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EXCONSTITUENT_CLOSEPRICE" hidden="1">"c19241"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41849.0073726852</definedName>
    <definedName name="IQ_NAV_ACT_OR_EST" hidden="1">"c2225"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REUT" hidden="1">"c3964"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NO_EST" hidden="1">"c263"</definedName>
    <definedName name="IQ_REVISION_DATE_" hidden="1">39560.4309027778</definedName>
    <definedName name="IQ_REVOLVING_SECURED_1_4_NON_ACCRUAL_FFIEC" hidden="1">"c13314"</definedName>
    <definedName name="IQ_RISK_ADJ_BANK_ASSETS" hidden="1">"c2670"</definedName>
    <definedName name="IQ_ROYALTY_REVENUE_COAL" hidden="1">"c15932"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AL" hidden="1">"c1308"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B_BOOKMARK_COUNT" hidden="1">0</definedName>
    <definedName name="IQRA4" hidden="1">"$A$5:$A$267"</definedName>
    <definedName name="IQRA8" hidden="1">"$A$9:$A$260"</definedName>
    <definedName name="IQRAA6" hidden="1">"$AA$7:$AA$531"</definedName>
    <definedName name="IQRAB6" hidden="1">"$AB$7:$AB$543"</definedName>
    <definedName name="IQRAB8" hidden="1">"$AB$9:$AB$534"</definedName>
    <definedName name="IQRAC8" hidden="1">"$AC$9:$AC$534"</definedName>
    <definedName name="IQRAD8" hidden="1">"$AD$9:$AD$534"</definedName>
    <definedName name="IQRAF17" hidden="1">"$AF$18:$AF$269"</definedName>
    <definedName name="IQRAP89" hidden="1">"$AP$90:$AP$97"</definedName>
    <definedName name="IQRAQ89" hidden="1">"$AQ$90"</definedName>
    <definedName name="IQRAR89" hidden="1">"$AR$90:$AR$97"</definedName>
    <definedName name="IQRAS89" hidden="1">"$AS$90:$AS$93"</definedName>
    <definedName name="IQRAT89" hidden="1">"$AT$90:$AT$97"</definedName>
    <definedName name="IQRAU6" hidden="1">"$AU$7:$AU$444"</definedName>
    <definedName name="IQRAV89" hidden="1">"$AV$90:$AV$97"</definedName>
    <definedName name="IQRAW199" hidden="1">"$AW$200"</definedName>
    <definedName name="IQRAX89" hidden="1">"$AX$90:$AX$97"</definedName>
    <definedName name="IQRAY6" hidden="1">"$AY$7:$AY$444"</definedName>
    <definedName name="IQRB7" hidden="1">"$B$9:$B$261"</definedName>
    <definedName name="IQRB8" hidden="1">"$B$9:$B$260"</definedName>
    <definedName name="IQRBH6" hidden="1">"$BH$7:$BH$444"</definedName>
    <definedName name="IQRBV5" hidden="1">"$BV$6:$BV$632"</definedName>
    <definedName name="IQRBW5" hidden="1">"$BW$6:$BW$632"</definedName>
    <definedName name="IQRC7" hidden="1">"$C$9:$C$261"</definedName>
    <definedName name="IQRC8" hidden="1">"$C$9:$C$260"</definedName>
    <definedName name="IQRC9" hidden="1">"$D$9:$IT$9"</definedName>
    <definedName name="IQRD35" hidden="1">"$D$36:$D$198"</definedName>
    <definedName name="IQRD38" hidden="1">"$D$39"</definedName>
    <definedName name="IQRD55" hidden="1">"$E$55:$IV$55"</definedName>
    <definedName name="IQRD7" hidden="1">"$D$9:$D$261"</definedName>
    <definedName name="IQRE8" hidden="1">"$E$9:$E$259"</definedName>
    <definedName name="IQRE9" hidden="1">"$E$10:$E$13"</definedName>
    <definedName name="IQRF8" hidden="1">"$F$9:$F$259"</definedName>
    <definedName name="IQRG76" hidden="1">"$G$77:$G$750"</definedName>
    <definedName name="IQRG78" hidden="1">"$G$79:$G$766"</definedName>
    <definedName name="IQRG8" hidden="1">"$G$9:$G$259"</definedName>
    <definedName name="IQRM76" hidden="1">"$M$77:$M$750"</definedName>
    <definedName name="IQRM78" hidden="1">"$M$79:$M$766"</definedName>
    <definedName name="IQRU76" hidden="1">"$U$77:$U$750"</definedName>
    <definedName name="IQRU78" hidden="1">"$U$79:$U$766"</definedName>
    <definedName name="IQRV5" hidden="1">"$V$6:$V$258"</definedName>
    <definedName name="IQRX6" hidden="1">"$X$7:$X$444"</definedName>
    <definedName name="IQRZ76" hidden="1">"$Z$77:$Z$750"</definedName>
    <definedName name="IQRZ78" hidden="1">"$Z$79:$Z$766"</definedName>
    <definedName name="IRI_WorkspaceId" hidden="1">"02ddd70defbb476798b1cb62b2eeef6a"</definedName>
    <definedName name="jfjfj" localSheetId="1" hidden="1">{#N/A,#N/A,TRUE,"Cover sheet";#N/A,#N/A,TRUE,"DCF analysis";#N/A,#N/A,TRUE,"WACC calculation"}</definedName>
    <definedName name="jfjfj" localSheetId="3" hidden="1">{#N/A,#N/A,TRUE,"Cover sheet";#N/A,#N/A,TRUE,"DCF analysis";#N/A,#N/A,TRUE,"WACC calculation"}</definedName>
    <definedName name="jfjfj" localSheetId="4" hidden="1">{#N/A,#N/A,TRUE,"Cover sheet";#N/A,#N/A,TRUE,"DCF analysis";#N/A,#N/A,TRUE,"WACC calculation"}</definedName>
    <definedName name="jfjfj" localSheetId="5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hk" localSheetId="1" hidden="1">{"print 1",#N/A,FALSE,"PrimeCo PCS";"print 2",#N/A,FALSE,"PrimeCo PCS";"valuation",#N/A,FALSE,"PrimeCo PCS"}</definedName>
    <definedName name="jhk" localSheetId="3" hidden="1">{"print 1",#N/A,FALSE,"PrimeCo PCS";"print 2",#N/A,FALSE,"PrimeCo PCS";"valuation",#N/A,FALSE,"PrimeCo PCS"}</definedName>
    <definedName name="jhk" localSheetId="4" hidden="1">{"print 1",#N/A,FALSE,"PrimeCo PCS";"print 2",#N/A,FALSE,"PrimeCo PCS";"valuation",#N/A,FALSE,"PrimeCo PCS"}</definedName>
    <definedName name="jhk" localSheetId="5" hidden="1">{"print 1",#N/A,FALSE,"PrimeCo PCS";"print 2",#N/A,FALSE,"PrimeCo PCS";"valuation",#N/A,FALSE,"PrimeCo PCS"}</definedName>
    <definedName name="jhk" hidden="1">{"print 1",#N/A,FALSE,"PrimeCo PCS";"print 2",#N/A,FALSE,"PrimeCo PCS";"valuation",#N/A,FALSE,"PrimeCo PCS"}</definedName>
    <definedName name="jjj" hidden="1">#REF!</definedName>
    <definedName name="John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ohn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ohn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ohn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ohn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SJ" localSheetId="1" hidden="1">{"'毛利比较'!$A$4:$P$26"}</definedName>
    <definedName name="JSJ" localSheetId="3" hidden="1">{"'毛利比较'!$A$4:$P$26"}</definedName>
    <definedName name="JSJ" localSheetId="4" hidden="1">{"'毛利比较'!$A$4:$P$26"}</definedName>
    <definedName name="JSJ" localSheetId="5" hidden="1">{"'毛利比较'!$A$4:$P$26"}</definedName>
    <definedName name="JSJ" hidden="1">{"'毛利比较'!$A$4:$P$26"}</definedName>
    <definedName name="ju" localSheetId="1" hidden="1">{#N/A,#N/A,FALSE,"CHANGES";#N/A,#N/A,FALSE,"PROD SUMMARY";#N/A,#N/A,FALSE,"1995 PO SUM";#N/A,#N/A,FALSE,"1995 GEOG SUM";#N/A,#N/A,FALSE,"1996 PO SUM";#N/A,#N/A,FALSE,"1996 GEOG SUM"}</definedName>
    <definedName name="ju" localSheetId="3" hidden="1">{#N/A,#N/A,FALSE,"CHANGES";#N/A,#N/A,FALSE,"PROD SUMMARY";#N/A,#N/A,FALSE,"1995 PO SUM";#N/A,#N/A,FALSE,"1995 GEOG SUM";#N/A,#N/A,FALSE,"1996 PO SUM";#N/A,#N/A,FALSE,"1996 GEOG SUM"}</definedName>
    <definedName name="ju" localSheetId="4" hidden="1">{#N/A,#N/A,FALSE,"CHANGES";#N/A,#N/A,FALSE,"PROD SUMMARY";#N/A,#N/A,FALSE,"1995 PO SUM";#N/A,#N/A,FALSE,"1995 GEOG SUM";#N/A,#N/A,FALSE,"1996 PO SUM";#N/A,#N/A,FALSE,"1996 GEOG SUM"}</definedName>
    <definedName name="ju" localSheetId="5" hidden="1">{#N/A,#N/A,FALSE,"CHANGES";#N/A,#N/A,FALSE,"PROD SUMMARY";#N/A,#N/A,FALSE,"1995 PO SUM";#N/A,#N/A,FALSE,"1995 GEOG SUM";#N/A,#N/A,FALSE,"1996 PO SUM";#N/A,#N/A,FALSE,"1996 GEOG SUM"}</definedName>
    <definedName name="ju" hidden="1">{#N/A,#N/A,FALSE,"CHANGES";#N/A,#N/A,FALSE,"PROD SUMMARY";#N/A,#N/A,FALSE,"1995 PO SUM";#N/A,#N/A,FALSE,"1995 GEOG SUM";#N/A,#N/A,FALSE,"1996 PO SUM";#N/A,#N/A,FALSE,"1996 GEOG SUM"}</definedName>
    <definedName name="jungle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ungle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ungle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ungle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ungle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junk" localSheetId="1" hidden="1">{#N/A,#N/A,FALSE,"CHANGES";#N/A,#N/A,FALSE,"PROD SUMMARY";#N/A,#N/A,FALSE,"1995 PO SUM";#N/A,#N/A,FALSE,"1995 GEOG SUM";#N/A,#N/A,FALSE,"1996 PO SUM";#N/A,#N/A,FALSE,"1996 GEOG SUM"}</definedName>
    <definedName name="junk" localSheetId="3" hidden="1">{#N/A,#N/A,FALSE,"CHANGES";#N/A,#N/A,FALSE,"PROD SUMMARY";#N/A,#N/A,FALSE,"1995 PO SUM";#N/A,#N/A,FALSE,"1995 GEOG SUM";#N/A,#N/A,FALSE,"1996 PO SUM";#N/A,#N/A,FALSE,"1996 GEOG SUM"}</definedName>
    <definedName name="junk" localSheetId="4" hidden="1">{#N/A,#N/A,FALSE,"CHANGES";#N/A,#N/A,FALSE,"PROD SUMMARY";#N/A,#N/A,FALSE,"1995 PO SUM";#N/A,#N/A,FALSE,"1995 GEOG SUM";#N/A,#N/A,FALSE,"1996 PO SUM";#N/A,#N/A,FALSE,"1996 GEOG SUM"}</definedName>
    <definedName name="junk" localSheetId="5" hidden="1">{#N/A,#N/A,FALSE,"CHANGES";#N/A,#N/A,FALSE,"PROD SUMMARY";#N/A,#N/A,FALSE,"1995 PO SUM";#N/A,#N/A,FALSE,"1995 GEOG SUM";#N/A,#N/A,FALSE,"1996 PO SUM";#N/A,#N/A,FALSE,"1996 GEOG SUM"}</definedName>
    <definedName name="junk" hidden="1">{#N/A,#N/A,FALSE,"CHANGES";#N/A,#N/A,FALSE,"PROD SUMMARY";#N/A,#N/A,FALSE,"1995 PO SUM";#N/A,#N/A,FALSE,"1995 GEOG SUM";#N/A,#N/A,FALSE,"1996 PO SUM";#N/A,#N/A,FALSE,"1996 GEOG SUM"}</definedName>
    <definedName name="k" hidden="1">#REF!</definedName>
    <definedName name="KEYY" hidden="1">#REF!</definedName>
    <definedName name="kgkgk" localSheetId="1" hidden="1">{#N/A,#N/A,TRUE,"Cover sheet";#N/A,#N/A,TRUE,"DCF analysis";#N/A,#N/A,TRUE,"WACC calculation"}</definedName>
    <definedName name="kgkgk" localSheetId="3" hidden="1">{#N/A,#N/A,TRUE,"Cover sheet";#N/A,#N/A,TRUE,"DCF analysis";#N/A,#N/A,TRUE,"WACC calculation"}</definedName>
    <definedName name="kgkgk" localSheetId="4" hidden="1">{#N/A,#N/A,TRUE,"Cover sheet";#N/A,#N/A,TRUE,"DCF analysis";#N/A,#N/A,TRUE,"WACC calculation"}</definedName>
    <definedName name="kgkgk" localSheetId="5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h" localSheetId="1" hidden="1">{#N/A,#N/A,FALSE,"Exp Detail";#N/A,#N/A,FALSE,"Headcount";#N/A,#N/A,FALSE,"Travel";#N/A,#N/A,FALSE,"Summary";#N/A,#N/A,FALSE,"Cap Ex"}</definedName>
    <definedName name="kh" localSheetId="3" hidden="1">{#N/A,#N/A,FALSE,"Exp Detail";#N/A,#N/A,FALSE,"Headcount";#N/A,#N/A,FALSE,"Travel";#N/A,#N/A,FALSE,"Summary";#N/A,#N/A,FALSE,"Cap Ex"}</definedName>
    <definedName name="kh" localSheetId="4" hidden="1">{#N/A,#N/A,FALSE,"Exp Detail";#N/A,#N/A,FALSE,"Headcount";#N/A,#N/A,FALSE,"Travel";#N/A,#N/A,FALSE,"Summary";#N/A,#N/A,FALSE,"Cap Ex"}</definedName>
    <definedName name="kh" localSheetId="5" hidden="1">{#N/A,#N/A,FALSE,"Exp Detail";#N/A,#N/A,FALSE,"Headcount";#N/A,#N/A,FALSE,"Travel";#N/A,#N/A,FALSE,"Summary";#N/A,#N/A,FALSE,"Cap Ex"}</definedName>
    <definedName name="kh" hidden="1">{#N/A,#N/A,FALSE,"Exp Detail";#N/A,#N/A,FALSE,"Headcount";#N/A,#N/A,FALSE,"Travel";#N/A,#N/A,FALSE,"Summary";#N/A,#N/A,FALSE,"Cap Ex"}</definedName>
    <definedName name="kjdsyf" hidden="1">#REF!</definedName>
    <definedName name="klklkpkpoiopiop" hidden="1">#REF!</definedName>
    <definedName name="kmh" localSheetId="1" hidden="1">{#N/A,#N/A,TRUE,"Cover sheet";#N/A,#N/A,TRUE,"DCF analysis";#N/A,#N/A,TRUE,"WACC calculation"}</definedName>
    <definedName name="kmh" localSheetId="3" hidden="1">{#N/A,#N/A,TRUE,"Cover sheet";#N/A,#N/A,TRUE,"DCF analysis";#N/A,#N/A,TRUE,"WACC calculation"}</definedName>
    <definedName name="kmh" localSheetId="4" hidden="1">{#N/A,#N/A,TRUE,"Cover sheet";#N/A,#N/A,TRUE,"DCF analysis";#N/A,#N/A,TRUE,"WACC calculation"}</definedName>
    <definedName name="kmh" localSheetId="5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lbo" localSheetId="1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localSheetId="4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localSheetId="5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ds" localSheetId="1" hidden="1">{#N/A,#N/A,FALSE,"CHANGES";#N/A,#N/A,FALSE,"PROD SUMMARY";#N/A,#N/A,FALSE,"1995 PO SUM";#N/A,#N/A,FALSE,"1995 GEOG SUM";#N/A,#N/A,FALSE,"1996 PO SUM";#N/A,#N/A,FALSE,"1996 GEOG SUM"}</definedName>
    <definedName name="lds" localSheetId="3" hidden="1">{#N/A,#N/A,FALSE,"CHANGES";#N/A,#N/A,FALSE,"PROD SUMMARY";#N/A,#N/A,FALSE,"1995 PO SUM";#N/A,#N/A,FALSE,"1995 GEOG SUM";#N/A,#N/A,FALSE,"1996 PO SUM";#N/A,#N/A,FALSE,"1996 GEOG SUM"}</definedName>
    <definedName name="lds" localSheetId="4" hidden="1">{#N/A,#N/A,FALSE,"CHANGES";#N/A,#N/A,FALSE,"PROD SUMMARY";#N/A,#N/A,FALSE,"1995 PO SUM";#N/A,#N/A,FALSE,"1995 GEOG SUM";#N/A,#N/A,FALSE,"1996 PO SUM";#N/A,#N/A,FALSE,"1996 GEOG SUM"}</definedName>
    <definedName name="lds" localSheetId="5" hidden="1">{#N/A,#N/A,FALSE,"CHANGES";#N/A,#N/A,FALSE,"PROD SUMMARY";#N/A,#N/A,FALSE,"1995 PO SUM";#N/A,#N/A,FALSE,"1995 GEOG SUM";#N/A,#N/A,FALSE,"1996 PO SUM";#N/A,#N/A,FALSE,"1996 GEOG SUM"}</definedName>
    <definedName name="lds" hidden="1">{#N/A,#N/A,FALSE,"CHANGES";#N/A,#N/A,FALSE,"PROD SUMMARY";#N/A,#N/A,FALSE,"1995 PO SUM";#N/A,#N/A,FALSE,"1995 GEOG SUM";#N/A,#N/A,FALSE,"1996 PO SUM";#N/A,#N/A,FALSE,"1996 GEOG SUM"}</definedName>
    <definedName name="LILLIAN" localSheetId="1" hidden="1">{"'Matrix'!$A$3:$J$47"}</definedName>
    <definedName name="LILLIAN" localSheetId="3" hidden="1">{"'Matrix'!$A$3:$J$47"}</definedName>
    <definedName name="LILLIAN" localSheetId="4" hidden="1">{"'Matrix'!$A$3:$J$47"}</definedName>
    <definedName name="LILLIAN" localSheetId="5" hidden="1">{"'Matrix'!$A$3:$J$47"}</definedName>
    <definedName name="LILLIAN" hidden="1">{"'Matrix'!$A$3:$J$47"}</definedName>
    <definedName name="lkj" localSheetId="1" hidden="1">{"'毛利比较'!$A$4:$P$26"}</definedName>
    <definedName name="lkj" localSheetId="3" hidden="1">{"'毛利比较'!$A$4:$P$26"}</definedName>
    <definedName name="lkj" localSheetId="4" hidden="1">{"'毛利比较'!$A$4:$P$26"}</definedName>
    <definedName name="lkj" localSheetId="5" hidden="1">{"'毛利比较'!$A$4:$P$26"}</definedName>
    <definedName name="lkj" hidden="1">{"'毛利比较'!$A$4:$P$26"}</definedName>
    <definedName name="lkjlklkjlkjlkj" localSheetId="1" hidden="1">{"page1",#N/A,TRUE,"CSC";"page2",#N/A,TRUE,"CSC"}</definedName>
    <definedName name="lkjlklkjlkjlkj" localSheetId="3" hidden="1">{"page1",#N/A,TRUE,"CSC";"page2",#N/A,TRUE,"CSC"}</definedName>
    <definedName name="lkjlklkjlkjlkj" localSheetId="4" hidden="1">{"page1",#N/A,TRUE,"CSC";"page2",#N/A,TRUE,"CSC"}</definedName>
    <definedName name="lkjlklkjlkjlkj" localSheetId="5" hidden="1">{"page1",#N/A,TRUE,"CSC";"page2",#N/A,TRUE,"CSC"}</definedName>
    <definedName name="lkjlklkjlkjlkj" hidden="1">{"page1",#N/A,TRUE,"CSC";"page2",#N/A,TRUE,"CSC"}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l" localSheetId="1" hidden="1">{#N/A,#N/A,FALSE,"W-Cons";#N/A,#N/A,FALSE,"MTAs";#N/A,#N/A,FALSE,"BTAs";#N/A,#N/A,FALSE,"D.C.";#N/A,#N/A,FALSE,"L.A."}</definedName>
    <definedName name="lol" localSheetId="3" hidden="1">{#N/A,#N/A,FALSE,"W-Cons";#N/A,#N/A,FALSE,"MTAs";#N/A,#N/A,FALSE,"BTAs";#N/A,#N/A,FALSE,"D.C.";#N/A,#N/A,FALSE,"L.A."}</definedName>
    <definedName name="lol" localSheetId="4" hidden="1">{#N/A,#N/A,FALSE,"W-Cons";#N/A,#N/A,FALSE,"MTAs";#N/A,#N/A,FALSE,"BTAs";#N/A,#N/A,FALSE,"D.C.";#N/A,#N/A,FALSE,"L.A."}</definedName>
    <definedName name="lol" localSheetId="5" hidden="1">{#N/A,#N/A,FALSE,"W-Cons";#N/A,#N/A,FALSE,"MTAs";#N/A,#N/A,FALSE,"BTAs";#N/A,#N/A,FALSE,"D.C.";#N/A,#N/A,FALSE,"L.A."}</definedName>
    <definedName name="lol" hidden="1">{#N/A,#N/A,FALSE,"W-Cons";#N/A,#N/A,FALSE,"MTAs";#N/A,#N/A,FALSE,"BTAs";#N/A,#N/A,FALSE,"D.C.";#N/A,#N/A,FALSE,"L.A."}</definedName>
    <definedName name="mb" localSheetId="1" hidden="1">{#N/A,#N/A,FALSE,"CHANGES";#N/A,#N/A,FALSE,"PROD SUMMARY";#N/A,#N/A,FALSE,"1995 PO SUM";#N/A,#N/A,FALSE,"1995 GEOG SUM";#N/A,#N/A,FALSE,"1996 PO SUM";#N/A,#N/A,FALSE,"1996 GEOG SUM"}</definedName>
    <definedName name="mb" localSheetId="3" hidden="1">{#N/A,#N/A,FALSE,"CHANGES";#N/A,#N/A,FALSE,"PROD SUMMARY";#N/A,#N/A,FALSE,"1995 PO SUM";#N/A,#N/A,FALSE,"1995 GEOG SUM";#N/A,#N/A,FALSE,"1996 PO SUM";#N/A,#N/A,FALSE,"1996 GEOG SUM"}</definedName>
    <definedName name="mb" localSheetId="4" hidden="1">{#N/A,#N/A,FALSE,"CHANGES";#N/A,#N/A,FALSE,"PROD SUMMARY";#N/A,#N/A,FALSE,"1995 PO SUM";#N/A,#N/A,FALSE,"1995 GEOG SUM";#N/A,#N/A,FALSE,"1996 PO SUM";#N/A,#N/A,FALSE,"1996 GEOG SUM"}</definedName>
    <definedName name="mb" localSheetId="5" hidden="1">{#N/A,#N/A,FALSE,"CHANGES";#N/A,#N/A,FALSE,"PROD SUMMARY";#N/A,#N/A,FALSE,"1995 PO SUM";#N/A,#N/A,FALSE,"1995 GEOG SUM";#N/A,#N/A,FALSE,"1996 PO SUM";#N/A,#N/A,FALSE,"1996 GEOG SUM"}</definedName>
    <definedName name="mb" hidden="1">{#N/A,#N/A,FALSE,"CHANGES";#N/A,#N/A,FALSE,"PROD SUMMARY";#N/A,#N/A,FALSE,"1995 PO SUM";#N/A,#N/A,FALSE,"1995 GEOG SUM";#N/A,#N/A,FALSE,"1996 PO SUM";#N/A,#N/A,FALSE,"1996 GEOG SUM"}</definedName>
    <definedName name="me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me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me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me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me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mitch" localSheetId="1" hidden="1">{#N/A,#N/A,FALSE,"Key Business Drivers";#N/A,#N/A,FALSE,"FY98 Headcount";#N/A,#N/A,FALSE,"FY98 Financial Overview";#N/A,#N/A,FALSE,"(OPTIONAL) Additional Requests"}</definedName>
    <definedName name="mitch" localSheetId="3" hidden="1">{#N/A,#N/A,FALSE,"Key Business Drivers";#N/A,#N/A,FALSE,"FY98 Headcount";#N/A,#N/A,FALSE,"FY98 Financial Overview";#N/A,#N/A,FALSE,"(OPTIONAL) Additional Requests"}</definedName>
    <definedName name="mitch" localSheetId="4" hidden="1">{#N/A,#N/A,FALSE,"Key Business Drivers";#N/A,#N/A,FALSE,"FY98 Headcount";#N/A,#N/A,FALSE,"FY98 Financial Overview";#N/A,#N/A,FALSE,"(OPTIONAL) Additional Requests"}</definedName>
    <definedName name="mitch" localSheetId="5" hidden="1">{#N/A,#N/A,FALSE,"Key Business Drivers";#N/A,#N/A,FALSE,"FY98 Headcount";#N/A,#N/A,FALSE,"FY98 Financial Overview";#N/A,#N/A,FALSE,"(OPTIONAL) Additional Requests"}</definedName>
    <definedName name="mitch" hidden="1">{#N/A,#N/A,FALSE,"Key Business Drivers";#N/A,#N/A,FALSE,"FY98 Headcount";#N/A,#N/A,FALSE,"FY98 Financial Overview";#N/A,#N/A,FALSE,"(OPTIONAL) Additional Requests"}</definedName>
    <definedName name="mon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localSheetId="3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localSheetId="5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R_Total" localSheetId="1" hidden="1">{"'毛利比较'!$A$4:$P$26"}</definedName>
    <definedName name="MR_Total" localSheetId="3" hidden="1">{"'毛利比较'!$A$4:$P$26"}</definedName>
    <definedName name="MR_Total" localSheetId="4" hidden="1">{"'毛利比较'!$A$4:$P$26"}</definedName>
    <definedName name="MR_Total" localSheetId="5" hidden="1">{"'毛利比较'!$A$4:$P$26"}</definedName>
    <definedName name="MR_Total" hidden="1">{"'毛利比较'!$A$4:$P$26"}</definedName>
    <definedName name="ne" localSheetId="1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ne" localSheetId="3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ne" localSheetId="4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ne" localSheetId="5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ne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NewABP1" localSheetId="1" hidden="1">{#N/A,#N/A,FALSE,"elraw";#N/A,#N/A,FALSE,"clraw ";#N/A,#N/A,FALSE,"pxraw ";#N/A,#N/A,FALSE,"arraw ";#N/A,#N/A,FALSE,"orraw ";#N/A,#N/A,FALSE,"90raw  ";#N/A,#N/A,FALSE,"dcraw   "}</definedName>
    <definedName name="NewABP1" localSheetId="3" hidden="1">{#N/A,#N/A,FALSE,"elraw";#N/A,#N/A,FALSE,"clraw ";#N/A,#N/A,FALSE,"pxraw ";#N/A,#N/A,FALSE,"arraw ";#N/A,#N/A,FALSE,"orraw ";#N/A,#N/A,FALSE,"90raw  ";#N/A,#N/A,FALSE,"dcraw   "}</definedName>
    <definedName name="NewABP1" localSheetId="4" hidden="1">{#N/A,#N/A,FALSE,"elraw";#N/A,#N/A,FALSE,"clraw ";#N/A,#N/A,FALSE,"pxraw ";#N/A,#N/A,FALSE,"arraw ";#N/A,#N/A,FALSE,"orraw ";#N/A,#N/A,FALSE,"90raw  ";#N/A,#N/A,FALSE,"dcraw   "}</definedName>
    <definedName name="NewABP1" localSheetId="5" hidden="1">{#N/A,#N/A,FALSE,"elraw";#N/A,#N/A,FALSE,"clraw ";#N/A,#N/A,FALSE,"pxraw ";#N/A,#N/A,FALSE,"arraw ";#N/A,#N/A,FALSE,"orraw ";#N/A,#N/A,FALSE,"90raw  ";#N/A,#N/A,FALSE,"dcraw   "}</definedName>
    <definedName name="NewABP1" hidden="1">{#N/A,#N/A,FALSE,"elraw";#N/A,#N/A,FALSE,"clraw ";#N/A,#N/A,FALSE,"pxraw ";#N/A,#N/A,FALSE,"arraw ";#N/A,#N/A,FALSE,"orraw ";#N/A,#N/A,FALSE,"90raw  ";#N/A,#N/A,FALSE,"dcraw   "}</definedName>
    <definedName name="newDC" localSheetId="1" hidden="1">{#N/A,#N/A,TRUE,"Cover sheet";#N/A,#N/A,TRUE,"DCF analysis";#N/A,#N/A,TRUE,"WACC calculation"}</definedName>
    <definedName name="newDC" localSheetId="3" hidden="1">{#N/A,#N/A,TRUE,"Cover sheet";#N/A,#N/A,TRUE,"DCF analysis";#N/A,#N/A,TRUE,"WACC calculation"}</definedName>
    <definedName name="newDC" localSheetId="4" hidden="1">{#N/A,#N/A,TRUE,"Cover sheet";#N/A,#N/A,TRUE,"DCF analysis";#N/A,#N/A,TRUE,"WACC calculation"}</definedName>
    <definedName name="newDC" localSheetId="5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NNNNN" localSheetId="1" hidden="1">{"'毛利比较'!$A$4:$P$26"}</definedName>
    <definedName name="NNNNNN" localSheetId="3" hidden="1">{"'毛利比较'!$A$4:$P$26"}</definedName>
    <definedName name="NNNNNN" localSheetId="4" hidden="1">{"'毛利比较'!$A$4:$P$26"}</definedName>
    <definedName name="NNNNNN" localSheetId="5" hidden="1">{"'毛利比较'!$A$4:$P$26"}</definedName>
    <definedName name="NNNNNN" hidden="1">{"'毛利比较'!$A$4:$P$26"}</definedName>
    <definedName name="nnnytb" hidden="1">#REF!</definedName>
    <definedName name="noidea" localSheetId="1" hidden="1">{#N/A,#N/A,FALSE,"Calc";#N/A,#N/A,FALSE,"Sensitivity";#N/A,#N/A,FALSE,"LT Earn.Dil.";#N/A,#N/A,FALSE,"Dil. AVP"}</definedName>
    <definedName name="noidea" localSheetId="3" hidden="1">{#N/A,#N/A,FALSE,"Calc";#N/A,#N/A,FALSE,"Sensitivity";#N/A,#N/A,FALSE,"LT Earn.Dil.";#N/A,#N/A,FALSE,"Dil. AVP"}</definedName>
    <definedName name="noidea" localSheetId="4" hidden="1">{#N/A,#N/A,FALSE,"Calc";#N/A,#N/A,FALSE,"Sensitivity";#N/A,#N/A,FALSE,"LT Earn.Dil.";#N/A,#N/A,FALSE,"Dil. AVP"}</definedName>
    <definedName name="noidea" localSheetId="5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IDEA2" localSheetId="5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t" hidden="1">#REF!</definedName>
    <definedName name="ohzqr" localSheetId="1" hidden="1">{"'Matrix'!$A$3:$J$47"}</definedName>
    <definedName name="ohzqr" localSheetId="3" hidden="1">{"'Matrix'!$A$3:$J$47"}</definedName>
    <definedName name="ohzqr" localSheetId="4" hidden="1">{"'Matrix'!$A$3:$J$47"}</definedName>
    <definedName name="ohzqr" localSheetId="5" hidden="1">{"'Matrix'!$A$3:$J$47"}</definedName>
    <definedName name="ohzqr" hidden="1">{"'Matrix'!$A$3:$J$47"}</definedName>
    <definedName name="OI" localSheetId="1" hidden="1">{#N/A,#N/A,FALSE,"COMPWITH ";#N/A,#N/A,FALSE,"PROFORMA";#N/A,#N/A,FALSE,"COMPWO";#N/A,#N/A,FALSE,"LII";#N/A,#N/A,FALSE,"global";#N/A,#N/A,FALSE,"oio";#N/A,#N/A,FALSE,"dom comb";#N/A,#N/A,FALSE,"intl comb"}</definedName>
    <definedName name="OI" localSheetId="3" hidden="1">{#N/A,#N/A,FALSE,"COMPWITH ";#N/A,#N/A,FALSE,"PROFORMA";#N/A,#N/A,FALSE,"COMPWO";#N/A,#N/A,FALSE,"LII";#N/A,#N/A,FALSE,"global";#N/A,#N/A,FALSE,"oio";#N/A,#N/A,FALSE,"dom comb";#N/A,#N/A,FALSE,"intl comb"}</definedName>
    <definedName name="OI" localSheetId="4" hidden="1">{#N/A,#N/A,FALSE,"COMPWITH ";#N/A,#N/A,FALSE,"PROFORMA";#N/A,#N/A,FALSE,"COMPWO";#N/A,#N/A,FALSE,"LII";#N/A,#N/A,FALSE,"global";#N/A,#N/A,FALSE,"oio";#N/A,#N/A,FALSE,"dom comb";#N/A,#N/A,FALSE,"intl comb"}</definedName>
    <definedName name="OI" localSheetId="5" hidden="1">{#N/A,#N/A,FALSE,"COMPWITH ";#N/A,#N/A,FALSE,"PROFORMA";#N/A,#N/A,FALSE,"COMPWO";#N/A,#N/A,FALSE,"LII";#N/A,#N/A,FALSE,"global";#N/A,#N/A,FALSE,"oio";#N/A,#N/A,FALSE,"dom comb";#N/A,#N/A,FALSE,"intl comb"}</definedName>
    <definedName name="OI" hidden="1">{#N/A,#N/A,FALSE,"COMPWITH ";#N/A,#N/A,FALSE,"PROFORMA";#N/A,#N/A,FALSE,"COMPWO";#N/A,#N/A,FALSE,"LII";#N/A,#N/A,FALSE,"global";#N/A,#N/A,FALSE,"oio";#N/A,#N/A,FALSE,"dom comb";#N/A,#N/A,FALSE,"intl comb"}</definedName>
    <definedName name="ojqdo" localSheetId="1" hidden="1">{"'Matrix'!$A$3:$J$47"}</definedName>
    <definedName name="ojqdo" localSheetId="3" hidden="1">{"'Matrix'!$A$3:$J$47"}</definedName>
    <definedName name="ojqdo" localSheetId="4" hidden="1">{"'Matrix'!$A$3:$J$47"}</definedName>
    <definedName name="ojqdo" localSheetId="5" hidden="1">{"'Matrix'!$A$3:$J$47"}</definedName>
    <definedName name="ojqdo" hidden="1">{"'Matrix'!$A$3:$J$47"}</definedName>
    <definedName name="OKOK" hidden="1">#REF!</definedName>
    <definedName name="old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localSheetId="5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mega" localSheetId="1" hidden="1">{#N/A,#N/A,FALSE,"CHANGES";#N/A,#N/A,FALSE,"PROD SUMMARY";#N/A,#N/A,FALSE,"1995 PO SUM";#N/A,#N/A,FALSE,"1995 GEOG SUM";#N/A,#N/A,FALSE,"1996 PO SUM";#N/A,#N/A,FALSE,"1996 GEOG SUM"}</definedName>
    <definedName name="omega" localSheetId="3" hidden="1">{#N/A,#N/A,FALSE,"CHANGES";#N/A,#N/A,FALSE,"PROD SUMMARY";#N/A,#N/A,FALSE,"1995 PO SUM";#N/A,#N/A,FALSE,"1995 GEOG SUM";#N/A,#N/A,FALSE,"1996 PO SUM";#N/A,#N/A,FALSE,"1996 GEOG SUM"}</definedName>
    <definedName name="omega" localSheetId="4" hidden="1">{#N/A,#N/A,FALSE,"CHANGES";#N/A,#N/A,FALSE,"PROD SUMMARY";#N/A,#N/A,FALSE,"1995 PO SUM";#N/A,#N/A,FALSE,"1995 GEOG SUM";#N/A,#N/A,FALSE,"1996 PO SUM";#N/A,#N/A,FALSE,"1996 GEOG SUM"}</definedName>
    <definedName name="omega" localSheetId="5" hidden="1">{#N/A,#N/A,FALSE,"CHANGES";#N/A,#N/A,FALSE,"PROD SUMMARY";#N/A,#N/A,FALSE,"1995 PO SUM";#N/A,#N/A,FALSE,"1995 GEOG SUM";#N/A,#N/A,FALSE,"1996 PO SUM";#N/A,#N/A,FALSE,"1996 GEOG SUM"}</definedName>
    <definedName name="omega" hidden="1">{#N/A,#N/A,FALSE,"CHANGES";#N/A,#N/A,FALSE,"PROD SUMMARY";#N/A,#N/A,FALSE,"1995 PO SUM";#N/A,#N/A,FALSE,"1995 GEOG SUM";#N/A,#N/A,FALSE,"1996 PO SUM";#N/A,#N/A,FALSE,"1996 GEOG SUM"}</definedName>
    <definedName name="OP" hidden="1">#REF!</definedName>
    <definedName name="opas" localSheetId="1" hidden="1">{0,0,0,0;0,0,0,0;0,0,0,0;0,0,0,0;0,0,0,0}</definedName>
    <definedName name="opas" localSheetId="3" hidden="1">{0,0,0,0;0,0,0,0;0,0,0,0;0,0,0,0;0,0,0,0}</definedName>
    <definedName name="opas" localSheetId="4" hidden="1">{0,0,0,0;0,0,0,0;0,0,0,0;0,0,0,0;0,0,0,0}</definedName>
    <definedName name="opas" localSheetId="5" hidden="1">{0,0,0,0;0,0,0,0;0,0,0,0;0,0,0,0;0,0,0,0}</definedName>
    <definedName name="opas" hidden="1">{0,0,0,0;0,0,0,0;0,0,0,0;0,0,0,0;0,0,0,0}</definedName>
    <definedName name="ope." localSheetId="1" hidden="1">{#N/A,#N/A,FALSE,"dom comb";#N/A,#N/A,FALSE,"el usa";#N/A,#N/A,FALSE,"cl usa";#N/A,#N/A,FALSE,"px comb";#N/A,#N/A,FALSE,"ar usa";#N/A,#N/A,FALSE,"or consol";#N/A,#N/A,FALSE,"el mgmt";#N/A,#N/A,FALSE,"corp&amp;adj"}</definedName>
    <definedName name="ope." localSheetId="3" hidden="1">{#N/A,#N/A,FALSE,"dom comb";#N/A,#N/A,FALSE,"el usa";#N/A,#N/A,FALSE,"cl usa";#N/A,#N/A,FALSE,"px comb";#N/A,#N/A,FALSE,"ar usa";#N/A,#N/A,FALSE,"or consol";#N/A,#N/A,FALSE,"el mgmt";#N/A,#N/A,FALSE,"corp&amp;adj"}</definedName>
    <definedName name="ope." localSheetId="4" hidden="1">{#N/A,#N/A,FALSE,"dom comb";#N/A,#N/A,FALSE,"el usa";#N/A,#N/A,FALSE,"cl usa";#N/A,#N/A,FALSE,"px comb";#N/A,#N/A,FALSE,"ar usa";#N/A,#N/A,FALSE,"or consol";#N/A,#N/A,FALSE,"el mgmt";#N/A,#N/A,FALSE,"corp&amp;adj"}</definedName>
    <definedName name="ope." localSheetId="5" hidden="1">{#N/A,#N/A,FALSE,"dom comb";#N/A,#N/A,FALSE,"el usa";#N/A,#N/A,FALSE,"cl usa";#N/A,#N/A,FALSE,"px comb";#N/A,#N/A,FALSE,"ar usa";#N/A,#N/A,FALSE,"or consol";#N/A,#N/A,FALSE,"el mgmt";#N/A,#N/A,FALSE,"corp&amp;adj"}</definedName>
    <definedName name="ope." hidden="1">{#N/A,#N/A,FALSE,"dom comb";#N/A,#N/A,FALSE,"el usa";#N/A,#N/A,FALSE,"cl usa";#N/A,#N/A,FALSE,"px comb";#N/A,#N/A,FALSE,"ar usa";#N/A,#N/A,FALSE,"or consol";#N/A,#N/A,FALSE,"el mgmt";#N/A,#N/A,FALSE,"corp&amp;adj"}</definedName>
    <definedName name="OptionII" localSheetId="1" hidden="1">{"'毛利比较'!$A$4:$P$26"}</definedName>
    <definedName name="OptionII" localSheetId="3" hidden="1">{"'毛利比较'!$A$4:$P$26"}</definedName>
    <definedName name="OptionII" localSheetId="4" hidden="1">{"'毛利比较'!$A$4:$P$26"}</definedName>
    <definedName name="OptionII" localSheetId="5" hidden="1">{"'毛利比较'!$A$4:$P$26"}</definedName>
    <definedName name="OptionII" hidden="1">{"'毛利比较'!$A$4:$P$26"}</definedName>
    <definedName name="poi" localSheetId="1" hidden="1">{#N/A,#N/A,FALSE,"CHANGES";#N/A,#N/A,FALSE,"PROD SUMMARY";#N/A,#N/A,FALSE,"1995 PO SUM";#N/A,#N/A,FALSE,"1995 GEOG SUM";#N/A,#N/A,FALSE,"1996 PO SUM";#N/A,#N/A,FALSE,"1996 GEOG SUM"}</definedName>
    <definedName name="poi" localSheetId="3" hidden="1">{#N/A,#N/A,FALSE,"CHANGES";#N/A,#N/A,FALSE,"PROD SUMMARY";#N/A,#N/A,FALSE,"1995 PO SUM";#N/A,#N/A,FALSE,"1995 GEOG SUM";#N/A,#N/A,FALSE,"1996 PO SUM";#N/A,#N/A,FALSE,"1996 GEOG SUM"}</definedName>
    <definedName name="poi" localSheetId="4" hidden="1">{#N/A,#N/A,FALSE,"CHANGES";#N/A,#N/A,FALSE,"PROD SUMMARY";#N/A,#N/A,FALSE,"1995 PO SUM";#N/A,#N/A,FALSE,"1995 GEOG SUM";#N/A,#N/A,FALSE,"1996 PO SUM";#N/A,#N/A,FALSE,"1996 GEOG SUM"}</definedName>
    <definedName name="poi" localSheetId="5" hidden="1">{#N/A,#N/A,FALSE,"CHANGES";#N/A,#N/A,FALSE,"PROD SUMMARY";#N/A,#N/A,FALSE,"1995 PO SUM";#N/A,#N/A,FALSE,"1995 GEOG SUM";#N/A,#N/A,FALSE,"1996 PO SUM";#N/A,#N/A,FALSE,"1996 GEOG SUM"}</definedName>
    <definedName name="poi" hidden="1">{#N/A,#N/A,FALSE,"CHANGES";#N/A,#N/A,FALSE,"PROD SUMMARY";#N/A,#N/A,FALSE,"1995 PO SUM";#N/A,#N/A,FALSE,"1995 GEOG SUM";#N/A,#N/A,FALSE,"1996 PO SUM";#N/A,#N/A,FALSE,"1996 GEOG SUM"}</definedName>
    <definedName name="ppp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ppp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ppp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ppp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ppp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_CSC_Report_2" localSheetId="1" hidden="1">{"CSC_1",#N/A,FALSE,"CSC Outputs";"CSC_2",#N/A,FALSE,"CSC Outputs"}</definedName>
    <definedName name="Print_CSC_Report_2" localSheetId="3" hidden="1">{"CSC_1",#N/A,FALSE,"CSC Outputs";"CSC_2",#N/A,FALSE,"CSC Outputs"}</definedName>
    <definedName name="Print_CSC_Report_2" localSheetId="4" hidden="1">{"CSC_1",#N/A,FALSE,"CSC Outputs";"CSC_2",#N/A,FALSE,"CSC Outputs"}</definedName>
    <definedName name="Print_CSC_Report_2" localSheetId="5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1" hidden="1">{"CSC_1",#N/A,FALSE,"CSC Outputs";"CSC_2",#N/A,FALSE,"CSC Outputs"}</definedName>
    <definedName name="Print_CSC_Report_3" localSheetId="3" hidden="1">{"CSC_1",#N/A,FALSE,"CSC Outputs";"CSC_2",#N/A,FALSE,"CSC Outputs"}</definedName>
    <definedName name="Print_CSC_Report_3" localSheetId="4" hidden="1">{"CSC_1",#N/A,FALSE,"CSC Outputs";"CSC_2",#N/A,FALSE,"CSC Outputs"}</definedName>
    <definedName name="Print_CSC_Report_3" localSheetId="5" hidden="1">{"CSC_1",#N/A,FALSE,"CSC Outputs";"CSC_2",#N/A,FALSE,"CSC Outputs"}</definedName>
    <definedName name="Print_CSC_Report_3" hidden="1">{"CSC_1",#N/A,FALSE,"CSC Outputs";"CSC_2",#N/A,FALSE,"CSC Outputs"}</definedName>
    <definedName name="prolinks_ef9789dbbd4d497da26e034d213e715b" hidden="1">#REF!</definedName>
    <definedName name="PSN" hidden="1">#REF!</definedName>
    <definedName name="QA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QA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QA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QA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QA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qf" localSheetId="1" hidden="1">{#N/A,#N/A,TRUE,"Cover sheet";#N/A,#N/A,TRUE,"INPUTS";#N/A,#N/A,TRUE,"OUTPUTS";#N/A,#N/A,TRUE,"VALUATION"}</definedName>
    <definedName name="qf" localSheetId="3" hidden="1">{#N/A,#N/A,TRUE,"Cover sheet";#N/A,#N/A,TRUE,"INPUTS";#N/A,#N/A,TRUE,"OUTPUTS";#N/A,#N/A,TRUE,"VALUATION"}</definedName>
    <definedName name="qf" localSheetId="4" hidden="1">{#N/A,#N/A,TRUE,"Cover sheet";#N/A,#N/A,TRUE,"INPUTS";#N/A,#N/A,TRUE,"OUTPUTS";#N/A,#N/A,TRUE,"VALUATION"}</definedName>
    <definedName name="qf" localSheetId="5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gg" localSheetId="1" hidden="1">{#N/A,#N/A,FALSE,"Cover";"outputs total",#N/A,FALSE,"Outputs"}</definedName>
    <definedName name="qgg" localSheetId="3" hidden="1">{#N/A,#N/A,FALSE,"Cover";"outputs total",#N/A,FALSE,"Outputs"}</definedName>
    <definedName name="qgg" localSheetId="4" hidden="1">{#N/A,#N/A,FALSE,"Cover";"outputs total",#N/A,FALSE,"Outputs"}</definedName>
    <definedName name="qgg" localSheetId="5" hidden="1">{#N/A,#N/A,FALSE,"Cover";"outputs total",#N/A,FALSE,"Outputs"}</definedName>
    <definedName name="qgg" hidden="1">{#N/A,#N/A,FALSE,"Cover";"outputs total",#N/A,FALSE,"Outputs"}</definedName>
    <definedName name="qqq" hidden="1">#REF!</definedName>
    <definedName name="qsd" localSheetId="1" hidden="1">{#N/A,#N/A,TRUE,"Cover sheet";#N/A,#N/A,TRUE,"DCF analysis";#N/A,#N/A,TRUE,"WACC calculation"}</definedName>
    <definedName name="qsd" localSheetId="3" hidden="1">{#N/A,#N/A,TRUE,"Cover sheet";#N/A,#N/A,TRUE,"DCF analysis";#N/A,#N/A,TRUE,"WACC calculation"}</definedName>
    <definedName name="qsd" localSheetId="4" hidden="1">{#N/A,#N/A,TRUE,"Cover sheet";#N/A,#N/A,TRUE,"DCF analysis";#N/A,#N/A,TRUE,"WACC calculation"}</definedName>
    <definedName name="qsd" localSheetId="5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fd" localSheetId="1" hidden="1">{#N/A,#N/A,TRUE,"Cover sheet";#N/A,#N/A,TRUE,"INPUTS";#N/A,#N/A,TRUE,"OUTPUTS";#N/A,#N/A,TRUE,"VALUATION"}</definedName>
    <definedName name="qsfd" localSheetId="3" hidden="1">{#N/A,#N/A,TRUE,"Cover sheet";#N/A,#N/A,TRUE,"INPUTS";#N/A,#N/A,TRUE,"OUTPUTS";#N/A,#N/A,TRUE,"VALUATION"}</definedName>
    <definedName name="qsfd" localSheetId="4" hidden="1">{#N/A,#N/A,TRUE,"Cover sheet";#N/A,#N/A,TRUE,"INPUTS";#N/A,#N/A,TRUE,"OUTPUTS";#N/A,#N/A,TRUE,"VALUATION"}</definedName>
    <definedName name="qsfd" localSheetId="5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we" localSheetId="1" hidden="1">{#N/A,#N/A,FALSE,"W-Cons";#N/A,#N/A,FALSE,"MTAs";#N/A,#N/A,FALSE,"BTAs";#N/A,#N/A,FALSE,"D.C.";#N/A,#N/A,FALSE,"L.A."}</definedName>
    <definedName name="qwe" localSheetId="3" hidden="1">{#N/A,#N/A,FALSE,"W-Cons";#N/A,#N/A,FALSE,"MTAs";#N/A,#N/A,FALSE,"BTAs";#N/A,#N/A,FALSE,"D.C.";#N/A,#N/A,FALSE,"L.A."}</definedName>
    <definedName name="qwe" localSheetId="4" hidden="1">{#N/A,#N/A,FALSE,"W-Cons";#N/A,#N/A,FALSE,"MTAs";#N/A,#N/A,FALSE,"BTAs";#N/A,#N/A,FALSE,"D.C.";#N/A,#N/A,FALSE,"L.A."}</definedName>
    <definedName name="qwe" localSheetId="5" hidden="1">{#N/A,#N/A,FALSE,"W-Cons";#N/A,#N/A,FALSE,"MTAs";#N/A,#N/A,FALSE,"BTAs";#N/A,#N/A,FALSE,"D.C.";#N/A,#N/A,FALSE,"L.A."}</definedName>
    <definedName name="qwe" hidden="1">{#N/A,#N/A,FALSE,"W-Cons";#N/A,#N/A,FALSE,"MTAs";#N/A,#N/A,FALSE,"BTAs";#N/A,#N/A,FALSE,"D.C.";#N/A,#N/A,FALSE,"L.A."}</definedName>
    <definedName name="qwer" localSheetId="1" hidden="1">{"Value to Sprint PCS",#N/A,FALSE,"Value to Sprint PCS";"Value to Affiliate",#N/A,FALSE,"Value of 8% Royalty";#N/A,#N/A,FALSE,"Value Summary"}</definedName>
    <definedName name="qwer" localSheetId="3" hidden="1">{"Value to Sprint PCS",#N/A,FALSE,"Value to Sprint PCS";"Value to Affiliate",#N/A,FALSE,"Value of 8% Royalty";#N/A,#N/A,FALSE,"Value Summary"}</definedName>
    <definedName name="qwer" localSheetId="4" hidden="1">{"Value to Sprint PCS",#N/A,FALSE,"Value to Sprint PCS";"Value to Affiliate",#N/A,FALSE,"Value of 8% Royalty";#N/A,#N/A,FALSE,"Value Summary"}</definedName>
    <definedName name="qwer" localSheetId="5" hidden="1">{"Value to Sprint PCS",#N/A,FALSE,"Value to Sprint PCS";"Value to Affiliate",#N/A,FALSE,"Value of 8% Royalty";#N/A,#N/A,FALSE,"Value Summary"}</definedName>
    <definedName name="qwer" hidden="1">{"Value to Sprint PCS",#N/A,FALSE,"Value to Sprint PCS";"Value to Affiliate",#N/A,FALSE,"Value of 8% Royalty";#N/A,#N/A,FALSE,"Value Summary"}</definedName>
    <definedName name="ra" localSheetId="1" hidden="1">{#N/A,#N/A,FALSE,"Key Business Drivers";#N/A,#N/A,FALSE,"FY98 Headcount";#N/A,#N/A,FALSE,"FY98 Financial Overview";#N/A,#N/A,FALSE,"(OPTIONAL) Additional Requests"}</definedName>
    <definedName name="ra" localSheetId="3" hidden="1">{#N/A,#N/A,FALSE,"Key Business Drivers";#N/A,#N/A,FALSE,"FY98 Headcount";#N/A,#N/A,FALSE,"FY98 Financial Overview";#N/A,#N/A,FALSE,"(OPTIONAL) Additional Requests"}</definedName>
    <definedName name="ra" localSheetId="4" hidden="1">{#N/A,#N/A,FALSE,"Key Business Drivers";#N/A,#N/A,FALSE,"FY98 Headcount";#N/A,#N/A,FALSE,"FY98 Financial Overview";#N/A,#N/A,FALSE,"(OPTIONAL) Additional Requests"}</definedName>
    <definedName name="ra" localSheetId="5" hidden="1">{#N/A,#N/A,FALSE,"Key Business Drivers";#N/A,#N/A,FALSE,"FY98 Headcount";#N/A,#N/A,FALSE,"FY98 Financial Overview";#N/A,#N/A,FALSE,"(OPTIONAL) Additional Requests"}</definedName>
    <definedName name="ra" hidden="1">{#N/A,#N/A,FALSE,"Key Business Drivers";#N/A,#N/A,FALSE,"FY98 Headcount";#N/A,#N/A,FALSE,"FY98 Financial Overview";#N/A,#N/A,FALSE,"(OPTIONAL) Additional Requests"}</definedName>
    <definedName name="rename_of_wrn.CSC" localSheetId="1" hidden="1">{"page1",#N/A,TRUE,"CSC";"page2",#N/A,TRUE,"CSC"}</definedName>
    <definedName name="rename_of_wrn.CSC" localSheetId="3" hidden="1">{"page1",#N/A,TRUE,"CSC";"page2",#N/A,TRUE,"CSC"}</definedName>
    <definedName name="rename_of_wrn.CSC" localSheetId="4" hidden="1">{"page1",#N/A,TRUE,"CSC";"page2",#N/A,TRUE,"CSC"}</definedName>
    <definedName name="rename_of_wrn.CSC" localSheetId="5" hidden="1">{"page1",#N/A,TRUE,"CSC";"page2",#N/A,TRUE,"CSC"}</definedName>
    <definedName name="rename_of_wrn.CSC" hidden="1">{"page1",#N/A,TRUE,"CSC";"page2",#N/A,TRUE,"CSC"}</definedName>
    <definedName name="rer" localSheetId="1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rer" localSheetId="3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rer" localSheetId="4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rer" localSheetId="5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rer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rrrrrr" localSheetId="1" hidden="1">{"cash plan",#N/A,FALSE,"fccashflow"}</definedName>
    <definedName name="rrrrrr" localSheetId="3" hidden="1">{"cash plan",#N/A,FALSE,"fccashflow"}</definedName>
    <definedName name="rrrrrr" localSheetId="4" hidden="1">{"cash plan",#N/A,FALSE,"fccashflow"}</definedName>
    <definedName name="rrrrrr" localSheetId="5" hidden="1">{"cash plan",#N/A,FALSE,"fccashflow"}</definedName>
    <definedName name="rrrrrr" hidden="1">{"cash plan",#N/A,FALSE,"fccashflow"}</definedName>
    <definedName name="Rwvu.otherinc." hidden="1">#REF!</definedName>
    <definedName name="rz" localSheetId="1" hidden="1">{#N/A,#N/A,FALSE,"Exp Detail";#N/A,#N/A,FALSE,"Headcount";#N/A,#N/A,FALSE,"Travel";#N/A,#N/A,FALSE,"Summary";#N/A,#N/A,FALSE,"Cap Ex"}</definedName>
    <definedName name="rz" localSheetId="3" hidden="1">{#N/A,#N/A,FALSE,"Exp Detail";#N/A,#N/A,FALSE,"Headcount";#N/A,#N/A,FALSE,"Travel";#N/A,#N/A,FALSE,"Summary";#N/A,#N/A,FALSE,"Cap Ex"}</definedName>
    <definedName name="rz" localSheetId="4" hidden="1">{#N/A,#N/A,FALSE,"Exp Detail";#N/A,#N/A,FALSE,"Headcount";#N/A,#N/A,FALSE,"Travel";#N/A,#N/A,FALSE,"Summary";#N/A,#N/A,FALSE,"Cap Ex"}</definedName>
    <definedName name="rz" localSheetId="5" hidden="1">{#N/A,#N/A,FALSE,"Exp Detail";#N/A,#N/A,FALSE,"Headcount";#N/A,#N/A,FALSE,"Travel";#N/A,#N/A,FALSE,"Summary";#N/A,#N/A,FALSE,"Cap Ex"}</definedName>
    <definedName name="rz" hidden="1">{#N/A,#N/A,FALSE,"Exp Detail";#N/A,#N/A,FALSE,"Headcount";#N/A,#N/A,FALSE,"Travel";#N/A,#N/A,FALSE,"Summary";#N/A,#N/A,FALSE,"Cap Ex"}</definedName>
    <definedName name="rzs" localSheetId="1" hidden="1">{#N/A,#N/A,FALSE,"Exp Detail";#N/A,#N/A,FALSE,"Headcount";#N/A,#N/A,FALSE,"Travel";#N/A,#N/A,FALSE,"Summary";#N/A,#N/A,FALSE,"Cap Ex"}</definedName>
    <definedName name="rzs" localSheetId="3" hidden="1">{#N/A,#N/A,FALSE,"Exp Detail";#N/A,#N/A,FALSE,"Headcount";#N/A,#N/A,FALSE,"Travel";#N/A,#N/A,FALSE,"Summary";#N/A,#N/A,FALSE,"Cap Ex"}</definedName>
    <definedName name="rzs" localSheetId="4" hidden="1">{#N/A,#N/A,FALSE,"Exp Detail";#N/A,#N/A,FALSE,"Headcount";#N/A,#N/A,FALSE,"Travel";#N/A,#N/A,FALSE,"Summary";#N/A,#N/A,FALSE,"Cap Ex"}</definedName>
    <definedName name="rzs" localSheetId="5" hidden="1">{#N/A,#N/A,FALSE,"Exp Detail";#N/A,#N/A,FALSE,"Headcount";#N/A,#N/A,FALSE,"Travel";#N/A,#N/A,FALSE,"Summary";#N/A,#N/A,FALSE,"Cap Ex"}</definedName>
    <definedName name="rzs" hidden="1">{#N/A,#N/A,FALSE,"Exp Detail";#N/A,#N/A,FALSE,"Headcount";#N/A,#N/A,FALSE,"Travel";#N/A,#N/A,FALSE,"Summary";#N/A,#N/A,FALSE,"Cap Ex"}</definedName>
    <definedName name="sa" localSheetId="1" hidden="1">{#N/A,#N/A,FALSE,"intl comb";#N/A,#N/A,FALSE,"el intl";#N/A,#N/A,FALSE,"cl intl ";#N/A,#N/A,FALSE,"px intl ";#N/A,#N/A,FALSE,"ar intl ";#N/A,#N/A,FALSE,"or intl  ";#N/A,#N/A,FALSE,"adj intl  "}</definedName>
    <definedName name="sa" localSheetId="3" hidden="1">{#N/A,#N/A,FALSE,"intl comb";#N/A,#N/A,FALSE,"el intl";#N/A,#N/A,FALSE,"cl intl ";#N/A,#N/A,FALSE,"px intl ";#N/A,#N/A,FALSE,"ar intl ";#N/A,#N/A,FALSE,"or intl  ";#N/A,#N/A,FALSE,"adj intl  "}</definedName>
    <definedName name="sa" localSheetId="4" hidden="1">{#N/A,#N/A,FALSE,"intl comb";#N/A,#N/A,FALSE,"el intl";#N/A,#N/A,FALSE,"cl intl ";#N/A,#N/A,FALSE,"px intl ";#N/A,#N/A,FALSE,"ar intl ";#N/A,#N/A,FALSE,"or intl  ";#N/A,#N/A,FALSE,"adj intl  "}</definedName>
    <definedName name="sa" localSheetId="5" hidden="1">{#N/A,#N/A,FALSE,"intl comb";#N/A,#N/A,FALSE,"el intl";#N/A,#N/A,FALSE,"cl intl ";#N/A,#N/A,FALSE,"px intl ";#N/A,#N/A,FALSE,"ar intl ";#N/A,#N/A,FALSE,"or intl  ";#N/A,#N/A,FALSE,"adj intl  "}</definedName>
    <definedName name="sa" hidden="1">{#N/A,#N/A,FALSE,"intl comb";#N/A,#N/A,FALSE,"el intl";#N/A,#N/A,FALSE,"cl intl ";#N/A,#N/A,FALSE,"px intl ";#N/A,#N/A,FALSE,"ar intl ";#N/A,#N/A,FALSE,"or intl  ";#N/A,#N/A,FALSE,"adj intl  "}</definedName>
    <definedName name="sal" localSheetId="1" hidden="1">{#N/A,#N/A,FALSE,"dom comb";#N/A,#N/A,FALSE,"el usa";#N/A,#N/A,FALSE,"cl usa";#N/A,#N/A,FALSE,"px comb";#N/A,#N/A,FALSE,"ar usa";#N/A,#N/A,FALSE,"or consol";#N/A,#N/A,FALSE,"el mgmt";#N/A,#N/A,FALSE,"corp&amp;adj"}</definedName>
    <definedName name="sal" localSheetId="3" hidden="1">{#N/A,#N/A,FALSE,"dom comb";#N/A,#N/A,FALSE,"el usa";#N/A,#N/A,FALSE,"cl usa";#N/A,#N/A,FALSE,"px comb";#N/A,#N/A,FALSE,"ar usa";#N/A,#N/A,FALSE,"or consol";#N/A,#N/A,FALSE,"el mgmt";#N/A,#N/A,FALSE,"corp&amp;adj"}</definedName>
    <definedName name="sal" localSheetId="4" hidden="1">{#N/A,#N/A,FALSE,"dom comb";#N/A,#N/A,FALSE,"el usa";#N/A,#N/A,FALSE,"cl usa";#N/A,#N/A,FALSE,"px comb";#N/A,#N/A,FALSE,"ar usa";#N/A,#N/A,FALSE,"or consol";#N/A,#N/A,FALSE,"el mgmt";#N/A,#N/A,FALSE,"corp&amp;adj"}</definedName>
    <definedName name="sal" localSheetId="5" hidden="1">{#N/A,#N/A,FALSE,"dom comb";#N/A,#N/A,FALSE,"el usa";#N/A,#N/A,FALSE,"cl usa";#N/A,#N/A,FALSE,"px comb";#N/A,#N/A,FALSE,"ar usa";#N/A,#N/A,FALSE,"or consol";#N/A,#N/A,FALSE,"el mgmt";#N/A,#N/A,FALSE,"corp&amp;adj"}</definedName>
    <definedName name="sal" hidden="1">{#N/A,#N/A,FALSE,"dom comb";#N/A,#N/A,FALSE,"el usa";#N/A,#N/A,FALSE,"cl usa";#N/A,#N/A,FALSE,"px comb";#N/A,#N/A,FALSE,"ar usa";#N/A,#N/A,FALSE,"or consol";#N/A,#N/A,FALSE,"el mgmt";#N/A,#N/A,FALSE,"corp&amp;adj"}</definedName>
    <definedName name="sales" localSheetId="1" hidden="1">{#N/A,#N/A,FALSE,"intl comb";#N/A,#N/A,FALSE,"el intl";#N/A,#N/A,FALSE,"cl intl ";#N/A,#N/A,FALSE,"px intl ";#N/A,#N/A,FALSE,"ar intl ";#N/A,#N/A,FALSE,"or intl  ";#N/A,#N/A,FALSE,"adj intl  "}</definedName>
    <definedName name="sales" localSheetId="3" hidden="1">{#N/A,#N/A,FALSE,"intl comb";#N/A,#N/A,FALSE,"el intl";#N/A,#N/A,FALSE,"cl intl ";#N/A,#N/A,FALSE,"px intl ";#N/A,#N/A,FALSE,"ar intl ";#N/A,#N/A,FALSE,"or intl  ";#N/A,#N/A,FALSE,"adj intl  "}</definedName>
    <definedName name="sales" localSheetId="4" hidden="1">{#N/A,#N/A,FALSE,"intl comb";#N/A,#N/A,FALSE,"el intl";#N/A,#N/A,FALSE,"cl intl ";#N/A,#N/A,FALSE,"px intl ";#N/A,#N/A,FALSE,"ar intl ";#N/A,#N/A,FALSE,"or intl  ";#N/A,#N/A,FALSE,"adj intl  "}</definedName>
    <definedName name="sales" localSheetId="5" hidden="1">{#N/A,#N/A,FALSE,"intl comb";#N/A,#N/A,FALSE,"el intl";#N/A,#N/A,FALSE,"cl intl ";#N/A,#N/A,FALSE,"px intl ";#N/A,#N/A,FALSE,"ar intl ";#N/A,#N/A,FALSE,"or intl  ";#N/A,#N/A,FALSE,"adj intl  "}</definedName>
    <definedName name="sales" hidden="1">{#N/A,#N/A,FALSE,"intl comb";#N/A,#N/A,FALSE,"el intl";#N/A,#N/A,FALSE,"cl intl ";#N/A,#N/A,FALSE,"px intl ";#N/A,#N/A,FALSE,"ar intl ";#N/A,#N/A,FALSE,"or intl  ";#N/A,#N/A,FALSE,"adj intl  "}</definedName>
    <definedName name="salesnonop" localSheetId="1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salesnonop" localSheetId="3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salesnonop" localSheetId="4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salesnonop" localSheetId="5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salesnonop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SAPBEXhrIndnt" hidden="1">"Wide"</definedName>
    <definedName name="SAPBEXrevision" hidden="1">45</definedName>
    <definedName name="SAPBEXrevision_1" hidden="1">30</definedName>
    <definedName name="SAPBEXsysID" hidden="1">"PBB"</definedName>
    <definedName name="SAPBEXwbID" hidden="1">"0CESB7K24W1PV9I0KNB8YNXXN"</definedName>
    <definedName name="SAPsysID" hidden="1">"708C5W7SBKP804JT78WJ0JNKI"</definedName>
    <definedName name="SAPwbID" hidden="1">"ARS"</definedName>
    <definedName name="sdf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sdf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sdf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sdf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sdf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sdfgsdfgsdfgfsdgsdfg" hidden="1">#REF!</definedName>
    <definedName name="sdvgrwevsdvsd" hidden="1">#REF!</definedName>
    <definedName name="sencount" hidden="1">1</definedName>
    <definedName name="sfa" localSheetId="1" hidden="1">{#N/A,#N/A,FALSE,"elraw";#N/A,#N/A,FALSE,"clraw ";#N/A,#N/A,FALSE,"pxraw ";#N/A,#N/A,FALSE,"arraw ";#N/A,#N/A,FALSE,"orraw ";#N/A,#N/A,FALSE,"90raw  ";#N/A,#N/A,FALSE,"dcraw   "}</definedName>
    <definedName name="sfa" localSheetId="3" hidden="1">{#N/A,#N/A,FALSE,"elraw";#N/A,#N/A,FALSE,"clraw ";#N/A,#N/A,FALSE,"pxraw ";#N/A,#N/A,FALSE,"arraw ";#N/A,#N/A,FALSE,"orraw ";#N/A,#N/A,FALSE,"90raw  ";#N/A,#N/A,FALSE,"dcraw   "}</definedName>
    <definedName name="sfa" localSheetId="4" hidden="1">{#N/A,#N/A,FALSE,"elraw";#N/A,#N/A,FALSE,"clraw ";#N/A,#N/A,FALSE,"pxraw ";#N/A,#N/A,FALSE,"arraw ";#N/A,#N/A,FALSE,"orraw ";#N/A,#N/A,FALSE,"90raw  ";#N/A,#N/A,FALSE,"dcraw   "}</definedName>
    <definedName name="sfa" localSheetId="5" hidden="1">{#N/A,#N/A,FALSE,"elraw";#N/A,#N/A,FALSE,"clraw ";#N/A,#N/A,FALSE,"pxraw ";#N/A,#N/A,FALSE,"arraw ";#N/A,#N/A,FALSE,"orraw ";#N/A,#N/A,FALSE,"90raw  ";#N/A,#N/A,FALSE,"dcraw   "}</definedName>
    <definedName name="sfa" hidden="1">{#N/A,#N/A,FALSE,"elraw";#N/A,#N/A,FALSE,"clraw ";#N/A,#N/A,FALSE,"pxraw ";#N/A,#N/A,FALSE,"arraw ";#N/A,#N/A,FALSE,"orraw ";#N/A,#N/A,FALSE,"90raw  ";#N/A,#N/A,FALSE,"dcraw   "}</definedName>
    <definedName name="sgdzhet" localSheetId="1" hidden="1">{"subs",#N/A,FALSE,"database ";"proportional",#N/A,FALSE,"database "}</definedName>
    <definedName name="sgdzhet" localSheetId="3" hidden="1">{"subs",#N/A,FALSE,"database ";"proportional",#N/A,FALSE,"database "}</definedName>
    <definedName name="sgdzhet" localSheetId="4" hidden="1">{"subs",#N/A,FALSE,"database ";"proportional",#N/A,FALSE,"database "}</definedName>
    <definedName name="sgdzhet" localSheetId="5" hidden="1">{"subs",#N/A,FALSE,"database ";"proportional",#N/A,FALSE,"database "}</definedName>
    <definedName name="sgdzhet" hidden="1">{"subs",#N/A,FALSE,"database ";"proportional",#N/A,FALSE,"database "}</definedName>
    <definedName name="sgs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sgs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sgs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sgs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sg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sheet1" hidden="1">#REF!</definedName>
    <definedName name="shelf" localSheetId="1" hidden="1">{#N/A,#N/A,FALSE,"CHANGES";#N/A,#N/A,FALSE,"PROD SUMMARY";#N/A,#N/A,FALSE,"1995 PO SUM";#N/A,#N/A,FALSE,"1995 GEOG SUM";#N/A,#N/A,FALSE,"1996 PO SUM";#N/A,#N/A,FALSE,"1996 GEOG SUM"}</definedName>
    <definedName name="shelf" localSheetId="3" hidden="1">{#N/A,#N/A,FALSE,"CHANGES";#N/A,#N/A,FALSE,"PROD SUMMARY";#N/A,#N/A,FALSE,"1995 PO SUM";#N/A,#N/A,FALSE,"1995 GEOG SUM";#N/A,#N/A,FALSE,"1996 PO SUM";#N/A,#N/A,FALSE,"1996 GEOG SUM"}</definedName>
    <definedName name="shelf" localSheetId="4" hidden="1">{#N/A,#N/A,FALSE,"CHANGES";#N/A,#N/A,FALSE,"PROD SUMMARY";#N/A,#N/A,FALSE,"1995 PO SUM";#N/A,#N/A,FALSE,"1995 GEOG SUM";#N/A,#N/A,FALSE,"1996 PO SUM";#N/A,#N/A,FALSE,"1996 GEOG SUM"}</definedName>
    <definedName name="shelf" localSheetId="5" hidden="1">{#N/A,#N/A,FALSE,"CHANGES";#N/A,#N/A,FALSE,"PROD SUMMARY";#N/A,#N/A,FALSE,"1995 PO SUM";#N/A,#N/A,FALSE,"1995 GEOG SUM";#N/A,#N/A,FALSE,"1996 PO SUM";#N/A,#N/A,FALSE,"1996 GEOG SUM"}</definedName>
    <definedName name="shelf" hidden="1">{#N/A,#N/A,FALSE,"CHANGES";#N/A,#N/A,FALSE,"PROD SUMMARY";#N/A,#N/A,FALSE,"1995 PO SUM";#N/A,#N/A,FALSE,"1995 GEOG SUM";#N/A,#N/A,FALSE,"1996 PO SUM";#N/A,#N/A,FALSE,"1996 GEOG SUM"}</definedName>
    <definedName name="snvciqansdclwioefd" localSheetId="1" hidden="1">{"'Matrix'!$A$3:$J$47"}</definedName>
    <definedName name="snvciqansdclwioefd" localSheetId="3" hidden="1">{"'Matrix'!$A$3:$J$47"}</definedName>
    <definedName name="snvciqansdclwioefd" localSheetId="4" hidden="1">{"'Matrix'!$A$3:$J$47"}</definedName>
    <definedName name="snvciqansdclwioefd" localSheetId="5" hidden="1">{"'Matrix'!$A$3:$J$47"}</definedName>
    <definedName name="snvciqansdclwioefd" hidden="1">{"'Matrix'!$A$3:$J$47"}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s、" localSheetId="1" hidden="1">{"'毛利比较'!$A$4:$P$26"}</definedName>
    <definedName name="ss、" localSheetId="3" hidden="1">{"'毛利比较'!$A$4:$P$26"}</definedName>
    <definedName name="ss、" localSheetId="4" hidden="1">{"'毛利比较'!$A$4:$P$26"}</definedName>
    <definedName name="ss、" localSheetId="5" hidden="1">{"'毛利比较'!$A$4:$P$26"}</definedName>
    <definedName name="ss、" hidden="1">{"'毛利比较'!$A$4:$P$26"}</definedName>
    <definedName name="ssss" localSheetId="1" hidden="1">{"'毛利比较'!$A$4:$P$26"}</definedName>
    <definedName name="ssss" localSheetId="3" hidden="1">{"'毛利比较'!$A$4:$P$26"}</definedName>
    <definedName name="ssss" localSheetId="4" hidden="1">{"'毛利比较'!$A$4:$P$26"}</definedName>
    <definedName name="ssss" localSheetId="5" hidden="1">{"'毛利比较'!$A$4:$P$26"}</definedName>
    <definedName name="ssss" hidden="1">{"'毛利比较'!$A$4:$P$26"}</definedName>
    <definedName name="ssssd" localSheetId="1" hidden="1">{#N/A,#N/A,FALSE,"Exp Detail";#N/A,#N/A,FALSE,"Headcount";#N/A,#N/A,FALSE,"Travel";#N/A,#N/A,FALSE,"Summary";#N/A,#N/A,FALSE,"Cap Ex"}</definedName>
    <definedName name="ssssd" localSheetId="3" hidden="1">{#N/A,#N/A,FALSE,"Exp Detail";#N/A,#N/A,FALSE,"Headcount";#N/A,#N/A,FALSE,"Travel";#N/A,#N/A,FALSE,"Summary";#N/A,#N/A,FALSE,"Cap Ex"}</definedName>
    <definedName name="ssssd" localSheetId="4" hidden="1">{#N/A,#N/A,FALSE,"Exp Detail";#N/A,#N/A,FALSE,"Headcount";#N/A,#N/A,FALSE,"Travel";#N/A,#N/A,FALSE,"Summary";#N/A,#N/A,FALSE,"Cap Ex"}</definedName>
    <definedName name="ssssd" localSheetId="5" hidden="1">{#N/A,#N/A,FALSE,"Exp Detail";#N/A,#N/A,FALSE,"Headcount";#N/A,#N/A,FALSE,"Travel";#N/A,#N/A,FALSE,"Summary";#N/A,#N/A,FALSE,"Cap Ex"}</definedName>
    <definedName name="ssssd" hidden="1">{#N/A,#N/A,FALSE,"Exp Detail";#N/A,#N/A,FALSE,"Headcount";#N/A,#N/A,FALSE,"Travel";#N/A,#N/A,FALSE,"Summary";#N/A,#N/A,FALSE,"Cap Ex"}</definedName>
    <definedName name="test1" localSheetId="1" hidden="1">{#N/A,#N/A,FALSE,"Umsatz";#N/A,#N/A,FALSE,"Base V.02";#N/A,#N/A,FALSE,"Charts"}</definedName>
    <definedName name="test1" localSheetId="3" hidden="1">{#N/A,#N/A,FALSE,"Umsatz";#N/A,#N/A,FALSE,"Base V.02";#N/A,#N/A,FALSE,"Charts"}</definedName>
    <definedName name="test1" localSheetId="4" hidden="1">{#N/A,#N/A,FALSE,"Umsatz";#N/A,#N/A,FALSE,"Base V.02";#N/A,#N/A,FALSE,"Charts"}</definedName>
    <definedName name="test1" localSheetId="5" hidden="1">{#N/A,#N/A,FALSE,"Umsatz";#N/A,#N/A,FALSE,"Base V.02";#N/A,#N/A,FALSE,"Charts"}</definedName>
    <definedName name="test1" hidden="1">{#N/A,#N/A,FALSE,"Umsatz";#N/A,#N/A,FALSE,"Base V.02";#N/A,#N/A,FALSE,"Charts"}</definedName>
    <definedName name="test2" localSheetId="1" hidden="1">{#N/A,#N/A,FALSE,"F_Plan";#N/A,#N/A,FALSE,"Parameter"}</definedName>
    <definedName name="test2" localSheetId="3" hidden="1">{#N/A,#N/A,FALSE,"F_Plan";#N/A,#N/A,FALSE,"Parameter"}</definedName>
    <definedName name="test2" localSheetId="4" hidden="1">{#N/A,#N/A,FALSE,"F_Plan";#N/A,#N/A,FALSE,"Parameter"}</definedName>
    <definedName name="test2" localSheetId="5" hidden="1">{#N/A,#N/A,FALSE,"F_Plan";#N/A,#N/A,FALSE,"Parameter"}</definedName>
    <definedName name="test2" hidden="1">{#N/A,#N/A,FALSE,"F_Plan";#N/A,#N/A,FALSE,"Parameter"}</definedName>
    <definedName name="tests" localSheetId="1" hidden="1">{#N/A,#N/A,FALSE,"F_Plan";#N/A,#N/A,FALSE,"Parameter"}</definedName>
    <definedName name="tests" localSheetId="3" hidden="1">{#N/A,#N/A,FALSE,"F_Plan";#N/A,#N/A,FALSE,"Parameter"}</definedName>
    <definedName name="tests" localSheetId="4" hidden="1">{#N/A,#N/A,FALSE,"F_Plan";#N/A,#N/A,FALSE,"Parameter"}</definedName>
    <definedName name="tests" localSheetId="5" hidden="1">{#N/A,#N/A,FALSE,"F_Plan";#N/A,#N/A,FALSE,"Parameter"}</definedName>
    <definedName name="tests" hidden="1">{#N/A,#N/A,FALSE,"F_Plan";#N/A,#N/A,FALSE,"Parameter"}</definedName>
    <definedName name="TextRefCopyRangeCount" hidden="1">3</definedName>
    <definedName name="TF" localSheetId="1" hidden="1">{#N/A,#N/A,FALSE,"elraw";#N/A,#N/A,FALSE,"clraw ";#N/A,#N/A,FALSE,"pxraw ";#N/A,#N/A,FALSE,"arraw ";#N/A,#N/A,FALSE,"orraw ";#N/A,#N/A,FALSE,"90raw  ";#N/A,#N/A,FALSE,"dcraw   "}</definedName>
    <definedName name="TF" localSheetId="3" hidden="1">{#N/A,#N/A,FALSE,"elraw";#N/A,#N/A,FALSE,"clraw ";#N/A,#N/A,FALSE,"pxraw ";#N/A,#N/A,FALSE,"arraw ";#N/A,#N/A,FALSE,"orraw ";#N/A,#N/A,FALSE,"90raw  ";#N/A,#N/A,FALSE,"dcraw   "}</definedName>
    <definedName name="TF" localSheetId="4" hidden="1">{#N/A,#N/A,FALSE,"elraw";#N/A,#N/A,FALSE,"clraw ";#N/A,#N/A,FALSE,"pxraw ";#N/A,#N/A,FALSE,"arraw ";#N/A,#N/A,FALSE,"orraw ";#N/A,#N/A,FALSE,"90raw  ";#N/A,#N/A,FALSE,"dcraw   "}</definedName>
    <definedName name="TF" localSheetId="5" hidden="1">{#N/A,#N/A,FALSE,"elraw";#N/A,#N/A,FALSE,"clraw ";#N/A,#N/A,FALSE,"pxraw ";#N/A,#N/A,FALSE,"arraw ";#N/A,#N/A,FALSE,"orraw ";#N/A,#N/A,FALSE,"90raw  ";#N/A,#N/A,FALSE,"dcraw   "}</definedName>
    <definedName name="TF" hidden="1">{#N/A,#N/A,FALSE,"elraw";#N/A,#N/A,FALSE,"clraw ";#N/A,#N/A,FALSE,"pxraw ";#N/A,#N/A,FALSE,"arraw ";#N/A,#N/A,FALSE,"orraw ";#N/A,#N/A,FALSE,"90raw  ";#N/A,#N/A,FALSE,"dcraw   "}</definedName>
    <definedName name="tie" localSheetId="1" hidden="1">{"Value to Sprint PCS",#N/A,FALSE,"Value to Sprint PCS";"Value to Affiliate",#N/A,FALSE,"Value of 8% Royalty";#N/A,#N/A,FALSE,"Value Summary"}</definedName>
    <definedName name="tie" localSheetId="3" hidden="1">{"Value to Sprint PCS",#N/A,FALSE,"Value to Sprint PCS";"Value to Affiliate",#N/A,FALSE,"Value of 8% Royalty";#N/A,#N/A,FALSE,"Value Summary"}</definedName>
    <definedName name="tie" localSheetId="4" hidden="1">{"Value to Sprint PCS",#N/A,FALSE,"Value to Sprint PCS";"Value to Affiliate",#N/A,FALSE,"Value of 8% Royalty";#N/A,#N/A,FALSE,"Value Summary"}</definedName>
    <definedName name="tie" localSheetId="5" hidden="1">{"Value to Sprint PCS",#N/A,FALSE,"Value to Sprint PCS";"Value to Affiliate",#N/A,FALSE,"Value of 8% Royalty";#N/A,#N/A,FALSE,"Value Summary"}</definedName>
    <definedName name="tie" hidden="1">{"Value to Sprint PCS",#N/A,FALSE,"Value to Sprint PCS";"Value to Affiliate",#N/A,FALSE,"Value of 8% Royalty";#N/A,#N/A,FALSE,"Value Summary"}</definedName>
    <definedName name="TMD" localSheetId="1" hidden="1">{#N/A,#N/A,FALSE,"elraw";#N/A,#N/A,FALSE,"clraw ";#N/A,#N/A,FALSE,"pxraw ";#N/A,#N/A,FALSE,"arraw ";#N/A,#N/A,FALSE,"orraw ";#N/A,#N/A,FALSE,"90raw  ";#N/A,#N/A,FALSE,"dcraw   "}</definedName>
    <definedName name="TMD" localSheetId="3" hidden="1">{#N/A,#N/A,FALSE,"elraw";#N/A,#N/A,FALSE,"clraw ";#N/A,#N/A,FALSE,"pxraw ";#N/A,#N/A,FALSE,"arraw ";#N/A,#N/A,FALSE,"orraw ";#N/A,#N/A,FALSE,"90raw  ";#N/A,#N/A,FALSE,"dcraw   "}</definedName>
    <definedName name="TMD" localSheetId="4" hidden="1">{#N/A,#N/A,FALSE,"elraw";#N/A,#N/A,FALSE,"clraw ";#N/A,#N/A,FALSE,"pxraw ";#N/A,#N/A,FALSE,"arraw ";#N/A,#N/A,FALSE,"orraw ";#N/A,#N/A,FALSE,"90raw  ";#N/A,#N/A,FALSE,"dcraw   "}</definedName>
    <definedName name="TMD" localSheetId="5" hidden="1">{#N/A,#N/A,FALSE,"elraw";#N/A,#N/A,FALSE,"clraw ";#N/A,#N/A,FALSE,"pxraw ";#N/A,#N/A,FALSE,"arraw ";#N/A,#N/A,FALSE,"orraw ";#N/A,#N/A,FALSE,"90raw  ";#N/A,#N/A,FALSE,"dcraw   "}</definedName>
    <definedName name="TMD" hidden="1">{#N/A,#N/A,FALSE,"elraw";#N/A,#N/A,FALSE,"clraw ";#N/A,#N/A,FALSE,"pxraw ";#N/A,#N/A,FALSE,"arraw ";#N/A,#N/A,FALSE,"orraw ";#N/A,#N/A,FALSE,"90raw  ";#N/A,#N/A,FALSE,"dcraw   "}</definedName>
    <definedName name="tmga.xls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tmga.xls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tmga.xls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tmga.xls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tmga.xls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uu" localSheetId="1" hidden="1">{"'毛利比较'!$A$4:$P$26"}</definedName>
    <definedName name="uu" localSheetId="3" hidden="1">{"'毛利比较'!$A$4:$P$26"}</definedName>
    <definedName name="uu" localSheetId="4" hidden="1">{"'毛利比较'!$A$4:$P$26"}</definedName>
    <definedName name="uu" localSheetId="5" hidden="1">{"'毛利比较'!$A$4:$P$26"}</definedName>
    <definedName name="uu" hidden="1">{"'毛利比较'!$A$4:$P$26"}</definedName>
    <definedName name="WA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A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A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A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A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hatever" localSheetId="1" hidden="1">{#N/A,#N/A,FALSE,"CHANGES";#N/A,#N/A,FALSE,"PROD SUMMARY";#N/A,#N/A,FALSE,"1995 PO SUM";#N/A,#N/A,FALSE,"1995 GEOG SUM";#N/A,#N/A,FALSE,"1996 PO SUM";#N/A,#N/A,FALSE,"1996 GEOG SUM"}</definedName>
    <definedName name="whatever" localSheetId="3" hidden="1">{#N/A,#N/A,FALSE,"CHANGES";#N/A,#N/A,FALSE,"PROD SUMMARY";#N/A,#N/A,FALSE,"1995 PO SUM";#N/A,#N/A,FALSE,"1995 GEOG SUM";#N/A,#N/A,FALSE,"1996 PO SUM";#N/A,#N/A,FALSE,"1996 GEOG SUM"}</definedName>
    <definedName name="whatever" localSheetId="4" hidden="1">{#N/A,#N/A,FALSE,"CHANGES";#N/A,#N/A,FALSE,"PROD SUMMARY";#N/A,#N/A,FALSE,"1995 PO SUM";#N/A,#N/A,FALSE,"1995 GEOG SUM";#N/A,#N/A,FALSE,"1996 PO SUM";#N/A,#N/A,FALSE,"1996 GEOG SUM"}</definedName>
    <definedName name="whatever" localSheetId="5" hidden="1">{#N/A,#N/A,FALSE,"CHANGES";#N/A,#N/A,FALSE,"PROD SUMMARY";#N/A,#N/A,FALSE,"1995 PO SUM";#N/A,#N/A,FALSE,"1995 GEOG SUM";#N/A,#N/A,FALSE,"1996 PO SUM";#N/A,#N/A,FALSE,"1996 GEOG SUM"}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QE" hidden="1">#REF!</definedName>
    <definedName name="wrn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1." localSheetId="1" hidden="1">{#N/A,#N/A,FALSE,"Calc";#N/A,#N/A,FALSE,"Sensitivity";#N/A,#N/A,FALSE,"LT Earn.Dil.";#N/A,#N/A,FALSE,"Dil. AVP"}</definedName>
    <definedName name="wrn.1." localSheetId="3" hidden="1">{#N/A,#N/A,FALSE,"Calc";#N/A,#N/A,FALSE,"Sensitivity";#N/A,#N/A,FALSE,"LT Earn.Dil.";#N/A,#N/A,FALSE,"Dil. AVP"}</definedName>
    <definedName name="wrn.1." localSheetId="4" hidden="1">{#N/A,#N/A,FALSE,"Calc";#N/A,#N/A,FALSE,"Sensitivity";#N/A,#N/A,FALSE,"LT Earn.Dil.";#N/A,#N/A,FALSE,"Dil. AVP"}</definedName>
    <definedName name="wrn.1." localSheetId="5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0yp._.balance._.sheet." localSheetId="1" hidden="1">{"10yp balance sheet",#N/A,FALSE,"Celtel alternative 6"}</definedName>
    <definedName name="wrn.10yp._.balance._.sheet." localSheetId="3" hidden="1">{"10yp balance sheet",#N/A,FALSE,"Celtel alternative 6"}</definedName>
    <definedName name="wrn.10yp._.balance._.sheet." localSheetId="4" hidden="1">{"10yp balance sheet",#N/A,FALSE,"Celtel alternative 6"}</definedName>
    <definedName name="wrn.10yp._.balance._.sheet." localSheetId="5" hidden="1">{"10yp balance sheet",#N/A,FALSE,"Celtel alternative 6"}</definedName>
    <definedName name="wrn.10yp._.balance._.sheet." hidden="1">{"10yp balance sheet",#N/A,FALSE,"Celtel alternative 6"}</definedName>
    <definedName name="wrn.10yp._.capex." localSheetId="1" hidden="1">{"10yp capex",#N/A,FALSE,"Celtel alternative 6"}</definedName>
    <definedName name="wrn.10yp._.capex." localSheetId="3" hidden="1">{"10yp capex",#N/A,FALSE,"Celtel alternative 6"}</definedName>
    <definedName name="wrn.10yp._.capex." localSheetId="4" hidden="1">{"10yp capex",#N/A,FALSE,"Celtel alternative 6"}</definedName>
    <definedName name="wrn.10yp._.capex." localSheetId="5" hidden="1">{"10yp capex",#N/A,FALSE,"Celtel alternative 6"}</definedName>
    <definedName name="wrn.10yp._.capex." hidden="1">{"10yp capex",#N/A,FALSE,"Celtel alternative 6"}</definedName>
    <definedName name="wrn.10yp._.customers." localSheetId="1" hidden="1">{"10yp customers",#N/A,FALSE,"Celtel alternative 6"}</definedName>
    <definedName name="wrn.10yp._.customers." localSheetId="3" hidden="1">{"10yp customers",#N/A,FALSE,"Celtel alternative 6"}</definedName>
    <definedName name="wrn.10yp._.customers." localSheetId="4" hidden="1">{"10yp customers",#N/A,FALSE,"Celtel alternative 6"}</definedName>
    <definedName name="wrn.10yp._.customers." localSheetId="5" hidden="1">{"10yp customers",#N/A,FALSE,"Celtel alternative 6"}</definedName>
    <definedName name="wrn.10yp._.customers." hidden="1">{"10yp customers",#N/A,FALSE,"Celtel alternative 6"}</definedName>
    <definedName name="wrn.10yp._.graphs." localSheetId="1" hidden="1">{"10yp graphs",#N/A,FALSE,"Market Data"}</definedName>
    <definedName name="wrn.10yp._.graphs." localSheetId="3" hidden="1">{"10yp graphs",#N/A,FALSE,"Market Data"}</definedName>
    <definedName name="wrn.10yp._.graphs." localSheetId="4" hidden="1">{"10yp graphs",#N/A,FALSE,"Market Data"}</definedName>
    <definedName name="wrn.10yp._.graphs." localSheetId="5" hidden="1">{"10yp graphs",#N/A,FALSE,"Market Data"}</definedName>
    <definedName name="wrn.10yp._.graphs." hidden="1">{"10yp graphs",#N/A,FALSE,"Market Data"}</definedName>
    <definedName name="wrn.10yp._.key._.data." localSheetId="1" hidden="1">{"10yp key data",#N/A,FALSE,"Market Data"}</definedName>
    <definedName name="wrn.10yp._.key._.data." localSheetId="3" hidden="1">{"10yp key data",#N/A,FALSE,"Market Data"}</definedName>
    <definedName name="wrn.10yp._.key._.data." localSheetId="4" hidden="1">{"10yp key data",#N/A,FALSE,"Market Data"}</definedName>
    <definedName name="wrn.10yp._.key._.data." localSheetId="5" hidden="1">{"10yp key data",#N/A,FALSE,"Market Data"}</definedName>
    <definedName name="wrn.10yp._.key._.data." hidden="1">{"10yp key data",#N/A,FALSE,"Market Data"}</definedName>
    <definedName name="wrn.10yp._.profit._.and._.loss." localSheetId="1" hidden="1">{"10yp profit and loss",#N/A,FALSE,"Celtel alternative 6"}</definedName>
    <definedName name="wrn.10yp._.profit._.and._.loss." localSheetId="3" hidden="1">{"10yp profit and loss",#N/A,FALSE,"Celtel alternative 6"}</definedName>
    <definedName name="wrn.10yp._.profit._.and._.loss." localSheetId="4" hidden="1">{"10yp profit and loss",#N/A,FALSE,"Celtel alternative 6"}</definedName>
    <definedName name="wrn.10yp._.profit._.and._.loss." localSheetId="5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1" hidden="1">{"10yp tariffs",#N/A,FALSE,"Celtel alternative 6"}</definedName>
    <definedName name="wrn.10yp._.tariffs." localSheetId="3" hidden="1">{"10yp tariffs",#N/A,FALSE,"Celtel alternative 6"}</definedName>
    <definedName name="wrn.10yp._.tariffs." localSheetId="4" hidden="1">{"10yp tariffs",#N/A,FALSE,"Celtel alternative 6"}</definedName>
    <definedName name="wrn.10yp._.tariffs." localSheetId="5" hidden="1">{"10yp tariffs",#N/A,FALSE,"Celtel alternative 6"}</definedName>
    <definedName name="wrn.10yp._.tariffs." hidden="1">{"10yp tariffs",#N/A,FALSE,"Celtel alternative 6"}</definedName>
    <definedName name="WRN.2." localSheetId="1" hidden="1">{#N/A,#N/A,FALSE,"Calc";#N/A,#N/A,FALSE,"Sensitivity";#N/A,#N/A,FALSE,"LT Earn.Dil.";#N/A,#N/A,FALSE,"Dil. AVP"}</definedName>
    <definedName name="WRN.2." localSheetId="3" hidden="1">{#N/A,#N/A,FALSE,"Calc";#N/A,#N/A,FALSE,"Sensitivity";#N/A,#N/A,FALSE,"LT Earn.Dil.";#N/A,#N/A,FALSE,"Dil. AVP"}</definedName>
    <definedName name="WRN.2." localSheetId="4" hidden="1">{#N/A,#N/A,FALSE,"Calc";#N/A,#N/A,FALSE,"Sensitivity";#N/A,#N/A,FALSE,"LT Earn.Dil.";#N/A,#N/A,FALSE,"Dil. AVP"}</definedName>
    <definedName name="WRN.2." localSheetId="5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min." localSheetId="1" hidden="1">{#N/A,#N/A,FALSE,"Exp Detail";#N/A,#N/A,FALSE,"Headcount";#N/A,#N/A,FALSE,"Travel";#N/A,#N/A,FALSE,"Summary";#N/A,#N/A,FALSE,"Cap Ex"}</definedName>
    <definedName name="wrn.Admin." localSheetId="3" hidden="1">{#N/A,#N/A,FALSE,"Exp Detail";#N/A,#N/A,FALSE,"Headcount";#N/A,#N/A,FALSE,"Travel";#N/A,#N/A,FALSE,"Summary";#N/A,#N/A,FALSE,"Cap Ex"}</definedName>
    <definedName name="wrn.Admin." localSheetId="4" hidden="1">{#N/A,#N/A,FALSE,"Exp Detail";#N/A,#N/A,FALSE,"Headcount";#N/A,#N/A,FALSE,"Travel";#N/A,#N/A,FALSE,"Summary";#N/A,#N/A,FALSE,"Cap Ex"}</definedName>
    <definedName name="wrn.Admin." localSheetId="5" hidden="1">{#N/A,#N/A,FALSE,"Exp Detail";#N/A,#N/A,FALSE,"Headcount";#N/A,#N/A,FALSE,"Travel";#N/A,#N/A,FALSE,"Summary";#N/A,#N/A,FALSE,"Cap Ex"}</definedName>
    <definedName name="wrn.Admin." hidden="1">{#N/A,#N/A,FALSE,"Exp Detail";#N/A,#N/A,FALSE,"Headcount";#N/A,#N/A,FALSE,"Travel";#N/A,#N/A,FALSE,"Summary";#N/A,#N/A,FALSE,"Cap Ex"}</definedName>
    <definedName name="wrn.Affiliate._.Financials." localSheetId="1" hidden="1">{"Income Statement",#N/A,TRUE,"Financials";"Balance Sheet and Cash Flow",#N/A,TRUE,"Financials";"Capital Schedule",#N/A,TRUE,"Financials"}</definedName>
    <definedName name="wrn.Affiliate._.Financials." localSheetId="3" hidden="1">{"Income Statement",#N/A,TRUE,"Financials";"Balance Sheet and Cash Flow",#N/A,TRUE,"Financials";"Capital Schedule",#N/A,TRUE,"Financials"}</definedName>
    <definedName name="wrn.Affiliate._.Financials." localSheetId="4" hidden="1">{"Income Statement",#N/A,TRUE,"Financials";"Balance Sheet and Cash Flow",#N/A,TRUE,"Financials";"Capital Schedule",#N/A,TRUE,"Financials"}</definedName>
    <definedName name="wrn.Affiliate._.Financials." localSheetId="5" hidden="1">{"Income Statement",#N/A,TRUE,"Financials";"Balance Sheet and Cash Flow",#N/A,TRUE,"Financials";"Capital Schedule",#N/A,TRUE,"Financials"}</definedName>
    <definedName name="wrn.Affiliate._.Financials." hidden="1">{"Income Statement",#N/A,TRUE,"Financials";"Balance Sheet and Cash Flow",#N/A,TRUE,"Financials";"Capital Schedule",#N/A,TRUE,"Financials"}</definedName>
    <definedName name="wrn.all." localSheetId="1" hidden="1">{#N/A,#N/A,FALSE,"W-Cons";#N/A,#N/A,FALSE,"MTAs";#N/A,#N/A,FALSE,"BTAs";#N/A,#N/A,FALSE,"D.C.";#N/A,#N/A,FALSE,"L.A."}</definedName>
    <definedName name="wrn.all." localSheetId="3" hidden="1">{#N/A,#N/A,FALSE,"W-Cons";#N/A,#N/A,FALSE,"MTAs";#N/A,#N/A,FALSE,"BTAs";#N/A,#N/A,FALSE,"D.C.";#N/A,#N/A,FALSE,"L.A."}</definedName>
    <definedName name="wrn.all." localSheetId="4" hidden="1">{#N/A,#N/A,FALSE,"W-Cons";#N/A,#N/A,FALSE,"MTAs";#N/A,#N/A,FALSE,"BTAs";#N/A,#N/A,FALSE,"D.C.";#N/A,#N/A,FALSE,"L.A."}</definedName>
    <definedName name="wrn.all." localSheetId="5" hidden="1">{#N/A,#N/A,FALSE,"W-Cons";#N/A,#N/A,FALSE,"MTAs";#N/A,#N/A,FALSE,"BTAs";#N/A,#N/A,FALSE,"D.C.";#N/A,#N/A,FALSE,"L.A."}</definedName>
    <definedName name="wrn.all." hidden="1">{#N/A,#N/A,FALSE,"W-Cons";#N/A,#N/A,FALSE,"MTAs";#N/A,#N/A,FALSE,"BTAs";#N/A,#N/A,FALSE,"D.C.";#N/A,#N/A,FALSE,"L.A."}</definedName>
    <definedName name="wrn.All._.Affiliates." localSheetId="1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localSheetId="3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localSheetId="4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localSheetId="5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Company._.Analyses." localSheetId="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3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4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5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." localSheetId="1" hidden="1">{"Printall AP",#N/A,FALSE,"AP"}</definedName>
    <definedName name="wrn.AP." localSheetId="3" hidden="1">{"Printall AP",#N/A,FALSE,"AP"}</definedName>
    <definedName name="wrn.AP." localSheetId="4" hidden="1">{"Printall AP",#N/A,FALSE,"AP"}</definedName>
    <definedName name="wrn.AP." localSheetId="5" hidden="1">{"Printall AP",#N/A,FALSE,"AP"}</definedName>
    <definedName name="wrn.AP." hidden="1">{"Printall AP",#N/A,FALSE,"AP"}</definedName>
    <definedName name="wrn.Aramis." localSheetId="1" hidden="1">{"AR",#N/A,FALSE,"Post-Contingency";"AR",#N/A,FALSE,"Contingency";"AR",#N/A,FALSE,"Pre-Contingency";"AR",#N/A,FALSE,"EMA";"AR",#N/A,FALSE,"AP";"AR",#N/A,FALSE,"WH"}</definedName>
    <definedName name="wrn.Aramis." localSheetId="3" hidden="1">{"AR",#N/A,FALSE,"Post-Contingency";"AR",#N/A,FALSE,"Contingency";"AR",#N/A,FALSE,"Pre-Contingency";"AR",#N/A,FALSE,"EMA";"AR",#N/A,FALSE,"AP";"AR",#N/A,FALSE,"WH"}</definedName>
    <definedName name="wrn.Aramis." localSheetId="4" hidden="1">{"AR",#N/A,FALSE,"Post-Contingency";"AR",#N/A,FALSE,"Contingency";"AR",#N/A,FALSE,"Pre-Contingency";"AR",#N/A,FALSE,"EMA";"AR",#N/A,FALSE,"AP";"AR",#N/A,FALSE,"WH"}</definedName>
    <definedName name="wrn.Aramis." localSheetId="5" hidden="1">{"AR",#N/A,FALSE,"Post-Contingency";"AR",#N/A,FALSE,"Contingency";"AR",#N/A,FALSE,"Pre-Contingency";"AR",#N/A,FALSE,"EMA";"AR",#N/A,FALSE,"AP";"AR",#N/A,FALSE,"WH"}</definedName>
    <definedName name="wrn.Aramis." hidden="1">{"AR",#N/A,FALSE,"Post-Contingency";"AR",#N/A,FALSE,"Contingency";"AR",#N/A,FALSE,"Pre-Contingency";"AR",#N/A,FALSE,"EMA";"AR",#N/A,FALSE,"AP";"AR",#N/A,FALSE,"WH"}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" hidden="1">{"casespecific",#N/A,FALSE,"Assumptions"}</definedName>
    <definedName name="wrn.assumptions." localSheetId="3" hidden="1">{"casespecific",#N/A,FALSE,"Assumptions"}</definedName>
    <definedName name="wrn.assumptions." localSheetId="4" hidden="1">{"casespecific",#N/A,FALSE,"Assumptions"}</definedName>
    <definedName name="wrn.assumptions." localSheetId="5" hidden="1">{"casespecific",#N/A,FALSE,"Assumptions"}</definedName>
    <definedName name="wrn.assumptions." hidden="1">{"casespecific",#N/A,FALSE,"Assumptions"}</definedName>
    <definedName name="wrn.Auto._.Comp." localSheetId="1" hidden="1">{#N/A,#N/A,FALSE,"Sheet1"}</definedName>
    <definedName name="wrn.Auto._.Comp." localSheetId="3" hidden="1">{#N/A,#N/A,FALSE,"Sheet1"}</definedName>
    <definedName name="wrn.Auto._.Comp." localSheetId="4" hidden="1">{#N/A,#N/A,FALSE,"Sheet1"}</definedName>
    <definedName name="wrn.Auto._.Comp." localSheetId="5" hidden="1">{#N/A,#N/A,FALSE,"Sheet1"}</definedName>
    <definedName name="wrn.Auto._.Comp." hidden="1">{#N/A,#N/A,FALSE,"Sheet1"}</definedName>
    <definedName name="wrn.away." localSheetId="1" hidden="1">{"away stand alones",#N/A,FALSE,"Target"}</definedName>
    <definedName name="wrn.away." localSheetId="3" hidden="1">{"away stand alones",#N/A,FALSE,"Target"}</definedName>
    <definedName name="wrn.away." localSheetId="4" hidden="1">{"away stand alones",#N/A,FALSE,"Target"}</definedName>
    <definedName name="wrn.away." localSheetId="5" hidden="1">{"away stand alones",#N/A,FALSE,"Target"}</definedName>
    <definedName name="wrn.away." hidden="1">{"away stand alones",#N/A,FALSE,"Target"}</definedName>
    <definedName name="wrn.Bobbi._.Brown." localSheetId="1" hidden="1">{"BB",#N/A,FALSE,"Post-Contingency";"BB",#N/A,FALSE,"Contingency";"BB",#N/A,FALSE,"Pre-Contingency";"BB",#N/A,FALSE,"EMA";"BB",#N/A,FALSE,"AP";"BB",#N/A,FALSE,"WH"}</definedName>
    <definedName name="wrn.Bobbi._.Brown." localSheetId="3" hidden="1">{"BB",#N/A,FALSE,"Post-Contingency";"BB",#N/A,FALSE,"Contingency";"BB",#N/A,FALSE,"Pre-Contingency";"BB",#N/A,FALSE,"EMA";"BB",#N/A,FALSE,"AP";"BB",#N/A,FALSE,"WH"}</definedName>
    <definedName name="wrn.Bobbi._.Brown." localSheetId="4" hidden="1">{"BB",#N/A,FALSE,"Post-Contingency";"BB",#N/A,FALSE,"Contingency";"BB",#N/A,FALSE,"Pre-Contingency";"BB",#N/A,FALSE,"EMA";"BB",#N/A,FALSE,"AP";"BB",#N/A,FALSE,"WH"}</definedName>
    <definedName name="wrn.Bobbi._.Brown." localSheetId="5" hidden="1">{"BB",#N/A,FALSE,"Post-Contingency";"BB",#N/A,FALSE,"Contingency";"BB",#N/A,FALSE,"Pre-Contingency";"BB",#N/A,FALSE,"EMA";"BB",#N/A,FALSE,"AP";"BB",#N/A,FALSE,"WH"}</definedName>
    <definedName name="wrn.Bobbi._.Brown." hidden="1">{"BB",#N/A,FALSE,"Post-Contingency";"BB",#N/A,FALSE,"Contingency";"BB",#N/A,FALSE,"Pre-Contingency";"BB",#N/A,FALSE,"EMA";"BB",#N/A,FALSE,"AP";"BB",#N/A,FALSE,"WH"}</definedName>
    <definedName name="wrn.BPlan." localSheetId="1" hidden="1">{#N/A,#N/A,FALSE,"F_Plan";#N/A,#N/A,FALSE,"Parameter"}</definedName>
    <definedName name="wrn.BPlan." localSheetId="3" hidden="1">{#N/A,#N/A,FALSE,"F_Plan";#N/A,#N/A,FALSE,"Parameter"}</definedName>
    <definedName name="wrn.BPlan." localSheetId="4" hidden="1">{#N/A,#N/A,FALSE,"F_Plan";#N/A,#N/A,FALSE,"Parameter"}</definedName>
    <definedName name="wrn.BPlan." localSheetId="5" hidden="1">{#N/A,#N/A,FALSE,"F_Plan";#N/A,#N/A,FALSE,"Parameter"}</definedName>
    <definedName name="wrn.BPlan." hidden="1">{#N/A,#N/A,FALSE,"F_Plan";#N/A,#N/A,FALSE,"Parameter"}</definedName>
    <definedName name="wrn.BRAND_MAIN." localSheetId="1" hidden="1">{"NS_MAIN",#N/A,FALSE,"SALES";"MAIN",#N/A,FALSE,"COST OF GOODS";"MAIN",#N/A,FALSE,"NOP";"MAIN",#N/A,FALSE,"OPERATING EXP"}</definedName>
    <definedName name="wrn.BRAND_MAIN." localSheetId="3" hidden="1">{"NS_MAIN",#N/A,FALSE,"SALES";"MAIN",#N/A,FALSE,"COST OF GOODS";"MAIN",#N/A,FALSE,"NOP";"MAIN",#N/A,FALSE,"OPERATING EXP"}</definedName>
    <definedName name="wrn.BRAND_MAIN." localSheetId="4" hidden="1">{"NS_MAIN",#N/A,FALSE,"SALES";"MAIN",#N/A,FALSE,"COST OF GOODS";"MAIN",#N/A,FALSE,"NOP";"MAIN",#N/A,FALSE,"OPERATING EXP"}</definedName>
    <definedName name="wrn.BRAND_MAIN." localSheetId="5" hidden="1">{"NS_MAIN",#N/A,FALSE,"SALES";"MAIN",#N/A,FALSE,"COST OF GOODS";"MAIN",#N/A,FALSE,"NOP";"MAIN",#N/A,FALSE,"OPERATING EXP"}</definedName>
    <definedName name="wrn.BRAND_MAIN." hidden="1">{"NS_MAIN",#N/A,FALSE,"SALES";"MAIN",#N/A,FALSE,"COST OF GOODS";"MAIN",#N/A,FALSE,"NOP";"MAIN",#N/A,FALSE,"OPERATING EXP"}</definedName>
    <definedName name="wrn.BRAND_PERCENT." localSheetId="1" hidden="1">{"NS_MAIN",#N/A,FALSE,"SALES";"NS_PERCENT",#N/A,FALSE,"COST OF GOODS";"NS_PERCENT",#N/A,FALSE,"NOP";"NS_PERCENT",#N/A,FALSE,"OPERATING EXP"}</definedName>
    <definedName name="wrn.BRAND_PERCENT." localSheetId="3" hidden="1">{"NS_MAIN",#N/A,FALSE,"SALES";"NS_PERCENT",#N/A,FALSE,"COST OF GOODS";"NS_PERCENT",#N/A,FALSE,"NOP";"NS_PERCENT",#N/A,FALSE,"OPERATING EXP"}</definedName>
    <definedName name="wrn.BRAND_PERCENT." localSheetId="4" hidden="1">{"NS_MAIN",#N/A,FALSE,"SALES";"NS_PERCENT",#N/A,FALSE,"COST OF GOODS";"NS_PERCENT",#N/A,FALSE,"NOP";"NS_PERCENT",#N/A,FALSE,"OPERATING EXP"}</definedName>
    <definedName name="wrn.BRAND_PERCENT." localSheetId="5" hidden="1">{"NS_MAIN",#N/A,FALSE,"SALES";"NS_PERCENT",#N/A,FALSE,"COST OF GOODS";"NS_PERCENT",#N/A,FALSE,"NOP";"NS_PERCENT",#N/A,FALSE,"OPERATING EXP"}</definedName>
    <definedName name="wrn.BRAND_PERCENT." hidden="1">{"NS_MAIN",#N/A,FALSE,"SALES";"NS_PERCENT",#N/A,FALSE,"COST OF GOODS";"NS_PERCENT",#N/A,FALSE,"NOP";"NS_PERCENT",#N/A,FALSE,"OPERATING EXP"}</definedName>
    <definedName name="wrn.brian." localSheetId="1" hidden="1">{#N/A,#N/A,FALSE,"output";#N/A,#N/A,FALSE,"contrib";#N/A,#N/A,FALSE,"profile";#N/A,#N/A,FALSE,"comps"}</definedName>
    <definedName name="wrn.brian." localSheetId="3" hidden="1">{#N/A,#N/A,FALSE,"output";#N/A,#N/A,FALSE,"contrib";#N/A,#N/A,FALSE,"profile";#N/A,#N/A,FALSE,"comps"}</definedName>
    <definedName name="wrn.brian." localSheetId="4" hidden="1">{#N/A,#N/A,FALSE,"output";#N/A,#N/A,FALSE,"contrib";#N/A,#N/A,FALSE,"profile";#N/A,#N/A,FALSE,"comps"}</definedName>
    <definedName name="wrn.brian." localSheetId="5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udget._.balance._.sheet." localSheetId="1" hidden="1">{"bugdet992000 balance sheet",#N/A,FALSE,"Celtel alternative 6"}</definedName>
    <definedName name="wrn.budget._.balance._.sheet." localSheetId="3" hidden="1">{"bugdet992000 balance sheet",#N/A,FALSE,"Celtel alternative 6"}</definedName>
    <definedName name="wrn.budget._.balance._.sheet." localSheetId="4" hidden="1">{"bugdet992000 balance sheet",#N/A,FALSE,"Celtel alternative 6"}</definedName>
    <definedName name="wrn.budget._.balance._.sheet." localSheetId="5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1" hidden="1">{"budget992000 capex",#N/A,FALSE,"Celtel alternative 6"}</definedName>
    <definedName name="wrn.budget._.capex." localSheetId="3" hidden="1">{"budget992000 capex",#N/A,FALSE,"Celtel alternative 6"}</definedName>
    <definedName name="wrn.budget._.capex." localSheetId="4" hidden="1">{"budget992000 capex",#N/A,FALSE,"Celtel alternative 6"}</definedName>
    <definedName name="wrn.budget._.capex." localSheetId="5" hidden="1">{"budget992000 capex",#N/A,FALSE,"Celtel alternative 6"}</definedName>
    <definedName name="wrn.budget._.capex." hidden="1">{"budget992000 capex",#N/A,FALSE,"Celtel alternative 6"}</definedName>
    <definedName name="wrn.budget._.customers." localSheetId="1" hidden="1">{"budget992000_customers",#N/A,FALSE,"Celtel alternative 6"}</definedName>
    <definedName name="wrn.budget._.customers." localSheetId="3" hidden="1">{"budget992000_customers",#N/A,FALSE,"Celtel alternative 6"}</definedName>
    <definedName name="wrn.budget._.customers." localSheetId="4" hidden="1">{"budget992000_customers",#N/A,FALSE,"Celtel alternative 6"}</definedName>
    <definedName name="wrn.budget._.customers." localSheetId="5" hidden="1">{"budget992000_customers",#N/A,FALSE,"Celtel alternative 6"}</definedName>
    <definedName name="wrn.budget._.customers." hidden="1">{"budget992000_customers",#N/A,FALSE,"Celtel alternative 6"}</definedName>
    <definedName name="wrn.budget._.profit._.and._.loss." localSheetId="1" hidden="1">{"budget992000 profit and loss",#N/A,FALSE,"Celtel alternative 6"}</definedName>
    <definedName name="wrn.budget._.profit._.and._.loss." localSheetId="3" hidden="1">{"budget992000 profit and loss",#N/A,FALSE,"Celtel alternative 6"}</definedName>
    <definedName name="wrn.budget._.profit._.and._.loss." localSheetId="4" hidden="1">{"budget992000 profit and loss",#N/A,FALSE,"Celtel alternative 6"}</definedName>
    <definedName name="wrn.budget._.profit._.and._.loss." localSheetId="5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1" hidden="1">{"budget992000 tariff and usage",#N/A,FALSE,"Celtel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localSheetId="4" hidden="1">{"budget992000 tariff and usage",#N/A,FALSE,"Celtel alternative 6"}</definedName>
    <definedName name="wrn.budget._.tariffs._.and._.usage." localSheetId="5" hidden="1">{"budget992000 tariff and usage",#N/A,FALSE,"Celtel alternative 6"}</definedName>
    <definedName name="wrn.budget._.tariffs._.and._.usage." hidden="1">{"budget992000 tariff and usage",#N/A,FALSE,"Celtel alternative 6"}</definedName>
    <definedName name="wrn.cash.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 localSheetId="1" hidden="1">{"cash plan",#N/A,FALSE,"fccashflow"}</definedName>
    <definedName name="wrn.Cash._.Plan." localSheetId="3" hidden="1">{"cash plan",#N/A,FALSE,"fccashflow"}</definedName>
    <definedName name="wrn.Cash._.Plan." localSheetId="4" hidden="1">{"cash plan",#N/A,FALSE,"fccashflow"}</definedName>
    <definedName name="wrn.Cash._.Plan." localSheetId="5" hidden="1">{"cash plan",#N/A,FALSE,"fccashflow"}</definedName>
    <definedName name="wrn.Cash._.Plan." hidden="1">{"cash plan",#N/A,FALSE,"fccashflow"}</definedName>
    <definedName name="wrn.CB_MAIN." localSheetId="1" hidden="1">{"NS_MAIN",#N/A,FALSE,"SALES";"MAIN",#N/A,FALSE,"COST OF GOODS";"MAIN",#N/A,FALSE,"NOP";"MAIN",#N/A,FALSE,"OPERATING EXP";"MAIN",#N/A,FALSE,"NET INCOME"}</definedName>
    <definedName name="wrn.CB_MAIN." localSheetId="3" hidden="1">{"NS_MAIN",#N/A,FALSE,"SALES";"MAIN",#N/A,FALSE,"COST OF GOODS";"MAIN",#N/A,FALSE,"NOP";"MAIN",#N/A,FALSE,"OPERATING EXP";"MAIN",#N/A,FALSE,"NET INCOME"}</definedName>
    <definedName name="wrn.CB_MAIN." localSheetId="4" hidden="1">{"NS_MAIN",#N/A,FALSE,"SALES";"MAIN",#N/A,FALSE,"COST OF GOODS";"MAIN",#N/A,FALSE,"NOP";"MAIN",#N/A,FALSE,"OPERATING EXP";"MAIN",#N/A,FALSE,"NET INCOME"}</definedName>
    <definedName name="wrn.CB_MAIN." localSheetId="5" hidden="1">{"NS_MAIN",#N/A,FALSE,"SALES";"MAIN",#N/A,FALSE,"COST OF GOODS";"MAIN",#N/A,FALSE,"NOP";"MAIN",#N/A,FALSE,"OPERATING EXP";"MAIN",#N/A,FALSE,"NET INCOME"}</definedName>
    <definedName name="wrn.CB_MAIN." hidden="1">{"NS_MAIN",#N/A,FALSE,"SALES";"MAIN",#N/A,FALSE,"COST OF GOODS";"MAIN",#N/A,FALSE,"NOP";"MAIN",#N/A,FALSE,"OPERATING EXP";"MAIN",#N/A,FALSE,"NET INCOME"}</definedName>
    <definedName name="wrn.CB_PERCENT." localSheetId="1" hidden="1">{"NS_MAIN",#N/A,FALSE,"SALES";"NS_PERCENT",#N/A,FALSE,"COST OF GOODS";"NS_PERCENT",#N/A,FALSE,"NOP";"NS_PERCENT",#N/A,FALSE,"OPERATING EXP";"NS_PERCENT",#N/A,FALSE,"NET INCOME"}</definedName>
    <definedName name="wrn.CB_PERCENT." localSheetId="3" hidden="1">{"NS_MAIN",#N/A,FALSE,"SALES";"NS_PERCENT",#N/A,FALSE,"COST OF GOODS";"NS_PERCENT",#N/A,FALSE,"NOP";"NS_PERCENT",#N/A,FALSE,"OPERATING EXP";"NS_PERCENT",#N/A,FALSE,"NET INCOME"}</definedName>
    <definedName name="wrn.CB_PERCENT." localSheetId="4" hidden="1">{"NS_MAIN",#N/A,FALSE,"SALES";"NS_PERCENT",#N/A,FALSE,"COST OF GOODS";"NS_PERCENT",#N/A,FALSE,"NOP";"NS_PERCENT",#N/A,FALSE,"OPERATING EXP";"NS_PERCENT",#N/A,FALSE,"NET INCOME"}</definedName>
    <definedName name="wrn.CB_PERCENT." localSheetId="5" hidden="1">{"NS_MAIN",#N/A,FALSE,"SALES";"NS_PERCENT",#N/A,FALSE,"COST OF GOODS";"NS_PERCENT",#N/A,FALSE,"NOP";"NS_PERCENT",#N/A,FALSE,"OPERATING EXP";"NS_PERCENT",#N/A,FALSE,"NET INCOME"}</definedName>
    <definedName name="wrn.CB_PERCENT." hidden="1">{"NS_MAIN",#N/A,FALSE,"SALES";"NS_PERCENT",#N/A,FALSE,"COST OF GOODS";"NS_PERCENT",#N/A,FALSE,"NOP";"NS_PERCENT",#N/A,FALSE,"OPERATING EXP";"NS_PERCENT",#N/A,FALSE,"NET INCOME"}</definedName>
    <definedName name="wrn.check" localSheetId="1" hidden="1">{#N/A,#N/A,FALSE,"COMPWITH ";#N/A,#N/A,FALSE,"PROFORMA";#N/A,#N/A,FALSE,"COMPWO";#N/A,#N/A,FALSE,"LII";#N/A,#N/A,FALSE,"global";#N/A,#N/A,FALSE,"oio";#N/A,#N/A,FALSE,"dom comb";#N/A,#N/A,FALSE,"intl comb"}</definedName>
    <definedName name="wrn.check" localSheetId="3" hidden="1">{#N/A,#N/A,FALSE,"COMPWITH ";#N/A,#N/A,FALSE,"PROFORMA";#N/A,#N/A,FALSE,"COMPWO";#N/A,#N/A,FALSE,"LII";#N/A,#N/A,FALSE,"global";#N/A,#N/A,FALSE,"oio";#N/A,#N/A,FALSE,"dom comb";#N/A,#N/A,FALSE,"intl comb"}</definedName>
    <definedName name="wrn.check" localSheetId="4" hidden="1">{#N/A,#N/A,FALSE,"COMPWITH ";#N/A,#N/A,FALSE,"PROFORMA";#N/A,#N/A,FALSE,"COMPWO";#N/A,#N/A,FALSE,"LII";#N/A,#N/A,FALSE,"global";#N/A,#N/A,FALSE,"oio";#N/A,#N/A,FALSE,"dom comb";#N/A,#N/A,FALSE,"intl comb"}</definedName>
    <definedName name="wrn.check" localSheetId="5" hidden="1">{#N/A,#N/A,FALSE,"COMPWITH ";#N/A,#N/A,FALSE,"PROFORMA";#N/A,#N/A,FALSE,"COMPWO";#N/A,#N/A,FALSE,"LII";#N/A,#N/A,FALSE,"global";#N/A,#N/A,FALSE,"oio";#N/A,#N/A,FALSE,"dom comb";#N/A,#N/A,FALSE,"intl comb"}</definedName>
    <definedName name="wrn.check" hidden="1">{#N/A,#N/A,FALSE,"COMPWITH ";#N/A,#N/A,FALSE,"PROFORMA";#N/A,#N/A,FALSE,"COMPWO";#N/A,#N/A,FALSE,"LII";#N/A,#N/A,FALSE,"global";#N/A,#N/A,FALSE,"oio";#N/A,#N/A,FALSE,"dom comb";#N/A,#N/A,FALSE,"intl comb"}</definedName>
    <definedName name="wrn.Cider." localSheetId="1" hidden="1">{#N/A,#N/A,FALSE,"Cider Segment";#N/A,#N/A,FALSE,"Bulmers";#N/A,#N/A,FALSE,"Ritz";#N/A,#N/A,FALSE,"Stag";#N/A,#N/A,FALSE,"Cider Others"}</definedName>
    <definedName name="wrn.Cider." localSheetId="3" hidden="1">{#N/A,#N/A,FALSE,"Cider Segment";#N/A,#N/A,FALSE,"Bulmers";#N/A,#N/A,FALSE,"Ritz";#N/A,#N/A,FALSE,"Stag";#N/A,#N/A,FALSE,"Cider Others"}</definedName>
    <definedName name="wrn.Cider." localSheetId="4" hidden="1">{#N/A,#N/A,FALSE,"Cider Segment";#N/A,#N/A,FALSE,"Bulmers";#N/A,#N/A,FALSE,"Ritz";#N/A,#N/A,FALSE,"Stag";#N/A,#N/A,FALSE,"Cider Others"}</definedName>
    <definedName name="wrn.Cider." localSheetId="5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linique." localSheetId="1" hidden="1">{"CL",#N/A,FALSE,"Post-Contingency";"CL",#N/A,FALSE,"Contingency";"CL",#N/A,FALSE,"Pre-Contingency";"CL",#N/A,FALSE,"EMA";"CL",#N/A,FALSE,"WH";"CL",#N/A,FALSE,"AP"}</definedName>
    <definedName name="wrn.Clinique." localSheetId="3" hidden="1">{"CL",#N/A,FALSE,"Post-Contingency";"CL",#N/A,FALSE,"Contingency";"CL",#N/A,FALSE,"Pre-Contingency";"CL",#N/A,FALSE,"EMA";"CL",#N/A,FALSE,"WH";"CL",#N/A,FALSE,"AP"}</definedName>
    <definedName name="wrn.Clinique." localSheetId="4" hidden="1">{"CL",#N/A,FALSE,"Post-Contingency";"CL",#N/A,FALSE,"Contingency";"CL",#N/A,FALSE,"Pre-Contingency";"CL",#N/A,FALSE,"EMA";"CL",#N/A,FALSE,"WH";"CL",#N/A,FALSE,"AP"}</definedName>
    <definedName name="wrn.Clinique." localSheetId="5" hidden="1">{"CL",#N/A,FALSE,"Post-Contingency";"CL",#N/A,FALSE,"Contingency";"CL",#N/A,FALSE,"Pre-Contingency";"CL",#N/A,FALSE,"EMA";"CL",#N/A,FALSE,"WH";"CL",#N/A,FALSE,"AP"}</definedName>
    <definedName name="wrn.Clinique." hidden="1">{"CL",#N/A,FALSE,"Post-Contingency";"CL",#N/A,FALSE,"Contingency";"CL",#N/A,FALSE,"Pre-Contingency";"CL",#N/A,FALSE,"EMA";"CL",#N/A,FALSE,"WH";"CL",#N/A,FALSE,"AP"}</definedName>
    <definedName name="wrn.comps." localSheetId="1" hidden="1">{"comps",#N/A,FALSE,"comps";"notes",#N/A,FALSE,"comps"}</definedName>
    <definedName name="wrn.comps." localSheetId="3" hidden="1">{"comps",#N/A,FALSE,"comps";"notes",#N/A,FALSE,"comps"}</definedName>
    <definedName name="wrn.comps." localSheetId="4" hidden="1">{"comps",#N/A,FALSE,"comps";"notes",#N/A,FALSE,"comps"}</definedName>
    <definedName name="wrn.comps." localSheetId="5" hidden="1">{"comps",#N/A,FALSE,"comps";"notes",#N/A,FALSE,"comps"}</definedName>
    <definedName name="wrn.comps." hidden="1">{"comps",#N/A,FALSE,"comps";"notes",#N/A,FALSE,"comps"}</definedName>
    <definedName name="wrn.Consolidated._.Set." localSheetId="1" hidden="1">{"Consolidated IS w Ratios",#N/A,FALSE,"Consolidated";"Consolidated CF",#N/A,FALSE,"Consolidated";"Consolidated DCF",#N/A,FALSE,"Consolidated"}</definedName>
    <definedName name="wrn.Consolidated._.Set." localSheetId="3" hidden="1">{"Consolidated IS w Ratios",#N/A,FALSE,"Consolidated";"Consolidated CF",#N/A,FALSE,"Consolidated";"Consolidated DCF",#N/A,FALSE,"Consolidated"}</definedName>
    <definedName name="wrn.Consolidated._.Set." localSheetId="4" hidden="1">{"Consolidated IS w Ratios",#N/A,FALSE,"Consolidated";"Consolidated CF",#N/A,FALSE,"Consolidated";"Consolidated DCF",#N/A,FALSE,"Consolidated"}</definedName>
    <definedName name="wrn.Consolidated._.Set." localSheetId="5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tingency." localSheetId="1" hidden="1">{"Printall Contingency",#N/A,FALSE,"Contingency"}</definedName>
    <definedName name="wrn.Contingency." localSheetId="3" hidden="1">{"Printall Contingency",#N/A,FALSE,"Contingency"}</definedName>
    <definedName name="wrn.Contingency." localSheetId="4" hidden="1">{"Printall Contingency",#N/A,FALSE,"Contingency"}</definedName>
    <definedName name="wrn.Contingency." localSheetId="5" hidden="1">{"Printall Contingency",#N/A,FALSE,"Contingency"}</definedName>
    <definedName name="wrn.Contingency." hidden="1">{"Printall Contingency",#N/A,FALSE,"Contingency"}</definedName>
    <definedName name="wrn.contribution." localSheetId="1" hidden="1">{#N/A,#N/A,FALSE,"Contribution Analysis"}</definedName>
    <definedName name="wrn.contribution." localSheetId="3" hidden="1">{#N/A,#N/A,FALSE,"Contribution Analysis"}</definedName>
    <definedName name="wrn.contribution." localSheetId="4" hidden="1">{#N/A,#N/A,FALSE,"Contribution Analysis"}</definedName>
    <definedName name="wrn.contribution." localSheetId="5" hidden="1">{#N/A,#N/A,FALSE,"Contribution Analysis"}</definedName>
    <definedName name="wrn.contribution." hidden="1">{#N/A,#N/A,FALSE,"Contribution Analysis"}</definedName>
    <definedName name="wrn.cooper." localSheetId="1" hidden="1">{#N/A,#N/A,TRUE,"Pro Forma";#N/A,#N/A,TRUE,"PF_Bal";#N/A,#N/A,TRUE,"PF_INC";#N/A,#N/A,TRUE,"CBE";#N/A,#N/A,TRUE,"SWK"}</definedName>
    <definedName name="wrn.cooper." localSheetId="3" hidden="1">{#N/A,#N/A,TRUE,"Pro Forma";#N/A,#N/A,TRUE,"PF_Bal";#N/A,#N/A,TRUE,"PF_INC";#N/A,#N/A,TRUE,"CBE";#N/A,#N/A,TRUE,"SWK"}</definedName>
    <definedName name="wrn.cooper." localSheetId="4" hidden="1">{#N/A,#N/A,TRUE,"Pro Forma";#N/A,#N/A,TRUE,"PF_Bal";#N/A,#N/A,TRUE,"PF_INC";#N/A,#N/A,TRUE,"CBE";#N/A,#N/A,TRUE,"SWK"}</definedName>
    <definedName name="wrn.cooper." localSheetId="5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localSheetId="4" hidden="1">{#N/A,#N/A,FALSE,"BS";#N/A,#N/A,FALSE,"PL";#N/A,#N/A,FALSE,"처분";#N/A,#N/A,FALSE,"현금";#N/A,#N/A,FALSE,"매출";#N/A,#N/A,FALSE,"원가";#N/A,#N/A,FALSE,"경영"}</definedName>
    <definedName name="wrn.COSA._.FS._.국문." localSheetId="5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T." localSheetId="1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localSheetId="3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localSheetId="4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localSheetId="5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localSheetId="1" hidden="1">{"page1",#N/A,TRUE,"CSC";"page2",#N/A,TRUE,"CSC"}</definedName>
    <definedName name="wrn.CSC." localSheetId="3" hidden="1">{"page1",#N/A,TRUE,"CSC";"page2",#N/A,TRUE,"CSC"}</definedName>
    <definedName name="wrn.CSC." localSheetId="4" hidden="1">{"page1",#N/A,TRUE,"CSC";"page2",#N/A,TRUE,"CSC"}</definedName>
    <definedName name="wrn.CSC." localSheetId="5" hidden="1">{"page1",#N/A,TRUE,"CSC";"page2",#N/A,TRUE,"CSC"}</definedName>
    <definedName name="wrn.CSC." hidden="1">{"page1",#N/A,TRUE,"CSC";"page2",#N/A,TRUE,"CSC"}</definedName>
    <definedName name="wrn.CSC2" localSheetId="1" hidden="1">{"page1",#N/A,TRUE,"CSC";"page2",#N/A,TRUE,"CSC"}</definedName>
    <definedName name="wrn.CSC2" localSheetId="3" hidden="1">{"page1",#N/A,TRUE,"CSC";"page2",#N/A,TRUE,"CSC"}</definedName>
    <definedName name="wrn.CSC2" localSheetId="4" hidden="1">{"page1",#N/A,TRUE,"CSC";"page2",#N/A,TRUE,"CSC"}</definedName>
    <definedName name="wrn.CSC2" localSheetId="5" hidden="1">{"page1",#N/A,TRUE,"CSC";"page2",#N/A,TRUE,"CSC"}</definedName>
    <definedName name="wrn.CSC2" hidden="1">{"page1",#N/A,TRUE,"CSC";"page2",#N/A,TRUE,"CSC"}</definedName>
    <definedName name="wrn.csc2." localSheetId="1" hidden="1">{#N/A,#N/A,FALSE,"ORIX CSC"}</definedName>
    <definedName name="wrn.csc2." localSheetId="3" hidden="1">{#N/A,#N/A,FALSE,"ORIX CSC"}</definedName>
    <definedName name="wrn.csc2." localSheetId="4" hidden="1">{#N/A,#N/A,FALSE,"ORIX CSC"}</definedName>
    <definedName name="wrn.csc2." localSheetId="5" hidden="1">{#N/A,#N/A,FALSE,"ORIX CSC"}</definedName>
    <definedName name="wrn.csc2." hidden="1">{#N/A,#N/A,FALSE,"ORIX CSC"}</definedName>
    <definedName name="wrn.database." localSheetId="1" hidden="1">{"subs",#N/A,FALSE,"database ";"proportional",#N/A,FALSE,"database "}</definedName>
    <definedName name="wrn.database." localSheetId="3" hidden="1">{"subs",#N/A,FALSE,"database ";"proportional",#N/A,FALSE,"database "}</definedName>
    <definedName name="wrn.database." localSheetId="4" hidden="1">{"subs",#N/A,FALSE,"database ";"proportional",#N/A,FALSE,"database "}</definedName>
    <definedName name="wrn.database." localSheetId="5" hidden="1">{"subs",#N/A,FALSE,"database ";"proportional",#N/A,FALSE,"database "}</definedName>
    <definedName name="wrn.database." hidden="1">{"subs",#N/A,FALSE,"database ";"proportional",#N/A,FALSE,"database 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ed._.print." localSheetId="1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localSheetId="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localSheetId="4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localSheetId="5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il_anal." localSheetId="1" hidden="1">{"hiden",#N/A,FALSE,"14";"hidden",#N/A,FALSE,"16";"hidden",#N/A,FALSE,"18";"hidden",#N/A,FALSE,"20"}</definedName>
    <definedName name="wrn.dil_anal." localSheetId="3" hidden="1">{"hiden",#N/A,FALSE,"14";"hidden",#N/A,FALSE,"16";"hidden",#N/A,FALSE,"18";"hidden",#N/A,FALSE,"20"}</definedName>
    <definedName name="wrn.dil_anal." localSheetId="4" hidden="1">{"hiden",#N/A,FALSE,"14";"hidden",#N/A,FALSE,"16";"hidden",#N/A,FALSE,"18";"hidden",#N/A,FALSE,"20"}</definedName>
    <definedName name="wrn.dil_anal." localSheetId="5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1" hidden="1">{"consolidated",#N/A,FALSE,"Sheet1";"cms",#N/A,FALSE,"Sheet1";"fse",#N/A,FALSE,"Sheet1"}</definedName>
    <definedName name="wrn.document." localSheetId="3" hidden="1">{"consolidated",#N/A,FALSE,"Sheet1";"cms",#N/A,FALSE,"Sheet1";"fse",#N/A,FALSE,"Sheet1"}</definedName>
    <definedName name="wrn.document." localSheetId="4" hidden="1">{"consolidated",#N/A,FALSE,"Sheet1";"cms",#N/A,FALSE,"Sheet1";"fse",#N/A,FALSE,"Sheet1"}</definedName>
    <definedName name="wrn.document." localSheetId="5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1" hidden="1">{"comps2",#N/A,FALSE,"AERO";"footnotes",#N/A,FALSE,"AERO"}</definedName>
    <definedName name="wrn.documentaero." localSheetId="3" hidden="1">{"comps2",#N/A,FALSE,"AERO";"footnotes",#N/A,FALSE,"AERO"}</definedName>
    <definedName name="wrn.documentaero." localSheetId="4" hidden="1">{"comps2",#N/A,FALSE,"AERO";"footnotes",#N/A,FALSE,"AERO"}</definedName>
    <definedName name="wrn.documentaero." localSheetId="5" hidden="1">{"comps2",#N/A,FALSE,"AERO";"footnotes",#N/A,FALSE,"AERO"}</definedName>
    <definedName name="wrn.documentaero." hidden="1">{"comps2",#N/A,FALSE,"AERO";"footnotes",#N/A,FALSE,"AERO"}</definedName>
    <definedName name="wrn.documenthand." localSheetId="1" hidden="1">{"comps",#N/A,FALSE,"HANDPACK";"footnotes",#N/A,FALSE,"HANDPACK"}</definedName>
    <definedName name="wrn.documenthand." localSheetId="3" hidden="1">{"comps",#N/A,FALSE,"HANDPACK";"footnotes",#N/A,FALSE,"HANDPACK"}</definedName>
    <definedName name="wrn.documenthand." localSheetId="4" hidden="1">{"comps",#N/A,FALSE,"HANDPACK";"footnotes",#N/A,FALSE,"HANDPACK"}</definedName>
    <definedName name="wrn.documenthand." localSheetId="5" hidden="1">{"comps",#N/A,FALSE,"HANDPACK";"footnotes",#N/A,FALSE,"HANDPACK"}</definedName>
    <definedName name="wrn.documenthand." hidden="1">{"comps",#N/A,FALSE,"HANDPACK";"footnotes",#N/A,FALSE,"HANDPACK"}</definedName>
    <definedName name="wrn.DOM." localSheetId="1" hidden="1">{#N/A,#N/A,FALSE,"dom comb";#N/A,#N/A,FALSE,"el usa";#N/A,#N/A,FALSE,"cl usa";#N/A,#N/A,FALSE,"px comb";#N/A,#N/A,FALSE,"ar usa";#N/A,#N/A,FALSE,"or consol";#N/A,#N/A,FALSE,"el mgmt";#N/A,#N/A,FALSE,"corp&amp;adj"}</definedName>
    <definedName name="wrn.DOM." localSheetId="3" hidden="1">{#N/A,#N/A,FALSE,"dom comb";#N/A,#N/A,FALSE,"el usa";#N/A,#N/A,FALSE,"cl usa";#N/A,#N/A,FALSE,"px comb";#N/A,#N/A,FALSE,"ar usa";#N/A,#N/A,FALSE,"or consol";#N/A,#N/A,FALSE,"el mgmt";#N/A,#N/A,FALSE,"corp&amp;adj"}</definedName>
    <definedName name="wrn.DOM." localSheetId="4" hidden="1">{#N/A,#N/A,FALSE,"dom comb";#N/A,#N/A,FALSE,"el usa";#N/A,#N/A,FALSE,"cl usa";#N/A,#N/A,FALSE,"px comb";#N/A,#N/A,FALSE,"ar usa";#N/A,#N/A,FALSE,"or consol";#N/A,#N/A,FALSE,"el mgmt";#N/A,#N/A,FALSE,"corp&amp;adj"}</definedName>
    <definedName name="wrn.DOM." localSheetId="5" hidden="1">{#N/A,#N/A,FALSE,"dom comb";#N/A,#N/A,FALSE,"el usa";#N/A,#N/A,FALSE,"cl usa";#N/A,#N/A,FALSE,"px comb";#N/A,#N/A,FALSE,"ar usa";#N/A,#N/A,FALSE,"or consol";#N/A,#N/A,FALSE,"el mgmt";#N/A,#N/A,FALSE,"corp&amp;adj"}</definedName>
    <definedName name="wrn.DOM." hidden="1">{#N/A,#N/A,FALSE,"dom comb";#N/A,#N/A,FALSE,"el usa";#N/A,#N/A,FALSE,"cl usa";#N/A,#N/A,FALSE,"px comb";#N/A,#N/A,FALSE,"ar usa";#N/A,#N/A,FALSE,"or consol";#N/A,#N/A,FALSE,"el mgmt";#N/A,#N/A,FALSE,"corp&amp;adj"}</definedName>
    <definedName name="wrn.Earnings._.Model.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A." localSheetId="1" hidden="1">{"Printall EMA",#N/A,FALSE,"EMA"}</definedName>
    <definedName name="wrn.EMA." localSheetId="3" hidden="1">{"Printall EMA",#N/A,FALSE,"EMA"}</definedName>
    <definedName name="wrn.EMA." localSheetId="4" hidden="1">{"Printall EMA",#N/A,FALSE,"EMA"}</definedName>
    <definedName name="wrn.EMA." localSheetId="5" hidden="1">{"Printall EMA",#N/A,FALSE,"EMA"}</definedName>
    <definedName name="wrn.EMA." hidden="1">{"Printall EMA",#N/A,FALSE,"EMA"}</definedName>
    <definedName name="wrn.Employee._.Efficiency." localSheetId="1" hidden="1">{"Employee Efficiency",#N/A,FALSE,"Benchmarking"}</definedName>
    <definedName name="wrn.Employee._.Efficiency." localSheetId="3" hidden="1">{"Employee Efficiency",#N/A,FALSE,"Benchmarking"}</definedName>
    <definedName name="wrn.Employee._.Efficiency." localSheetId="4" hidden="1">{"Employee Efficiency",#N/A,FALSE,"Benchmarking"}</definedName>
    <definedName name="wrn.Employee._.Efficiency." localSheetId="5" hidden="1">{"Employee Efficiency",#N/A,FALSE,"Benchmarking"}</definedName>
    <definedName name="wrn.Employee._.Efficiency." hidden="1">{"Employee Efficiency",#N/A,FALSE,"Benchmarking"}</definedName>
    <definedName name="wrn.equity._.comps." localSheetId="1" hidden="1">{"equity comps",#N/A,FALSE,"CS Comps";"equity comps",#N/A,FALSE,"PS Comps";"equity comps",#N/A,FALSE,"GIC_Comps";"equity comps",#N/A,FALSE,"GIC2_Comps"}</definedName>
    <definedName name="wrn.equity._.comps." localSheetId="3" hidden="1">{"equity comps",#N/A,FALSE,"CS Comps";"equity comps",#N/A,FALSE,"PS Comps";"equity comps",#N/A,FALSE,"GIC_Comps";"equity comps",#N/A,FALSE,"GIC2_Comps"}</definedName>
    <definedName name="wrn.equity._.comps." localSheetId="4" hidden="1">{"equity comps",#N/A,FALSE,"CS Comps";"equity comps",#N/A,FALSE,"PS Comps";"equity comps",#N/A,FALSE,"GIC_Comps";"equity comps",#N/A,FALSE,"GIC2_Comps"}</definedName>
    <definedName name="wrn.equity._.comps." localSheetId="5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stee._.Lauder." localSheetId="1" hidden="1">{"EL",#N/A,FALSE,"Post-Contingency";"EL",#N/A,FALSE,"Contingency";"EL",#N/A,FALSE,"Pre-Contingency";"EL",#N/A,FALSE,"EMA";"EL",#N/A,FALSE,"AP";"EL",#N/A,FALSE,"WH"}</definedName>
    <definedName name="wrn.Estee._.Lauder." localSheetId="3" hidden="1">{"EL",#N/A,FALSE,"Post-Contingency";"EL",#N/A,FALSE,"Contingency";"EL",#N/A,FALSE,"Pre-Contingency";"EL",#N/A,FALSE,"EMA";"EL",#N/A,FALSE,"AP";"EL",#N/A,FALSE,"WH"}</definedName>
    <definedName name="wrn.Estee._.Lauder." localSheetId="4" hidden="1">{"EL",#N/A,FALSE,"Post-Contingency";"EL",#N/A,FALSE,"Contingency";"EL",#N/A,FALSE,"Pre-Contingency";"EL",#N/A,FALSE,"EMA";"EL",#N/A,FALSE,"AP";"EL",#N/A,FALSE,"WH"}</definedName>
    <definedName name="wrn.Estee._.Lauder." localSheetId="5" hidden="1">{"EL",#N/A,FALSE,"Post-Contingency";"EL",#N/A,FALSE,"Contingency";"EL",#N/A,FALSE,"Pre-Contingency";"EL",#N/A,FALSE,"EMA";"EL",#N/A,FALSE,"AP";"EL",#N/A,FALSE,"WH"}</definedName>
    <definedName name="wrn.Estee._.Lauder." hidden="1">{"EL",#N/A,FALSE,"Post-Contingency";"EL",#N/A,FALSE,"Contingency";"EL",#N/A,FALSE,"Pre-Contingency";"EL",#N/A,FALSE,"EMA";"EL",#N/A,FALSE,"AP";"EL",#N/A,FALSE,"WH"}</definedName>
    <definedName name="wrn.EUR4_5_12." localSheetId="1" hidden="1">{"eur4",#N/A,FALSE,"EUR4-5";"eur5",#N/A,FALSE,"EUR4-5";"eur12",#N/A,FALSE,"EUR4-5"}</definedName>
    <definedName name="wrn.EUR4_5_12." localSheetId="3" hidden="1">{"eur4",#N/A,FALSE,"EUR4-5";"eur5",#N/A,FALSE,"EUR4-5";"eur12",#N/A,FALSE,"EUR4-5"}</definedName>
    <definedName name="wrn.EUR4_5_12." localSheetId="4" hidden="1">{"eur4",#N/A,FALSE,"EUR4-5";"eur5",#N/A,FALSE,"EUR4-5";"eur12",#N/A,FALSE,"EUR4-5"}</definedName>
    <definedName name="wrn.EUR4_5_12." localSheetId="5" hidden="1">{"eur4",#N/A,FALSE,"EUR4-5";"eur5",#N/A,FALSE,"EUR4-5";"eur12",#N/A,FALSE,"EUR4-5"}</definedName>
    <definedName name="wrn.EUR4_5_12." hidden="1">{"eur4",#N/A,FALSE,"EUR4-5";"eur5",#N/A,FALSE,"EUR4-5";"eur12",#N/A,FALSE,"EUR4-5"}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1" hidden="1">{"Eur Base Top",#N/A,FALSE,"Europe Base";"Eur Base Bottom",#N/A,FALSE,"Europe Base"}</definedName>
    <definedName name="wrn.Europe._.Base." localSheetId="3" hidden="1">{"Eur Base Top",#N/A,FALSE,"Europe Base";"Eur Base Bottom",#N/A,FALSE,"Europe Base"}</definedName>
    <definedName name="wrn.Europe._.Base." localSheetId="4" hidden="1">{"Eur Base Top",#N/A,FALSE,"Europe Base";"Eur Base Bottom",#N/A,FALSE,"Europe Base"}</definedName>
    <definedName name="wrn.Europe._.Base." localSheetId="5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1" hidden="1">{"IS w Ratios",#N/A,FALSE,"Europe";"PF CF Europe",#N/A,FALSE,"Europe";"DCF Eur Matrix",#N/A,FALSE,"Europe"}</definedName>
    <definedName name="wrn.Europe._.Set." localSheetId="3" hidden="1">{"IS w Ratios",#N/A,FALSE,"Europe";"PF CF Europe",#N/A,FALSE,"Europe";"DCF Eur Matrix",#N/A,FALSE,"Europe"}</definedName>
    <definedName name="wrn.Europe._.Set." localSheetId="4" hidden="1">{"IS w Ratios",#N/A,FALSE,"Europe";"PF CF Europe",#N/A,FALSE,"Europe";"DCF Eur Matrix",#N/A,FALSE,"Europe"}</definedName>
    <definedName name="wrn.Europe._.Set." localSheetId="5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utive._.package." localSheetId="1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3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4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localSheetId="5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ecutive._.package." hidden="1">{#N/A,#N/A,TRUE,"Cover";#N/A,#N/A,TRUE,"Summary";#N/A,#N/A,TRUE,"Geography";#N/A,#N/A,TRUE,"Geographic Economic Contributio";#N/A,#N/A,TRUE,"ROIC Summary";#N/A,#N/A,TRUE,"Channel";#N/A,#N/A,TRUE,"Channel Economic Contribution";#N/A,#N/A,TRUE,"Channel Cont Dollars";#N/A,#N/A,TRUE,"Channel Ranking";#N/A,#N/A,TRUE,"Channel Graphs";#N/A,#N/A,TRUE,"Channel per sub";#N/A,#N/A,TRUE,"ERPU Rate Mix";#N/A,#N/A,TRUE,"Churn obs";#N/A,#N/A,TRUE,"Appendix";#N/A,#N/A,TRUE,"Definitions";#N/A,#N/A,TRUE,"ECPGA";#N/A,#N/A,TRUE,"ECPU"}</definedName>
    <definedName name="wrn.Exports." localSheetId="1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3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4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5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localSheetId="1" hidden="1">{"IS FE with Ratios",#N/A,FALSE,"Far East";"PF CF Far East",#N/A,FALSE,"Far East";"DCF Far East Matrix",#N/A,FALSE,"Far East"}</definedName>
    <definedName name="wrn.Far._.East._.Set." localSheetId="3" hidden="1">{"IS FE with Ratios",#N/A,FALSE,"Far East";"PF CF Far East",#N/A,FALSE,"Far East";"DCF Far East Matrix",#N/A,FALSE,"Far East"}</definedName>
    <definedName name="wrn.Far._.East._.Set." localSheetId="4" hidden="1">{"IS FE with Ratios",#N/A,FALSE,"Far East";"PF CF Far East",#N/A,FALSE,"Far East";"DCF Far East Matrix",#N/A,FALSE,"Far East"}</definedName>
    <definedName name="wrn.Far._.East._.Set." localSheetId="5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E._.Sensitivity." localSheetId="1" hidden="1">{"Far East Top",#N/A,FALSE,"FE Model";"Far East Mid",#N/A,FALSE,"FE Model";"Far East Base",#N/A,FALSE,"FE Model"}</definedName>
    <definedName name="wrn.FE._.Sensitivity." localSheetId="3" hidden="1">{"Far East Top",#N/A,FALSE,"FE Model";"Far East Mid",#N/A,FALSE,"FE Model";"Far East Base",#N/A,FALSE,"FE Model"}</definedName>
    <definedName name="wrn.FE._.Sensitivity." localSheetId="4" hidden="1">{"Far East Top",#N/A,FALSE,"FE Model";"Far East Mid",#N/A,FALSE,"FE Model";"Far East Base",#N/A,FALSE,"FE Model"}</definedName>
    <definedName name="wrn.FE._.Sensitivity." localSheetId="5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inal.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rn.final.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rn.final.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rn.final.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rn.final.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wrn.Final._.Presentation." localSheetId="1" hidden="1">{#N/A,#N/A,FALSE,"Key Business Drivers";#N/A,#N/A,FALSE,"FY98 Headcount";#N/A,#N/A,FALSE,"FY98 Financial Overview";#N/A,#N/A,FALSE,"(OPTIONAL) Additional Requests"}</definedName>
    <definedName name="wrn.Final._.Presentation." localSheetId="3" hidden="1">{#N/A,#N/A,FALSE,"Key Business Drivers";#N/A,#N/A,FALSE,"FY98 Headcount";#N/A,#N/A,FALSE,"FY98 Financial Overview";#N/A,#N/A,FALSE,"(OPTIONAL) Additional Requests"}</definedName>
    <definedName name="wrn.Final._.Presentation." localSheetId="4" hidden="1">{#N/A,#N/A,FALSE,"Key Business Drivers";#N/A,#N/A,FALSE,"FY98 Headcount";#N/A,#N/A,FALSE,"FY98 Financial Overview";#N/A,#N/A,FALSE,"(OPTIONAL) Additional Requests"}</definedName>
    <definedName name="wrn.Final._.Presentation." localSheetId="5" hidden="1">{#N/A,#N/A,FALSE,"Key Business Drivers";#N/A,#N/A,FALSE,"FY98 Headcount";#N/A,#N/A,FALSE,"FY98 Financial Overview";#N/A,#N/A,FALSE,"(OPTIONAL) Additional Requests"}</definedName>
    <definedName name="wrn.Final._.Presentation." hidden="1">{#N/A,#N/A,FALSE,"Key Business Drivers";#N/A,#N/A,FALSE,"FY98 Headcount";#N/A,#N/A,FALSE,"FY98 Financial Overview";#N/A,#N/A,FALSE,"(OPTIONAL) Additional Requests"}</definedName>
    <definedName name="wrn.forecast." localSheetId="1" hidden="1">{#N/A,#N/A,FALSE,"forecast";#N/A,#N/A,FALSE,"Comm - vfb"}</definedName>
    <definedName name="wrn.forecast." localSheetId="3" hidden="1">{#N/A,#N/A,FALSE,"forecast";#N/A,#N/A,FALSE,"Comm - vfb"}</definedName>
    <definedName name="wrn.forecast." localSheetId="4" hidden="1">{#N/A,#N/A,FALSE,"forecast";#N/A,#N/A,FALSE,"Comm - vfb"}</definedName>
    <definedName name="wrn.forecast." localSheetId="5" hidden="1">{#N/A,#N/A,FALSE,"forecast";#N/A,#N/A,FALSE,"Comm - vfb"}</definedName>
    <definedName name="wrn.forecast." hidden="1">{#N/A,#N/A,FALSE,"forecast";#N/A,#N/A,FALSE,"Comm - vfb"}</definedName>
    <definedName name="wrn.FRONT." localSheetId="1" hidden="1">{"COVER_ALL",#N/A,FALSE,"COVER_INDEX"}</definedName>
    <definedName name="wrn.FRONT." localSheetId="3" hidden="1">{"COVER_ALL",#N/A,FALSE,"COVER_INDEX"}</definedName>
    <definedName name="wrn.FRONT." localSheetId="4" hidden="1">{"COVER_ALL",#N/A,FALSE,"COVER_INDEX"}</definedName>
    <definedName name="wrn.FRONT." localSheetId="5" hidden="1">{"COVER_ALL",#N/A,FALSE,"COVER_INDEX"}</definedName>
    <definedName name="wrn.FRONT." hidden="1">{"COVER_ALL",#N/A,FALSE,"COVER_INDEX"}</definedName>
    <definedName name="wrn.FULL." localSheetId="1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wrn.FULL." localSheetId="3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wrn.FULL." localSheetId="4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wrn.FULL." localSheetId="5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wrn.FULL." hidden="1">{#N/A,#N/A,FALSE,"COMPWITH ";#N/A,#N/A,FALSE,"PROFORMA";#N/A,#N/A,FALSE,"COMPWO";#N/A,#N/A,FALSE,"LII";#N/A,#N/A,FALSE,"global";#N/A,#N/A,FALSE,"oio";#N/A,#N/A,FALSE,"M.A.C.";#N/A,#N/A,FALSE,"DOMCOMB";#N/A,#N/A,FALSE,"CANADA";#N/A,#N/A,FALSE,"PRICO";#N/A,#N/A,FALSE,"USCOMB";#N/A,#N/A,FALSE,"el usa";#N/A,#N/A,FALSE,"cl usa";#N/A,#N/A,FALSE,"px comb";#N/A,#N/A,FALSE,"px usa";#N/A,#N/A,FALSE,"px canada";#N/A,#N/A,FALSE,"ar usa";#N/A,#N/A,FALSE,"or consol";#N/A,#N/A,FALSE,"or dept";#N/A,#N/A,FALSE,"or ret";#N/A,#N/A,FALSE,"or info";#N/A,#N/A,FALSE,"el mgmt";#N/A,#N/A,FALSE,"corp&amp;adj";#N/A,#N/A,FALSE,"intl comb";#N/A,#N/A,FALSE,"el intl";#N/A,#N/A,FALSE,"cl intl ";#N/A,#N/A,FALSE,"px intl ";#N/A,#N/A,FALSE,"ar intl ";#N/A,#N/A,FALSE,"or intl  ";#N/A,#N/A,FALSE,"adj intl  "}</definedName>
    <definedName name="wrn.Full._.model." localSheetId="1" hidden="1">{#N/A,#N/A,TRUE,"Cover sheet";#N/A,#N/A,TRUE,"DCF analysis";#N/A,#N/A,TRUE,"WACC calculation"}</definedName>
    <definedName name="wrn.Full._.model." localSheetId="3" hidden="1">{#N/A,#N/A,TRUE,"Cover sheet";#N/A,#N/A,TRUE,"DCF analysis";#N/A,#N/A,TRUE,"WACC calculation"}</definedName>
    <definedName name="wrn.Full._.model." localSheetId="4" hidden="1">{#N/A,#N/A,TRUE,"Cover sheet";#N/A,#N/A,TRUE,"DCF analysis";#N/A,#N/A,TRUE,"WACC calculation"}</definedName>
    <definedName name="wrn.Full._.model." localSheetId="5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Model._.Print._.Out." localSheetId="1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Model._.Print._.Out." localSheetId="3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Model._.Print._.Out." localSheetId="4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Model._.Print._.Out." localSheetId="5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Model._.Print._.Out." hidden="1">{"Model Print Out Pages 1 - 3",#N/A,FALSE,"Summary";"Model Print Out - Pages 4-5",#N/A,FALSE,"Financial Releases";"Model Print Out - Pages 6 - 13",#N/A,FALSE,"Financial Statements";"Model Print Out - Pages 14 to 18",#N/A,FALSE,"Sales Analysis";"Model Print Out - Pages 19 to 26",#N/A,FALSE,"Brand Analysis";"Model Print Out - 26 to 29",#N/A,FALSE,"Forex"}</definedName>
    <definedName name="wrn.Full._.without._.data.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imp." localSheetId="1" hidden="1">{"vue1",#N/A,FALSE,"synthese";"vue2",#N/A,FALSE,"synthese"}</definedName>
    <definedName name="wrn.imp." localSheetId="3" hidden="1">{"vue1",#N/A,FALSE,"synthese";"vue2",#N/A,FALSE,"synthese"}</definedName>
    <definedName name="wrn.imp." localSheetId="4" hidden="1">{"vue1",#N/A,FALSE,"synthese";"vue2",#N/A,FALSE,"synthese"}</definedName>
    <definedName name="wrn.imp." localSheetId="5" hidden="1">{"vue1",#N/A,FALSE,"synthese";"vue2",#N/A,FALSE,"synthese"}</definedName>
    <definedName name="wrn.imp." hidden="1">{"vue1",#N/A,FALSE,"synthese";"vue2",#N/A,FALSE,"synthese"}</definedName>
    <definedName name="wrn.Input_Adj." localSheetId="1" hidden="1">{"Input_Adjustments",#N/A,FALSE,"ARP200 EL"}</definedName>
    <definedName name="wrn.Input_Adj." localSheetId="3" hidden="1">{"Input_Adjustments",#N/A,FALSE,"ARP200 EL"}</definedName>
    <definedName name="wrn.Input_Adj." localSheetId="4" hidden="1">{"Input_Adjustments",#N/A,FALSE,"ARP200 EL"}</definedName>
    <definedName name="wrn.Input_Adj." localSheetId="5" hidden="1">{"Input_Adjustments",#N/A,FALSE,"ARP200 EL"}</definedName>
    <definedName name="wrn.Input_Adj." hidden="1">{"Input_Adjustments",#N/A,FALSE,"ARP200 EL"}</definedName>
    <definedName name="wrn.international.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4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L." localSheetId="1" hidden="1">{#N/A,#N/A,FALSE,"intl comb";#N/A,#N/A,FALSE,"el intl";#N/A,#N/A,FALSE,"cl intl ";#N/A,#N/A,FALSE,"px intl ";#N/A,#N/A,FALSE,"ar intl ";#N/A,#N/A,FALSE,"or intl  ";#N/A,#N/A,FALSE,"adj intl  "}</definedName>
    <definedName name="wrn.INTL." localSheetId="3" hidden="1">{#N/A,#N/A,FALSE,"intl comb";#N/A,#N/A,FALSE,"el intl";#N/A,#N/A,FALSE,"cl intl ";#N/A,#N/A,FALSE,"px intl ";#N/A,#N/A,FALSE,"ar intl ";#N/A,#N/A,FALSE,"or intl  ";#N/A,#N/A,FALSE,"adj intl  "}</definedName>
    <definedName name="wrn.INTL." localSheetId="4" hidden="1">{#N/A,#N/A,FALSE,"intl comb";#N/A,#N/A,FALSE,"el intl";#N/A,#N/A,FALSE,"cl intl ";#N/A,#N/A,FALSE,"px intl ";#N/A,#N/A,FALSE,"ar intl ";#N/A,#N/A,FALSE,"or intl  ";#N/A,#N/A,FALSE,"adj intl  "}</definedName>
    <definedName name="wrn.INTL." localSheetId="5" hidden="1">{#N/A,#N/A,FALSE,"intl comb";#N/A,#N/A,FALSE,"el intl";#N/A,#N/A,FALSE,"cl intl ";#N/A,#N/A,FALSE,"px intl ";#N/A,#N/A,FALSE,"ar intl ";#N/A,#N/A,FALSE,"or intl  ";#N/A,#N/A,FALSE,"adj intl  "}</definedName>
    <definedName name="wrn.INTL." hidden="1">{#N/A,#N/A,FALSE,"intl comb";#N/A,#N/A,FALSE,"el intl";#N/A,#N/A,FALSE,"cl intl ";#N/A,#N/A,FALSE,"px intl ";#N/A,#N/A,FALSE,"ar intl ";#N/A,#N/A,FALSE,"or intl  ";#N/A,#N/A,FALSE,"adj intl  "}</definedName>
    <definedName name="wrn.Italy." localSheetId="1" hidden="1">{#N/A,#N/A,FALSE,"Italy";#N/A,#N/A,FALSE,"Aperol Italy";#N/A,#N/A,FALSE,"Aperol Soda Italy";#N/A,#N/A,FALSE,"Spumanti";#N/A,#N/A,FALSE,"Barbieri Liqueur Italy";#N/A,#N/A,FALSE,"Others Italy"}</definedName>
    <definedName name="wrn.Italy." localSheetId="3" hidden="1">{#N/A,#N/A,FALSE,"Italy";#N/A,#N/A,FALSE,"Aperol Italy";#N/A,#N/A,FALSE,"Aperol Soda Italy";#N/A,#N/A,FALSE,"Spumanti";#N/A,#N/A,FALSE,"Barbieri Liqueur Italy";#N/A,#N/A,FALSE,"Others Italy"}</definedName>
    <definedName name="wrn.Italy." localSheetId="4" hidden="1">{#N/A,#N/A,FALSE,"Italy";#N/A,#N/A,FALSE,"Aperol Italy";#N/A,#N/A,FALSE,"Aperol Soda Italy";#N/A,#N/A,FALSE,"Spumanti";#N/A,#N/A,FALSE,"Barbieri Liqueur Italy";#N/A,#N/A,FALSE,"Others Italy"}</definedName>
    <definedName name="wrn.Italy." localSheetId="5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localSheetId="1" hidden="1">{"JG FE Top",#N/A,FALSE,"JG FE $";"JG FE Bottom",#N/A,FALSE,"JG FE $"}</definedName>
    <definedName name="wrn.JG._.FE._.Dollar." localSheetId="3" hidden="1">{"JG FE Top",#N/A,FALSE,"JG FE $";"JG FE Bottom",#N/A,FALSE,"JG FE $"}</definedName>
    <definedName name="wrn.JG._.FE._.Dollar." localSheetId="4" hidden="1">{"JG FE Top",#N/A,FALSE,"JG FE $";"JG FE Bottom",#N/A,FALSE,"JG FE $"}</definedName>
    <definedName name="wrn.JG._.FE._.Dollar." localSheetId="5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1" hidden="1">{"JG FE Top",#N/A,FALSE,"JG FE ¥";"JG FE Bottom",#N/A,FALSE,"JG FE ¥"}</definedName>
    <definedName name="wrn.JG._.FE._.Yen." localSheetId="3" hidden="1">{"JG FE Top",#N/A,FALSE,"JG FE ¥";"JG FE Bottom",#N/A,FALSE,"JG FE ¥"}</definedName>
    <definedName name="wrn.JG._.FE._.Yen." localSheetId="4" hidden="1">{"JG FE Top",#N/A,FALSE,"JG FE ¥";"JG FE Bottom",#N/A,FALSE,"JG FE ¥"}</definedName>
    <definedName name="wrn.JG._.FE._.Yen." localSheetId="5" hidden="1">{"JG FE Top",#N/A,FALSE,"JG FE ¥";"JG FE Bottom",#N/A,FALSE,"JG FE ¥"}</definedName>
    <definedName name="wrn.JG._.FE._.Yen." hidden="1">{"JG FE Top",#N/A,FALSE,"JG FE ¥";"JG FE Bottom",#N/A,FALSE,"JG FE ¥"}</definedName>
    <definedName name="wrn.lbo." localSheetId="1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4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5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localSheetId="1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4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5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1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4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5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wers." localSheetId="1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." localSheetId="3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." localSheetId="4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." localSheetId="5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.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II." localSheetId="1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ewersII." localSheetId="3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ewersII." localSheetId="4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ewersII." localSheetId="5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ewersII.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h97." localSheetId="1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3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4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5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localSheetId="1" hidden="1">{"Line Efficiency",#N/A,FALSE,"Benchmarking"}</definedName>
    <definedName name="wrn.Line._.Efficiency." localSheetId="3" hidden="1">{"Line Efficiency",#N/A,FALSE,"Benchmarking"}</definedName>
    <definedName name="wrn.Line._.Efficiency." localSheetId="4" hidden="1">{"Line Efficiency",#N/A,FALSE,"Benchmarking"}</definedName>
    <definedName name="wrn.Line._.Efficiency." localSheetId="5" hidden="1">{"Line Efficiency",#N/A,FALSE,"Benchmarking"}</definedName>
    <definedName name="wrn.Line._.Efficiency." hidden="1">{"Line Efficiency",#N/A,FALSE,"Benchmarking"}</definedName>
    <definedName name="wrn.MAC." localSheetId="1" hidden="1">{"MAC",#N/A,FALSE,"Post-Contingency";"MAC",#N/A,FALSE,"Contingency";"MAC",#N/A,FALSE,"Pre-Contingency";"MAC",#N/A,FALSE,"EMA";"MAC",#N/A,FALSE,"AP";"MAC",#N/A,FALSE,"WH"}</definedName>
    <definedName name="wrn.MAC." localSheetId="3" hidden="1">{"MAC",#N/A,FALSE,"Post-Contingency";"MAC",#N/A,FALSE,"Contingency";"MAC",#N/A,FALSE,"Pre-Contingency";"MAC",#N/A,FALSE,"EMA";"MAC",#N/A,FALSE,"AP";"MAC",#N/A,FALSE,"WH"}</definedName>
    <definedName name="wrn.MAC." localSheetId="4" hidden="1">{"MAC",#N/A,FALSE,"Post-Contingency";"MAC",#N/A,FALSE,"Contingency";"MAC",#N/A,FALSE,"Pre-Contingency";"MAC",#N/A,FALSE,"EMA";"MAC",#N/A,FALSE,"AP";"MAC",#N/A,FALSE,"WH"}</definedName>
    <definedName name="wrn.MAC." localSheetId="5" hidden="1">{"MAC",#N/A,FALSE,"Post-Contingency";"MAC",#N/A,FALSE,"Contingency";"MAC",#N/A,FALSE,"Pre-Contingency";"MAC",#N/A,FALSE,"EMA";"MAC",#N/A,FALSE,"AP";"MAC",#N/A,FALSE,"WH"}</definedName>
    <definedName name="wrn.MAC." hidden="1">{"MAC",#N/A,FALSE,"Post-Contingency";"MAC",#N/A,FALSE,"Contingency";"MAC",#N/A,FALSE,"Pre-Contingency";"MAC",#N/A,FALSE,"EMA";"MAC",#N/A,FALSE,"AP";"MAC",#N/A,FALSE,"WH"}</definedName>
    <definedName name="wrn.mario" localSheetId="1" hidden="1">{"Area1",#N/A,TRUE,"Obiettivo";"Area2",#N/A,TRUE,"Dati per Direzione"}</definedName>
    <definedName name="wrn.mario" localSheetId="3" hidden="1">{"Area1",#N/A,TRUE,"Obiettivo";"Area2",#N/A,TRUE,"Dati per Direzione"}</definedName>
    <definedName name="wrn.mario" localSheetId="4" hidden="1">{"Area1",#N/A,TRUE,"Obiettivo";"Area2",#N/A,TRUE,"Dati per Direzione"}</definedName>
    <definedName name="wrn.mario" localSheetId="5" hidden="1">{"Area1",#N/A,TRUE,"Obiettivo";"Area2",#N/A,TRUE,"Dati per Direzione"}</definedName>
    <definedName name="wrn.mario" hidden="1">{"Area1",#N/A,TRUE,"Obiettivo";"Area2",#N/A,TRUE,"Dati per Direzione"}</definedName>
    <definedName name="wrn.Mario." localSheetId="1" hidden="1">{"Area1",#N/A,TRUE,"Obiettivo";"Area2",#N/A,TRUE,"Dati per Direzione"}</definedName>
    <definedName name="wrn.Mario." localSheetId="3" hidden="1">{"Area1",#N/A,TRUE,"Obiettivo";"Area2",#N/A,TRUE,"Dati per Direzione"}</definedName>
    <definedName name="wrn.Mario." localSheetId="4" hidden="1">{"Area1",#N/A,TRUE,"Obiettivo";"Area2",#N/A,TRUE,"Dati per Direzione"}</definedName>
    <definedName name="wrn.Mario." localSheetId="5" hidden="1">{"Area1",#N/A,TRUE,"Obiettivo";"Area2",#N/A,TRUE,"Dati per Direzione"}</definedName>
    <definedName name="wrn.Mario." hidden="1">{"Area1",#N/A,TRUE,"Obiettivo";"Area2",#N/A,TRUE,"Dati per Direzione"}</definedName>
    <definedName name="wrn.memo." localSheetId="1" hidden="1">{#N/A,#N/A,TRUE,"financial";#N/A,#N/A,TRUE,"plants"}</definedName>
    <definedName name="wrn.memo." localSheetId="3" hidden="1">{#N/A,#N/A,TRUE,"financial";#N/A,#N/A,TRUE,"plants"}</definedName>
    <definedName name="wrn.memo." localSheetId="4" hidden="1">{#N/A,#N/A,TRUE,"financial";#N/A,#N/A,TRUE,"plants"}</definedName>
    <definedName name="wrn.memo." localSheetId="5" hidden="1">{#N/A,#N/A,TRUE,"financial";#N/A,#N/A,TRUE,"plants"}</definedName>
    <definedName name="wrn.memo." hidden="1">{#N/A,#N/A,TRUE,"financial";#N/A,#N/A,TRUE,"plants"}</definedName>
    <definedName name="wrn.merger.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5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ONTHLY._.ESTIMATES." localSheetId="1" hidden="1">{"ELUSA",#N/A,FALSE,"EL"}</definedName>
    <definedName name="wrn.MONTHLY._.ESTIMATES." localSheetId="3" hidden="1">{"ELUSA",#N/A,FALSE,"EL"}</definedName>
    <definedName name="wrn.MONTHLY._.ESTIMATES." localSheetId="4" hidden="1">{"ELUSA",#N/A,FALSE,"EL"}</definedName>
    <definedName name="wrn.MONTHLY._.ESTIMATES." localSheetId="5" hidden="1">{"ELUSA",#N/A,FALSE,"EL"}</definedName>
    <definedName name="wrn.MONTHLY._.ESTIMATES." hidden="1">{"ELUSA",#N/A,FALSE,"EL"}</definedName>
    <definedName name="wrn.Monthly_Detail." localSheetId="1" hidden="1">{"monthly",#N/A,FALSE,"ARP200 EL"}</definedName>
    <definedName name="wrn.Monthly_Detail." localSheetId="3" hidden="1">{"monthly",#N/A,FALSE,"ARP200 EL"}</definedName>
    <definedName name="wrn.Monthly_Detail." localSheetId="4" hidden="1">{"monthly",#N/A,FALSE,"ARP200 EL"}</definedName>
    <definedName name="wrn.Monthly_Detail." localSheetId="5" hidden="1">{"monthly",#N/A,FALSE,"ARP200 EL"}</definedName>
    <definedName name="wrn.Monthly_Detail." hidden="1">{"monthly",#N/A,FALSE,"ARP200 EL"}</definedName>
    <definedName name="wrn.NA._.Model._.T._.and._.B." localSheetId="1" hidden="1">{"NA Top",#N/A,FALSE,"NA Model";"NA Bottom",#N/A,FALSE,"NA Model"}</definedName>
    <definedName name="wrn.NA._.Model._.T._.and._.B." localSheetId="3" hidden="1">{"NA Top",#N/A,FALSE,"NA Model";"NA Bottom",#N/A,FALSE,"NA Model"}</definedName>
    <definedName name="wrn.NA._.Model._.T._.and._.B." localSheetId="4" hidden="1">{"NA Top",#N/A,FALSE,"NA Model";"NA Bottom",#N/A,FALSE,"NA Model"}</definedName>
    <definedName name="wrn.NA._.Model._.T._.and._.B." localSheetId="5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1" hidden="1">{"NA Top",#N/A,FALSE,"NA-ULV";"NA Bottom",#N/A,FALSE,"NA-ULV"}</definedName>
    <definedName name="wrn.NA_ULV._.Tand._.B." localSheetId="3" hidden="1">{"NA Top",#N/A,FALSE,"NA-ULV";"NA Bottom",#N/A,FALSE,"NA-ULV"}</definedName>
    <definedName name="wrn.NA_ULV._.Tand._.B." localSheetId="4" hidden="1">{"NA Top",#N/A,FALSE,"NA-ULV";"NA Bottom",#N/A,FALSE,"NA-ULV"}</definedName>
    <definedName name="wrn.NA_ULV._.Tand._.B." localSheetId="5" hidden="1">{"NA Top",#N/A,FALSE,"NA-ULV";"NA Bottom",#N/A,FALSE,"NA-ULV"}</definedName>
    <definedName name="wrn.NA_ULV._.Tand._.B." hidden="1">{"NA Top",#N/A,FALSE,"NA-ULV";"NA Bottom",#N/A,FALSE,"NA-ULV"}</definedName>
    <definedName name="wrn.Normal." localSheetId="1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localSheetId="3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localSheetId="4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localSheetId="5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_.Set." localSheetId="1" hidden="1">{"NA Is w Ratios",#N/A,FALSE,"North America";"PF CFlow NA",#N/A,FALSE,"North America";"NA DCF Matrix",#N/A,FALSE,"North America"}</definedName>
    <definedName name="wrn.North._.America._.Set." localSheetId="3" hidden="1">{"NA Is w Ratios",#N/A,FALSE,"North America";"PF CFlow NA",#N/A,FALSE,"North America";"NA DCF Matrix",#N/A,FALSE,"North America"}</definedName>
    <definedName name="wrn.North._.America._.Set." localSheetId="4" hidden="1">{"NA Is w Ratios",#N/A,FALSE,"North America";"PF CFlow NA",#N/A,FALSE,"North America";"NA DCF Matrix",#N/A,FALSE,"North America"}</definedName>
    <definedName name="wrn.North._.America._.Set." localSheetId="5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Origins." localSheetId="1" hidden="1">{"OR",#N/A,FALSE,"Post-Contingency";"OR",#N/A,FALSE,"Contingency";"OR",#N/A,FALSE,"Pre-Contingency";"OR",#N/A,FALSE,"EMA";"OR",#N/A,FALSE,"WH";"OR",#N/A,FALSE,"AP"}</definedName>
    <definedName name="wrn.Origins." localSheetId="3" hidden="1">{"OR",#N/A,FALSE,"Post-Contingency";"OR",#N/A,FALSE,"Contingency";"OR",#N/A,FALSE,"Pre-Contingency";"OR",#N/A,FALSE,"EMA";"OR",#N/A,FALSE,"WH";"OR",#N/A,FALSE,"AP"}</definedName>
    <definedName name="wrn.Origins." localSheetId="4" hidden="1">{"OR",#N/A,FALSE,"Post-Contingency";"OR",#N/A,FALSE,"Contingency";"OR",#N/A,FALSE,"Pre-Contingency";"OR",#N/A,FALSE,"EMA";"OR",#N/A,FALSE,"WH";"OR",#N/A,FALSE,"AP"}</definedName>
    <definedName name="wrn.Origins." localSheetId="5" hidden="1">{"OR",#N/A,FALSE,"Post-Contingency";"OR",#N/A,FALSE,"Contingency";"OR",#N/A,FALSE,"Pre-Contingency";"OR",#N/A,FALSE,"EMA";"OR",#N/A,FALSE,"WH";"OR",#N/A,FALSE,"AP"}</definedName>
    <definedName name="wrn.Origins." hidden="1">{"OR",#N/A,FALSE,"Post-Contingency";"OR",#N/A,FALSE,"Contingency";"OR",#N/A,FALSE,"Pre-Contingency";"OR",#N/A,FALSE,"EMA";"OR",#N/A,FALSE,"WH";"OR",#N/A,FALSE,"AP"}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bscf." localSheetId="1" hidden="1">{"p_l",#N/A,FALSE,"Summary Accounts"}</definedName>
    <definedName name="wrn.plbscf." localSheetId="3" hidden="1">{"p_l",#N/A,FALSE,"Summary Accounts"}</definedName>
    <definedName name="wrn.plbscf." localSheetId="4" hidden="1">{"p_l",#N/A,FALSE,"Summary Accounts"}</definedName>
    <definedName name="wrn.plbscf." localSheetId="5" hidden="1">{"p_l",#N/A,FALSE,"Summary Accounts"}</definedName>
    <definedName name="wrn.plbscf." hidden="1">{"p_l",#N/A,FALSE,"Summary Accounts"}</definedName>
    <definedName name="wrn.Post_Contingency." localSheetId="1" hidden="1">{"Printall Post Contingency",#N/A,FALSE,"Post-Contingency"}</definedName>
    <definedName name="wrn.Post_Contingency." localSheetId="3" hidden="1">{"Printall Post Contingency",#N/A,FALSE,"Post-Contingency"}</definedName>
    <definedName name="wrn.Post_Contingency." localSheetId="4" hidden="1">{"Printall Post Contingency",#N/A,FALSE,"Post-Contingency"}</definedName>
    <definedName name="wrn.Post_Contingency." localSheetId="5" hidden="1">{"Printall Post Contingency",#N/A,FALSE,"Post-Contingency"}</definedName>
    <definedName name="wrn.Post_Contingency." hidden="1">{"Printall Post Contingency",#N/A,FALSE,"Post-Contingency"}</definedName>
    <definedName name="wrn.Pre_Contingency." localSheetId="1" hidden="1">{"Printall Pre Contingency",#N/A,FALSE,"Pre-Contingency"}</definedName>
    <definedName name="wrn.Pre_Contingency." localSheetId="3" hidden="1">{"Printall Pre Contingency",#N/A,FALSE,"Pre-Contingency"}</definedName>
    <definedName name="wrn.Pre_Contingency." localSheetId="4" hidden="1">{"Printall Pre Contingency",#N/A,FALSE,"Pre-Contingency"}</definedName>
    <definedName name="wrn.Pre_Contingency." localSheetId="5" hidden="1">{"Printall Pre Contingency",#N/A,FALSE,"Pre-Contingency"}</definedName>
    <definedName name="wrn.Pre_Contingency." hidden="1">{"Printall Pre Contingency",#N/A,FALSE,"Pre-Contingency"}</definedName>
    <definedName name="wrn.PRELIM." localSheetId="1" hidden="1">{#N/A,#N/A,FALSE,"EX_A";#N/A,#N/A,FALSE,"EX_A.1";#N/A,#N/A,FALSE,"EX_B"}</definedName>
    <definedName name="wrn.PRELIM." localSheetId="3" hidden="1">{#N/A,#N/A,FALSE,"EX_A";#N/A,#N/A,FALSE,"EX_A.1";#N/A,#N/A,FALSE,"EX_B"}</definedName>
    <definedName name="wrn.PRELIM." localSheetId="4" hidden="1">{#N/A,#N/A,FALSE,"EX_A";#N/A,#N/A,FALSE,"EX_A.1";#N/A,#N/A,FALSE,"EX_B"}</definedName>
    <definedName name="wrn.PRELIM." localSheetId="5" hidden="1">{#N/A,#N/A,FALSE,"EX_A";#N/A,#N/A,FALSE,"EX_A.1";#N/A,#N/A,FALSE,"EX_B"}</definedName>
    <definedName name="wrn.PRELIM." hidden="1">{#N/A,#N/A,FALSE,"EX_A";#N/A,#N/A,FALSE,"EX_A.1";#N/A,#N/A,FALSE,"EX_B"}</definedName>
    <definedName name="wrn.Prescriptives." localSheetId="1" hidden="1">{"PR",#N/A,FALSE,"Post-Contingency";"PR",#N/A,FALSE,"Contingency";"PR",#N/A,FALSE,"Pre-Contingency";"PR",#N/A,FALSE,"EMA";"PR",#N/A,FALSE,"AP";"PR",#N/A,FALSE,"WH"}</definedName>
    <definedName name="wrn.Prescriptives." localSheetId="3" hidden="1">{"PR",#N/A,FALSE,"Post-Contingency";"PR",#N/A,FALSE,"Contingency";"PR",#N/A,FALSE,"Pre-Contingency";"PR",#N/A,FALSE,"EMA";"PR",#N/A,FALSE,"AP";"PR",#N/A,FALSE,"WH"}</definedName>
    <definedName name="wrn.Prescriptives." localSheetId="4" hidden="1">{"PR",#N/A,FALSE,"Post-Contingency";"PR",#N/A,FALSE,"Contingency";"PR",#N/A,FALSE,"Pre-Contingency";"PR",#N/A,FALSE,"EMA";"PR",#N/A,FALSE,"AP";"PR",#N/A,FALSE,"WH"}</definedName>
    <definedName name="wrn.Prescriptives." localSheetId="5" hidden="1">{"PR",#N/A,FALSE,"Post-Contingency";"PR",#N/A,FALSE,"Contingency";"PR",#N/A,FALSE,"Pre-Contingency";"PR",#N/A,FALSE,"EMA";"PR",#N/A,FALSE,"AP";"PR",#N/A,FALSE,"WH"}</definedName>
    <definedName name="wrn.Prescriptives." hidden="1">{"PR",#N/A,FALSE,"Post-Contingency";"PR",#N/A,FALSE,"Contingency";"PR",#N/A,FALSE,"Pre-Contingency";"PR",#N/A,FALSE,"EMA";"PR",#N/A,FALSE,"AP";"PR",#N/A,FALSE,"WH"}</definedName>
    <definedName name="wrn.PRESENTATION." localSheetId="1" hidden="1">{#N/A,#N/A,TRUE,"PRODUCTION CAPEX OVERVIEW";#N/A,#N/A,TRUE,"Affiliate Detail";#N/A,#N/A,TRUE,"CAPEX PLANNING OVERVIEW"}</definedName>
    <definedName name="wrn.PRESENTATION." localSheetId="3" hidden="1">{#N/A,#N/A,TRUE,"PRODUCTION CAPEX OVERVIEW";#N/A,#N/A,TRUE,"Affiliate Detail";#N/A,#N/A,TRUE,"CAPEX PLANNING OVERVIEW"}</definedName>
    <definedName name="wrn.PRESENTATION." localSheetId="4" hidden="1">{#N/A,#N/A,TRUE,"PRODUCTION CAPEX OVERVIEW";#N/A,#N/A,TRUE,"Affiliate Detail";#N/A,#N/A,TRUE,"CAPEX PLANNING OVERVIEW"}</definedName>
    <definedName name="wrn.PRESENTATION." localSheetId="5" hidden="1">{#N/A,#N/A,TRUE,"PRODUCTION CAPEX OVERVIEW";#N/A,#N/A,TRUE,"Affiliate Detail";#N/A,#N/A,TRUE,"CAPEX PLANNING OVERVIEW"}</definedName>
    <definedName name="wrn.PRESENTATION." hidden="1">{#N/A,#N/A,TRUE,"PRODUCTION CAPEX OVERVIEW";#N/A,#N/A,TRUE,"Affiliate Detail";#N/A,#N/A,TRUE,"CAPEX PLANNING OVERVIEW"}</definedName>
    <definedName name="wrn.PrimeCo." localSheetId="1" hidden="1">{"print 1",#N/A,FALSE,"PrimeCo PCS";"print 2",#N/A,FALSE,"PrimeCo PCS";"valuation",#N/A,FALSE,"PrimeCo PCS"}</definedName>
    <definedName name="wrn.PrimeCo." localSheetId="3" hidden="1">{"print 1",#N/A,FALSE,"PrimeCo PCS";"print 2",#N/A,FALSE,"PrimeCo PCS";"valuation",#N/A,FALSE,"PrimeCo PCS"}</definedName>
    <definedName name="wrn.PrimeCo." localSheetId="4" hidden="1">{"print 1",#N/A,FALSE,"PrimeCo PCS";"print 2",#N/A,FALSE,"PrimeCo PCS";"valuation",#N/A,FALSE,"PrimeCo PCS"}</definedName>
    <definedName name="wrn.PrimeCo." localSheetId="5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cipal." localSheetId="1" hidden="1">{#N/A,#N/A,FALSE,"Principal";#N/A,#N/A,FALSE,"Principal2"}</definedName>
    <definedName name="wrn.Principal." localSheetId="3" hidden="1">{#N/A,#N/A,FALSE,"Principal";#N/A,#N/A,FALSE,"Principal2"}</definedName>
    <definedName name="wrn.Principal." localSheetId="4" hidden="1">{#N/A,#N/A,FALSE,"Principal";#N/A,#N/A,FALSE,"Principal2"}</definedName>
    <definedName name="wrn.Principal." localSheetId="5" hidden="1">{#N/A,#N/A,FALSE,"Principal";#N/A,#N/A,FALSE,"Principal2"}</definedName>
    <definedName name="wrn.Principal." hidden="1">{#N/A,#N/A,FALSE,"Principal";#N/A,#N/A,FALSE,"Principal2"}</definedName>
    <definedName name="wrn.print." localSheetId="1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localSheetId="3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localSheetId="4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localSheetId="5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localSheetId="1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localSheetId="3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localSheetId="4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localSheetId="5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all.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int._.Europe._.TandB." localSheetId="1" hidden="1">{"Print Top",#N/A,FALSE,"Europe Model";"Print Bottom",#N/A,FALSE,"Europe Model"}</definedName>
    <definedName name="wrn.Print._.Europe._.TandB." localSheetId="3" hidden="1">{"Print Top",#N/A,FALSE,"Europe Model";"Print Bottom",#N/A,FALSE,"Europe Model"}</definedName>
    <definedName name="wrn.Print._.Europe._.TandB." localSheetId="4" hidden="1">{"Print Top",#N/A,FALSE,"Europe Model";"Print Bottom",#N/A,FALSE,"Europe Model"}</definedName>
    <definedName name="wrn.Print._.Europe._.TandB." localSheetId="5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Everything." localSheetId="1" hidden="1">{"Printall Post Contingency",#N/A,FALSE,"Post-Contingency";"Printall Contingency",#N/A,FALSE,"Contingency";"Printall Pre Contingency",#N/A,FALSE,"Pre-Contingency";"Printall EMA",#N/A,FALSE,"EMA";"Printall WH",#N/A,FALSE,"WH";"Printall AP",#N/A,FALSE,"AP"}</definedName>
    <definedName name="wrn.Print._.Everything." localSheetId="3" hidden="1">{"Printall Post Contingency",#N/A,FALSE,"Post-Contingency";"Printall Contingency",#N/A,FALSE,"Contingency";"Printall Pre Contingency",#N/A,FALSE,"Pre-Contingency";"Printall EMA",#N/A,FALSE,"EMA";"Printall WH",#N/A,FALSE,"WH";"Printall AP",#N/A,FALSE,"AP"}</definedName>
    <definedName name="wrn.Print._.Everything." localSheetId="4" hidden="1">{"Printall Post Contingency",#N/A,FALSE,"Post-Contingency";"Printall Contingency",#N/A,FALSE,"Contingency";"Printall Pre Contingency",#N/A,FALSE,"Pre-Contingency";"Printall EMA",#N/A,FALSE,"EMA";"Printall WH",#N/A,FALSE,"WH";"Printall AP",#N/A,FALSE,"AP"}</definedName>
    <definedName name="wrn.Print._.Everything." localSheetId="5" hidden="1">{"Printall Post Contingency",#N/A,FALSE,"Post-Contingency";"Printall Contingency",#N/A,FALSE,"Contingency";"Printall Pre Contingency",#N/A,FALSE,"Pre-Contingency";"Printall EMA",#N/A,FALSE,"EMA";"Printall WH",#N/A,FALSE,"WH";"Printall AP",#N/A,FALSE,"AP"}</definedName>
    <definedName name="wrn.Print._.Everything." hidden="1">{"Printall Post Contingency",#N/A,FALSE,"Post-Contingency";"Printall Contingency",#N/A,FALSE,"Contingency";"Printall Pre Contingency",#N/A,FALSE,"Pre-Contingency";"Printall EMA",#N/A,FALSE,"EMA";"Printall WH",#N/A,FALSE,"WH";"Printall AP",#N/A,FALSE,"AP"}</definedName>
    <definedName name="wrn.Print._.FE._.T._.and._.B." localSheetId="1" hidden="1">{"Far East Top",#N/A,FALSE,"FE Model";"Far East Bottom",#N/A,FALSE,"FE Model"}</definedName>
    <definedName name="wrn.Print._.FE._.T._.and._.B." localSheetId="3" hidden="1">{"Far East Top",#N/A,FALSE,"FE Model";"Far East Bottom",#N/A,FALSE,"FE Model"}</definedName>
    <definedName name="wrn.Print._.FE._.T._.and._.B." localSheetId="4" hidden="1">{"Far East Top",#N/A,FALSE,"FE Model";"Far East Bottom",#N/A,FALSE,"FE Model"}</definedName>
    <definedName name="wrn.Print._.FE._.T._.and._.B." localSheetId="5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pages." localSheetId="1" hidden="1">{#N/A,#N/A,FALSE,"Spain MKT";#N/A,#N/A,FALSE,"Assumptions";#N/A,#N/A,FALSE,"Adve";#N/A,#N/A,FALSE,"E-Commerce";#N/A,#N/A,FALSE,"Opex";#N/A,#N/A,FALSE,"P&amp;L";#N/A,#N/A,FALSE,"FCF &amp; DCF"}</definedName>
    <definedName name="wrn.print._.pages." localSheetId="3" hidden="1">{#N/A,#N/A,FALSE,"Spain MKT";#N/A,#N/A,FALSE,"Assumptions";#N/A,#N/A,FALSE,"Adve";#N/A,#N/A,FALSE,"E-Commerce";#N/A,#N/A,FALSE,"Opex";#N/A,#N/A,FALSE,"P&amp;L";#N/A,#N/A,FALSE,"FCF &amp; DCF"}</definedName>
    <definedName name="wrn.print._.pages." localSheetId="4" hidden="1">{#N/A,#N/A,FALSE,"Spain MKT";#N/A,#N/A,FALSE,"Assumptions";#N/A,#N/A,FALSE,"Adve";#N/A,#N/A,FALSE,"E-Commerce";#N/A,#N/A,FALSE,"Opex";#N/A,#N/A,FALSE,"P&amp;L";#N/A,#N/A,FALSE,"FCF &amp; DCF"}</definedName>
    <definedName name="wrn.print._.pages." localSheetId="5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standalone." localSheetId="1" hidden="1">{"standalone1",#N/A,FALSE,"DCFBase";"standalone2",#N/A,FALSE,"DCFBase"}</definedName>
    <definedName name="wrn.print._.standalone." localSheetId="3" hidden="1">{"standalone1",#N/A,FALSE,"DCFBase";"standalone2",#N/A,FALSE,"DCFBase"}</definedName>
    <definedName name="wrn.print._.standalone." localSheetId="4" hidden="1">{"standalone1",#N/A,FALSE,"DCFBase";"standalone2",#N/A,FALSE,"DCFBase"}</definedName>
    <definedName name="wrn.print._.standalone." localSheetId="5" hidden="1">{"standalone1",#N/A,FALSE,"DCFBase";"standalone2",#N/A,FALSE,"DCFBase"}</definedName>
    <definedName name="wrn.print._.standalone." hidden="1">{"standalone1",#N/A,FALSE,"DCFBase";"standalone2",#N/A,FALSE,"DCFBase"}</definedName>
    <definedName name="wrn.Print_CSC." localSheetId="1" hidden="1">{"CSC_1",#N/A,FALSE,"CSC Outputs";"CSC_2",#N/A,FALSE,"CSC Outputs"}</definedName>
    <definedName name="wrn.Print_CSC." localSheetId="3" hidden="1">{"CSC_1",#N/A,FALSE,"CSC Outputs";"CSC_2",#N/A,FALSE,"CSC Outputs"}</definedName>
    <definedName name="wrn.Print_CSC." localSheetId="4" hidden="1">{"CSC_1",#N/A,FALSE,"CSC Outputs";"CSC_2",#N/A,FALSE,"CSC Outputs"}</definedName>
    <definedName name="wrn.Print_CSC." localSheetId="5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1" hidden="1">{"CSC_1",#N/A,FALSE,"CSC Outputs";"CSC_2",#N/A,FALSE,"CSC Outputs"}</definedName>
    <definedName name="wrn.Print_CSC2" localSheetId="3" hidden="1">{"CSC_1",#N/A,FALSE,"CSC Outputs";"CSC_2",#N/A,FALSE,"CSC Outputs"}</definedName>
    <definedName name="wrn.Print_CSC2" localSheetId="4" hidden="1">{"CSC_1",#N/A,FALSE,"CSC Outputs";"CSC_2",#N/A,FALSE,"CSC Outputs"}</definedName>
    <definedName name="wrn.Print_CSC2" localSheetId="5" hidden="1">{"CSC_1",#N/A,FALSE,"CSC Outputs";"CSC_2",#N/A,FALSE,"CSC Outputs"}</definedName>
    <definedName name="wrn.Print_CSC2" hidden="1">{"CSC_1",#N/A,FALSE,"CSC Outputs";"CSC_2",#N/A,FALSE,"CSC Outputs"}</definedName>
    <definedName name="wrn.print1." localSheetId="1" hidden="1">{#N/A,#N/A,FALSE,"GLBBS";#N/A,#N/A,FALSE,"GLBIS ";#N/A,#N/A,FALSE,"GLBCF";#N/A,#N/A,FALSE,"assumptions"}</definedName>
    <definedName name="wrn.print1." localSheetId="3" hidden="1">{#N/A,#N/A,FALSE,"GLBBS";#N/A,#N/A,FALSE,"GLBIS ";#N/A,#N/A,FALSE,"GLBCF";#N/A,#N/A,FALSE,"assumptions"}</definedName>
    <definedName name="wrn.print1." localSheetId="4" hidden="1">{#N/A,#N/A,FALSE,"GLBBS";#N/A,#N/A,FALSE,"GLBIS ";#N/A,#N/A,FALSE,"GLBCF";#N/A,#N/A,FALSE,"assumptions"}</definedName>
    <definedName name="wrn.print1." localSheetId="5" hidden="1">{#N/A,#N/A,FALSE,"GLBBS";#N/A,#N/A,FALSE,"GLBIS ";#N/A,#N/A,FALSE,"GLBCF";#N/A,#N/A,FALSE,"assumptions"}</definedName>
    <definedName name="wrn.print1." hidden="1">{#N/A,#N/A,FALSE,"GLBBS";#N/A,#N/A,FALSE,"GLBIS ";#N/A,#N/A,FALSE,"GLBCF";#N/A,#N/A,FALSE,"assumptions"}</definedName>
    <definedName name="wrn.PrintAll." localSheetId="1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intAll." localSheetId="3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intAll." localSheetId="4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intAll." localSheetId="5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intAll." hidden="1">{#N/A,#N/A,TRUE,"CostSum";#N/A,#N/A,TRUE,"TotCF by Cat";#N/A,#N/A,TRUE,"TotCF by TNT";#N/A,#N/A,TRUE,"Cat 2 CS";#N/A,#N/A,TRUE,"Cat 1";#N/A,#N/A,TRUE,"Cat 3";#N/A,#N/A,TRUE,"Cat 4";#N/A,#N/A,TRUE,"Cat 5";#N/A,#N/A,TRUE,"Cat 6";#N/A,#N/A,TRUE,"Cat 7";#N/A,#N/A,TRUE,"Cat 8";#N/A,#N/A,TRUE,"Preopening";#N/A,#N/A,TRUE,"RD&amp;E Parking";#N/A,#N/A,TRUE,"Displaced Prkg";#N/A,#N/A,TRUE,"DLH Demo";#N/A,#N/A,TRUE,"Cat 2 TI"}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3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4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5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Quarterly._.Reports." localSheetId="1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wrn.Quarterly._.Reports." localSheetId="3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wrn.Quarterly._.Reports." localSheetId="4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wrn.Quarterly._.Reports." localSheetId="5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wrn.Quarterly._.Reports." hidden="1">{#N/A,#N/A,FALSE,"Major Assumptions";#N/A,#N/A,FALSE,"Park Attend";#N/A,#N/A,FALSE,"Resort Segment Attend";#N/A,#N/A,FALSE,"Resort Per Caps";#N/A,#N/A,FALSE,"Other Per Cap";#N/A,#N/A,FALSE,"Merch-Food Per Caps";#N/A,#N/A,FALSE,"Lodging Drivers";#N/A,#N/A,FALSE,"DLH";#N/A,#N/A,FALSE,"PPH";#N/A,#N/A,FALSE,"GCH";#N/A,#N/A,FALSE,"QTR - FCST to AOP";#N/A,#N/A,FALSE,"Full Year P&amp;L";#N/A,#N/A,FALSE,"Merch Summary";#N/A,#N/A,FALSE,"Food Summary";#N/A,#N/A,FALSE,"Travel Sensitivities";#N/A,#N/A,FALSE,"Hotels";#N/A,#N/A,FALSE,"Theme Parks P&amp;L";#N/A,#N/A,FALSE,"Lodging P&amp;L";#N/A,#N/A,FALSE,"DLR  Total P&amp;L ";#N/A,#N/A,FALSE,"Appendix";#N/A,#N/A,FALSE,"DL Seg Attend";#N/A,#N/A,FALSE,"DCA Seg Attend";#N/A,#N/A,FALSE,"GrowthRate Summ";#N/A,#N/A,FALSE,"""Other"" Revenue";#N/A,#N/A,FALSE,"""Other"" Expenses";#N/A,#N/A,FALSE,"Qtrly Cover"}</definedName>
    <definedName name="wrn.rapport._.1." localSheetId="1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3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4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5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localSheetId="1" hidden="1">{"ratios",#N/A,FALSE,"Summary Accounts"}</definedName>
    <definedName name="wrn.ratios." localSheetId="3" hidden="1">{"ratios",#N/A,FALSE,"Summary Accounts"}</definedName>
    <definedName name="wrn.ratios." localSheetId="4" hidden="1">{"ratios",#N/A,FALSE,"Summary Accounts"}</definedName>
    <definedName name="wrn.ratios." localSheetId="5" hidden="1">{"ratios",#N/A,FALSE,"Summary Accounts"}</definedName>
    <definedName name="wrn.ratios." hidden="1">{"ratios",#N/A,FALSE,"Summary Accounts"}</definedName>
    <definedName name="wrn.raw." localSheetId="1" hidden="1">{#N/A,#N/A,FALSE,"elraw";#N/A,#N/A,FALSE,"clraw ";#N/A,#N/A,FALSE,"pxraw ";#N/A,#N/A,FALSE,"arraw ";#N/A,#N/A,FALSE,"orraw ";#N/A,#N/A,FALSE,"90raw  ";#N/A,#N/A,FALSE,"dcraw   "}</definedName>
    <definedName name="wrn.raw." localSheetId="3" hidden="1">{#N/A,#N/A,FALSE,"elraw";#N/A,#N/A,FALSE,"clraw ";#N/A,#N/A,FALSE,"pxraw ";#N/A,#N/A,FALSE,"arraw ";#N/A,#N/A,FALSE,"orraw ";#N/A,#N/A,FALSE,"90raw  ";#N/A,#N/A,FALSE,"dcraw   "}</definedName>
    <definedName name="wrn.raw." localSheetId="4" hidden="1">{#N/A,#N/A,FALSE,"elraw";#N/A,#N/A,FALSE,"clraw ";#N/A,#N/A,FALSE,"pxraw ";#N/A,#N/A,FALSE,"arraw ";#N/A,#N/A,FALSE,"orraw ";#N/A,#N/A,FALSE,"90raw  ";#N/A,#N/A,FALSE,"dcraw   "}</definedName>
    <definedName name="wrn.raw." localSheetId="5" hidden="1">{#N/A,#N/A,FALSE,"elraw";#N/A,#N/A,FALSE,"clraw ";#N/A,#N/A,FALSE,"pxraw ";#N/A,#N/A,FALSE,"arraw ";#N/A,#N/A,FALSE,"orraw ";#N/A,#N/A,FALSE,"90raw  ";#N/A,#N/A,FALSE,"dcraw   "}</definedName>
    <definedName name="wrn.raw." hidden="1">{#N/A,#N/A,FALSE,"elraw";#N/A,#N/A,FALSE,"clraw ";#N/A,#N/A,FALSE,"pxraw ";#N/A,#N/A,FALSE,"arraw ";#N/A,#N/A,FALSE,"orraw ";#N/A,#N/A,FALSE,"90raw  ";#N/A,#N/A,FALSE,"dcraw   "}</definedName>
    <definedName name="wrn.RHD._.RESERVE._.REPORT." localSheetId="1" hidden="1">{#N/A,#N/A,FALSE,"CHANGES";#N/A,#N/A,FALSE,"PROD SUMMARY";#N/A,#N/A,FALSE,"1995 PO SUM";#N/A,#N/A,FALSE,"1995 GEOG SUM";#N/A,#N/A,FALSE,"1996 PO SUM";#N/A,#N/A,FALSE,"1996 GEOG SUM"}</definedName>
    <definedName name="wrn.RHD._.RESERVE._.REPORT." localSheetId="3" hidden="1">{#N/A,#N/A,FALSE,"CHANGES";#N/A,#N/A,FALSE,"PROD SUMMARY";#N/A,#N/A,FALSE,"1995 PO SUM";#N/A,#N/A,FALSE,"1995 GEOG SUM";#N/A,#N/A,FALSE,"1996 PO SUM";#N/A,#N/A,FALSE,"1996 GEOG SUM"}</definedName>
    <definedName name="wrn.RHD._.RESERVE._.REPORT." localSheetId="4" hidden="1">{#N/A,#N/A,FALSE,"CHANGES";#N/A,#N/A,FALSE,"PROD SUMMARY";#N/A,#N/A,FALSE,"1995 PO SUM";#N/A,#N/A,FALSE,"1995 GEOG SUM";#N/A,#N/A,FALSE,"1996 PO SUM";#N/A,#N/A,FALSE,"1996 GEOG SUM"}</definedName>
    <definedName name="wrn.RHD._.RESERVE._.REPORT." localSheetId="5" hidden="1">{#N/A,#N/A,FALSE,"CHANGES";#N/A,#N/A,FALSE,"PROD SUMMARY";#N/A,#N/A,FALSE,"1995 PO SUM";#N/A,#N/A,FALSE,"1995 GEOG SUM";#N/A,#N/A,FALSE,"1996 PO SUM";#N/A,#N/A,FALSE,"1996 GEOG SUM"}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localSheetId="1" hidden="1">{#N/A,#N/A,FALSE,"CHANGES";#N/A,#N/A,FALSE,"PROD SUMMARY";#N/A,#N/A,FALSE,"1995 PO SUM";#N/A,#N/A,FALSE,"1995 GEOG SUM";#N/A,#N/A,FALSE,"1996 PO SUM";#N/A,#N/A,FALSE,"1996 GEOG SUM"}</definedName>
    <definedName name="wrn.rhd.whatever" localSheetId="3" hidden="1">{#N/A,#N/A,FALSE,"CHANGES";#N/A,#N/A,FALSE,"PROD SUMMARY";#N/A,#N/A,FALSE,"1995 PO SUM";#N/A,#N/A,FALSE,"1995 GEOG SUM";#N/A,#N/A,FALSE,"1996 PO SUM";#N/A,#N/A,FALSE,"1996 GEOG SUM"}</definedName>
    <definedName name="wrn.rhd.whatever" localSheetId="4" hidden="1">{#N/A,#N/A,FALSE,"CHANGES";#N/A,#N/A,FALSE,"PROD SUMMARY";#N/A,#N/A,FALSE,"1995 PO SUM";#N/A,#N/A,FALSE,"1995 GEOG SUM";#N/A,#N/A,FALSE,"1996 PO SUM";#N/A,#N/A,FALSE,"1996 GEOG SUM"}</definedName>
    <definedName name="wrn.rhd.whatever" localSheetId="5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Sapere." localSheetId="1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3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4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5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ensitivity." localSheetId="1" hidden="1">{"sensitivity",#N/A,FALSE,"Sensitivity"}</definedName>
    <definedName name="wrn.sensitivity." localSheetId="3" hidden="1">{"sensitivity",#N/A,FALSE,"Sensitivity"}</definedName>
    <definedName name="wrn.sensitivity." localSheetId="4" hidden="1">{"sensitivity",#N/A,FALSE,"Sensitivity"}</definedName>
    <definedName name="wrn.sensitivity." localSheetId="5" hidden="1">{"sensitivity",#N/A,FALSE,"Sensitivity"}</definedName>
    <definedName name="wrn.sensitivity." hidden="1">{"sensitivity",#N/A,FALSE,"Sensitivity"}</definedName>
    <definedName name="wrn.sensitivity._.analyses." localSheetId="1" hidden="1">{"general",#N/A,FALSE,"Assumptions"}</definedName>
    <definedName name="wrn.sensitivity._.analyses." localSheetId="3" hidden="1">{"general",#N/A,FALSE,"Assumptions"}</definedName>
    <definedName name="wrn.sensitivity._.analyses." localSheetId="4" hidden="1">{"general",#N/A,FALSE,"Assumptions"}</definedName>
    <definedName name="wrn.sensitivity._.analyses." localSheetId="5" hidden="1">{"general",#N/A,FALSE,"Assumptions"}</definedName>
    <definedName name="wrn.sensitivity._.analyses." hidden="1">{"general",#N/A,FALSE,"Assumptions"}</definedName>
    <definedName name="wrn.Seth." localSheetId="1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." localSheetId="3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." localSheetId="4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." localSheetId="5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.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II." localSheetId="1" hidden="1">{#N/A,#N/A,FALSE,"Assumps";#N/A,#N/A,FALSE,"Owned";#N/A,#N/A,FALSE,"Manage";#N/A,#N/A,FALSE,"Manback";#N/A,#N/A,FALSE,"Invest";#N/A,#N/A,FALSE,"Commercial"}</definedName>
    <definedName name="wrn.SethII." localSheetId="3" hidden="1">{#N/A,#N/A,FALSE,"Assumps";#N/A,#N/A,FALSE,"Owned";#N/A,#N/A,FALSE,"Manage";#N/A,#N/A,FALSE,"Manback";#N/A,#N/A,FALSE,"Invest";#N/A,#N/A,FALSE,"Commercial"}</definedName>
    <definedName name="wrn.SethII." localSheetId="4" hidden="1">{#N/A,#N/A,FALSE,"Assumps";#N/A,#N/A,FALSE,"Owned";#N/A,#N/A,FALSE,"Manage";#N/A,#N/A,FALSE,"Manback";#N/A,#N/A,FALSE,"Invest";#N/A,#N/A,FALSE,"Commercial"}</definedName>
    <definedName name="wrn.SethII." localSheetId="5" hidden="1">{#N/A,#N/A,FALSE,"Assumps";#N/A,#N/A,FALSE,"Owned";#N/A,#N/A,FALSE,"Manage";#N/A,#N/A,FALSE,"Manback";#N/A,#N/A,FALSE,"Invest";#N/A,#N/A,FALSE,"Commercial"}</definedName>
    <definedName name="wrn.SethII." hidden="1">{#N/A,#N/A,FALSE,"Assumps";#N/A,#N/A,FALSE,"Owned";#N/A,#N/A,FALSE,"Manage";#N/A,#N/A,FALSE,"Manback";#N/A,#N/A,FALSE,"Invest";#N/A,#N/A,FALSE,"Commercial"}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5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localSheetId="1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3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4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5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_alone." localSheetId="1" hidden="1">{#N/A,#N/A,FALSE,"CBE";#N/A,#N/A,FALSE,"SWK"}</definedName>
    <definedName name="wrn.stand_alone." localSheetId="3" hidden="1">{#N/A,#N/A,FALSE,"CBE";#N/A,#N/A,FALSE,"SWK"}</definedName>
    <definedName name="wrn.stand_alone." localSheetId="4" hidden="1">{#N/A,#N/A,FALSE,"CBE";#N/A,#N/A,FALSE,"SWK"}</definedName>
    <definedName name="wrn.stand_alone." localSheetId="5" hidden="1">{#N/A,#N/A,FALSE,"CBE";#N/A,#N/A,FALSE,"SWK"}</definedName>
    <definedName name="wrn.stand_alone." hidden="1">{#N/A,#N/A,FALSE,"CBE";#N/A,#N/A,FALSE,"SWK"}</definedName>
    <definedName name="wrn.Standard." localSheetId="1" hidden="1">{"Financials",#N/A,FALSE,"Financials";"AVP",#N/A,FALSE,"AVP";"DCF",#N/A,FALSE,"DCF";"CSC",#N/A,FALSE,"CSC";"Deal_Comp",#N/A,FALSE,"DealComp"}</definedName>
    <definedName name="wrn.Standard." localSheetId="3" hidden="1">{"Financials",#N/A,FALSE,"Financials";"AVP",#N/A,FALSE,"AVP";"DCF",#N/A,FALSE,"DCF";"CSC",#N/A,FALSE,"CSC";"Deal_Comp",#N/A,FALSE,"DealComp"}</definedName>
    <definedName name="wrn.Standard." localSheetId="4" hidden="1">{"Financials",#N/A,FALSE,"Financials";"AVP",#N/A,FALSE,"AVP";"DCF",#N/A,FALSE,"DCF";"CSC",#N/A,FALSE,"CSC";"Deal_Comp",#N/A,FALSE,"DealComp"}</definedName>
    <definedName name="wrn.Standard." localSheetId="5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UMMARY." localSheetId="1" hidden="1">{#N/A,#N/A,FALSE,"COMPWITH ";#N/A,#N/A,FALSE,"PROFORMA";#N/A,#N/A,FALSE,"COMPWO";#N/A,#N/A,FALSE,"LII";#N/A,#N/A,FALSE,"global";#N/A,#N/A,FALSE,"oio";#N/A,#N/A,FALSE,"dom comb";#N/A,#N/A,FALSE,"intl comb"}</definedName>
    <definedName name="wrn.SUMMARY." localSheetId="3" hidden="1">{#N/A,#N/A,FALSE,"COMPWITH ";#N/A,#N/A,FALSE,"PROFORMA";#N/A,#N/A,FALSE,"COMPWO";#N/A,#N/A,FALSE,"LII";#N/A,#N/A,FALSE,"global";#N/A,#N/A,FALSE,"oio";#N/A,#N/A,FALSE,"dom comb";#N/A,#N/A,FALSE,"intl comb"}</definedName>
    <definedName name="wrn.SUMMARY." localSheetId="4" hidden="1">{#N/A,#N/A,FALSE,"COMPWITH ";#N/A,#N/A,FALSE,"PROFORMA";#N/A,#N/A,FALSE,"COMPWO";#N/A,#N/A,FALSE,"LII";#N/A,#N/A,FALSE,"global";#N/A,#N/A,FALSE,"oio";#N/A,#N/A,FALSE,"dom comb";#N/A,#N/A,FALSE,"intl comb"}</definedName>
    <definedName name="wrn.SUMMARY." localSheetId="5" hidden="1">{#N/A,#N/A,FALSE,"COMPWITH ";#N/A,#N/A,FALSE,"PROFORMA";#N/A,#N/A,FALSE,"COMPWO";#N/A,#N/A,FALSE,"LII";#N/A,#N/A,FALSE,"global";#N/A,#N/A,FALSE,"oio";#N/A,#N/A,FALSE,"dom comb";#N/A,#N/A,FALSE,"intl comb"}</definedName>
    <definedName name="wrn.SUMMARY." hidden="1">{#N/A,#N/A,FALSE,"COMPWITH ";#N/A,#N/A,FALSE,"PROFORMA";#N/A,#N/A,FALSE,"COMPWO";#N/A,#N/A,FALSE,"LII";#N/A,#N/A,FALSE,"global";#N/A,#N/A,FALSE,"oio";#N/A,#N/A,FALSE,"dom comb";#N/A,#N/A,FALSE,"intl comb"}</definedName>
    <definedName name="wrn.Summary._.with._.short._.outputs." localSheetId="1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3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4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2" localSheetId="1" hidden="1">{#N/A,#N/A,FALSE,"COMPWITH ";#N/A,#N/A,FALSE,"PROFORMA";#N/A,#N/A,FALSE,"COMPWO";#N/A,#N/A,FALSE,"LII";#N/A,#N/A,FALSE,"global";#N/A,#N/A,FALSE,"oio";#N/A,#N/A,FALSE,"dom comb";#N/A,#N/A,FALSE,"intl comb"}</definedName>
    <definedName name="wrn.SUMMARY2" localSheetId="3" hidden="1">{#N/A,#N/A,FALSE,"COMPWITH ";#N/A,#N/A,FALSE,"PROFORMA";#N/A,#N/A,FALSE,"COMPWO";#N/A,#N/A,FALSE,"LII";#N/A,#N/A,FALSE,"global";#N/A,#N/A,FALSE,"oio";#N/A,#N/A,FALSE,"dom comb";#N/A,#N/A,FALSE,"intl comb"}</definedName>
    <definedName name="wrn.SUMMARY2" localSheetId="4" hidden="1">{#N/A,#N/A,FALSE,"COMPWITH ";#N/A,#N/A,FALSE,"PROFORMA";#N/A,#N/A,FALSE,"COMPWO";#N/A,#N/A,FALSE,"LII";#N/A,#N/A,FALSE,"global";#N/A,#N/A,FALSE,"oio";#N/A,#N/A,FALSE,"dom comb";#N/A,#N/A,FALSE,"intl comb"}</definedName>
    <definedName name="wrn.SUMMARY2" localSheetId="5" hidden="1">{#N/A,#N/A,FALSE,"COMPWITH ";#N/A,#N/A,FALSE,"PROFORMA";#N/A,#N/A,FALSE,"COMPWO";#N/A,#N/A,FALSE,"LII";#N/A,#N/A,FALSE,"global";#N/A,#N/A,FALSE,"oio";#N/A,#N/A,FALSE,"dom comb";#N/A,#N/A,FALSE,"intl comb"}</definedName>
    <definedName name="wrn.SUMMARY2" hidden="1">{#N/A,#N/A,FALSE,"COMPWITH ";#N/A,#N/A,FALSE,"PROFORMA";#N/A,#N/A,FALSE,"COMPWO";#N/A,#N/A,FALSE,"LII";#N/A,#N/A,FALSE,"global";#N/A,#N/A,FALSE,"oio";#N/A,#N/A,FALSE,"dom comb";#N/A,#N/A,FALSE,"intl comb"}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localSheetId="3" hidden="1">{#N/A,#N/A,FALSE,"CreditStat";#N/A,#N/A,FALSE,"SPbrkup";#N/A,#N/A,FALSE,"MerSPsyn";#N/A,#N/A,FALSE,"MerSPwKCsyn";#N/A,#N/A,FALSE,"MerSPwKCsyn (2)";#N/A,#N/A,FALSE,"CreditStat (2)"}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5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" localSheetId="1" hidden="1">{#N/A,#N/A,TRUE,"cover";#N/A,#N/A,TRUE,"Sales";#N/A,#N/A,TRUE,"SalesOPEX ";#N/A,#N/A,TRUE,"Sales COGS";#N/A,#N/A,TRUE,"Total Glob (Adj)";#N/A,#N/A,TRUE,"GAP";#N/A,#N/A,TRUE,"Tot Global (Unadj)";#N/A,#N/A,TRUE,"Global JE's";#N/A,#N/A,TRUE,"Total Int'l";#N/A,#N/A,TRUE,"Total Dom Comb";#N/A,#N/A,TRUE,"EL Dom Comb";#N/A,#N/A,TRUE,"AR Dom Comb";#N/A,#N/A,TRUE,"CL Dom Comb";#N/A,#N/A,TRUE,"PX Dom Comb";#N/A,#N/A,TRUE,"OR Dom Comb";#N/A,#N/A,TRUE,"LM Dom Comb";#N/A,#N/A,TRUE,"MAC Dom Comb";#N/A,#N/A,TRUE,"BB Dom Comb";#N/A,#N/A,TRUE,"SB Dom Comb";#N/A,#N/A,TRUE,"DK Dom Comb";#N/A,#N/A,TRUE,"AV Dom Comb";#N/A,#N/A,TRUE,"Stila";#N/A,#N/A,TRUE,"Jo Malone";#N/A,#N/A,TRUE,"Internet";#N/A,#N/A,TRUE,"Kate Spade";#N/A,#N/A,TRUE,"MAC Int'l";#N/A,#N/A,TRUE,"MAC Internet";#N/A,#N/A,TRUE,"ELMgmt Dom Comb";#N/A,#N/A,TRUE,"Corp Sale";#N/A,#N/A,TRUE,"JE's Dom Comb";#N/A,#N/A,TRUE,"Tot Corp Co's";#N/A,#N/A,TRUE,"EL Corp";#N/A,#N/A,TRUE,"AR Corp";#N/A,#N/A,TRUE,"CL Corp";#N/A,#N/A,TRUE,"PX Corp";#N/A,#N/A,TRUE,"OR Corp";#N/A,#N/A,TRUE,"MAC Corp";#N/A,#N/A,TRUE,"DK Corp";#N/A,#N/A,TRUE,"BB Corp";#N/A,#N/A,TRUE,"LM Corp";#N/A,#N/A,TRUE,"SB Corp";#N/A,#N/A,TRUE,"ST Corp";#N/A,#N/A,TRUE,"AV Corp";#N/A,#N/A,TRUE,"Jo Malone Corp";#N/A,#N/A,TRUE,"ELC";#N/A,#N/A,TRUE,"JE's USA";#N/A,#N/A,TRUE,"CDA Corp"}</definedName>
    <definedName name="wrn.Target." localSheetId="3" hidden="1">{#N/A,#N/A,TRUE,"cover";#N/A,#N/A,TRUE,"Sales";#N/A,#N/A,TRUE,"SalesOPEX ";#N/A,#N/A,TRUE,"Sales COGS";#N/A,#N/A,TRUE,"Total Glob (Adj)";#N/A,#N/A,TRUE,"GAP";#N/A,#N/A,TRUE,"Tot Global (Unadj)";#N/A,#N/A,TRUE,"Global JE's";#N/A,#N/A,TRUE,"Total Int'l";#N/A,#N/A,TRUE,"Total Dom Comb";#N/A,#N/A,TRUE,"EL Dom Comb";#N/A,#N/A,TRUE,"AR Dom Comb";#N/A,#N/A,TRUE,"CL Dom Comb";#N/A,#N/A,TRUE,"PX Dom Comb";#N/A,#N/A,TRUE,"OR Dom Comb";#N/A,#N/A,TRUE,"LM Dom Comb";#N/A,#N/A,TRUE,"MAC Dom Comb";#N/A,#N/A,TRUE,"BB Dom Comb";#N/A,#N/A,TRUE,"SB Dom Comb";#N/A,#N/A,TRUE,"DK Dom Comb";#N/A,#N/A,TRUE,"AV Dom Comb";#N/A,#N/A,TRUE,"Stila";#N/A,#N/A,TRUE,"Jo Malone";#N/A,#N/A,TRUE,"Internet";#N/A,#N/A,TRUE,"Kate Spade";#N/A,#N/A,TRUE,"MAC Int'l";#N/A,#N/A,TRUE,"MAC Internet";#N/A,#N/A,TRUE,"ELMgmt Dom Comb";#N/A,#N/A,TRUE,"Corp Sale";#N/A,#N/A,TRUE,"JE's Dom Comb";#N/A,#N/A,TRUE,"Tot Corp Co's";#N/A,#N/A,TRUE,"EL Corp";#N/A,#N/A,TRUE,"AR Corp";#N/A,#N/A,TRUE,"CL Corp";#N/A,#N/A,TRUE,"PX Corp";#N/A,#N/A,TRUE,"OR Corp";#N/A,#N/A,TRUE,"MAC Corp";#N/A,#N/A,TRUE,"DK Corp";#N/A,#N/A,TRUE,"BB Corp";#N/A,#N/A,TRUE,"LM Corp";#N/A,#N/A,TRUE,"SB Corp";#N/A,#N/A,TRUE,"ST Corp";#N/A,#N/A,TRUE,"AV Corp";#N/A,#N/A,TRUE,"Jo Malone Corp";#N/A,#N/A,TRUE,"ELC";#N/A,#N/A,TRUE,"JE's USA";#N/A,#N/A,TRUE,"CDA Corp"}</definedName>
    <definedName name="wrn.Target." localSheetId="4" hidden="1">{#N/A,#N/A,TRUE,"cover";#N/A,#N/A,TRUE,"Sales";#N/A,#N/A,TRUE,"SalesOPEX ";#N/A,#N/A,TRUE,"Sales COGS";#N/A,#N/A,TRUE,"Total Glob (Adj)";#N/A,#N/A,TRUE,"GAP";#N/A,#N/A,TRUE,"Tot Global (Unadj)";#N/A,#N/A,TRUE,"Global JE's";#N/A,#N/A,TRUE,"Total Int'l";#N/A,#N/A,TRUE,"Total Dom Comb";#N/A,#N/A,TRUE,"EL Dom Comb";#N/A,#N/A,TRUE,"AR Dom Comb";#N/A,#N/A,TRUE,"CL Dom Comb";#N/A,#N/A,TRUE,"PX Dom Comb";#N/A,#N/A,TRUE,"OR Dom Comb";#N/A,#N/A,TRUE,"LM Dom Comb";#N/A,#N/A,TRUE,"MAC Dom Comb";#N/A,#N/A,TRUE,"BB Dom Comb";#N/A,#N/A,TRUE,"SB Dom Comb";#N/A,#N/A,TRUE,"DK Dom Comb";#N/A,#N/A,TRUE,"AV Dom Comb";#N/A,#N/A,TRUE,"Stila";#N/A,#N/A,TRUE,"Jo Malone";#N/A,#N/A,TRUE,"Internet";#N/A,#N/A,TRUE,"Kate Spade";#N/A,#N/A,TRUE,"MAC Int'l";#N/A,#N/A,TRUE,"MAC Internet";#N/A,#N/A,TRUE,"ELMgmt Dom Comb";#N/A,#N/A,TRUE,"Corp Sale";#N/A,#N/A,TRUE,"JE's Dom Comb";#N/A,#N/A,TRUE,"Tot Corp Co's";#N/A,#N/A,TRUE,"EL Corp";#N/A,#N/A,TRUE,"AR Corp";#N/A,#N/A,TRUE,"CL Corp";#N/A,#N/A,TRUE,"PX Corp";#N/A,#N/A,TRUE,"OR Corp";#N/A,#N/A,TRUE,"MAC Corp";#N/A,#N/A,TRUE,"DK Corp";#N/A,#N/A,TRUE,"BB Corp";#N/A,#N/A,TRUE,"LM Corp";#N/A,#N/A,TRUE,"SB Corp";#N/A,#N/A,TRUE,"ST Corp";#N/A,#N/A,TRUE,"AV Corp";#N/A,#N/A,TRUE,"Jo Malone Corp";#N/A,#N/A,TRUE,"ELC";#N/A,#N/A,TRUE,"JE's USA";#N/A,#N/A,TRUE,"CDA Corp"}</definedName>
    <definedName name="wrn.Target." localSheetId="5" hidden="1">{#N/A,#N/A,TRUE,"cover";#N/A,#N/A,TRUE,"Sales";#N/A,#N/A,TRUE,"SalesOPEX ";#N/A,#N/A,TRUE,"Sales COGS";#N/A,#N/A,TRUE,"Total Glob (Adj)";#N/A,#N/A,TRUE,"GAP";#N/A,#N/A,TRUE,"Tot Global (Unadj)";#N/A,#N/A,TRUE,"Global JE's";#N/A,#N/A,TRUE,"Total Int'l";#N/A,#N/A,TRUE,"Total Dom Comb";#N/A,#N/A,TRUE,"EL Dom Comb";#N/A,#N/A,TRUE,"AR Dom Comb";#N/A,#N/A,TRUE,"CL Dom Comb";#N/A,#N/A,TRUE,"PX Dom Comb";#N/A,#N/A,TRUE,"OR Dom Comb";#N/A,#N/A,TRUE,"LM Dom Comb";#N/A,#N/A,TRUE,"MAC Dom Comb";#N/A,#N/A,TRUE,"BB Dom Comb";#N/A,#N/A,TRUE,"SB Dom Comb";#N/A,#N/A,TRUE,"DK Dom Comb";#N/A,#N/A,TRUE,"AV Dom Comb";#N/A,#N/A,TRUE,"Stila";#N/A,#N/A,TRUE,"Jo Malone";#N/A,#N/A,TRUE,"Internet";#N/A,#N/A,TRUE,"Kate Spade";#N/A,#N/A,TRUE,"MAC Int'l";#N/A,#N/A,TRUE,"MAC Internet";#N/A,#N/A,TRUE,"ELMgmt Dom Comb";#N/A,#N/A,TRUE,"Corp Sale";#N/A,#N/A,TRUE,"JE's Dom Comb";#N/A,#N/A,TRUE,"Tot Corp Co's";#N/A,#N/A,TRUE,"EL Corp";#N/A,#N/A,TRUE,"AR Corp";#N/A,#N/A,TRUE,"CL Corp";#N/A,#N/A,TRUE,"PX Corp";#N/A,#N/A,TRUE,"OR Corp";#N/A,#N/A,TRUE,"MAC Corp";#N/A,#N/A,TRUE,"DK Corp";#N/A,#N/A,TRUE,"BB Corp";#N/A,#N/A,TRUE,"LM Corp";#N/A,#N/A,TRUE,"SB Corp";#N/A,#N/A,TRUE,"ST Corp";#N/A,#N/A,TRUE,"AV Corp";#N/A,#N/A,TRUE,"Jo Malone Corp";#N/A,#N/A,TRUE,"ELC";#N/A,#N/A,TRUE,"JE's USA";#N/A,#N/A,TRUE,"CDA Corp"}</definedName>
    <definedName name="wrn.Target." hidden="1">{#N/A,#N/A,TRUE,"cover";#N/A,#N/A,TRUE,"Sales";#N/A,#N/A,TRUE,"SalesOPEX ";#N/A,#N/A,TRUE,"Sales COGS";#N/A,#N/A,TRUE,"Total Glob (Adj)";#N/A,#N/A,TRUE,"GAP";#N/A,#N/A,TRUE,"Tot Global (Unadj)";#N/A,#N/A,TRUE,"Global JE's";#N/A,#N/A,TRUE,"Total Int'l";#N/A,#N/A,TRUE,"Total Dom Comb";#N/A,#N/A,TRUE,"EL Dom Comb";#N/A,#N/A,TRUE,"AR Dom Comb";#N/A,#N/A,TRUE,"CL Dom Comb";#N/A,#N/A,TRUE,"PX Dom Comb";#N/A,#N/A,TRUE,"OR Dom Comb";#N/A,#N/A,TRUE,"LM Dom Comb";#N/A,#N/A,TRUE,"MAC Dom Comb";#N/A,#N/A,TRUE,"BB Dom Comb";#N/A,#N/A,TRUE,"SB Dom Comb";#N/A,#N/A,TRUE,"DK Dom Comb";#N/A,#N/A,TRUE,"AV Dom Comb";#N/A,#N/A,TRUE,"Stila";#N/A,#N/A,TRUE,"Jo Malone";#N/A,#N/A,TRUE,"Internet";#N/A,#N/A,TRUE,"Kate Spade";#N/A,#N/A,TRUE,"MAC Int'l";#N/A,#N/A,TRUE,"MAC Internet";#N/A,#N/A,TRUE,"ELMgmt Dom Comb";#N/A,#N/A,TRUE,"Corp Sale";#N/A,#N/A,TRUE,"JE's Dom Comb";#N/A,#N/A,TRUE,"Tot Corp Co's";#N/A,#N/A,TRUE,"EL Corp";#N/A,#N/A,TRUE,"AR Corp";#N/A,#N/A,TRUE,"CL Corp";#N/A,#N/A,TRUE,"PX Corp";#N/A,#N/A,TRUE,"OR Corp";#N/A,#N/A,TRUE,"MAC Corp";#N/A,#N/A,TRUE,"DK Corp";#N/A,#N/A,TRUE,"BB Corp";#N/A,#N/A,TRUE,"LM Corp";#N/A,#N/A,TRUE,"SB Corp";#N/A,#N/A,TRUE,"ST Corp";#N/A,#N/A,TRUE,"AV Corp";#N/A,#N/A,TRUE,"Jo Malone Corp";#N/A,#N/A,TRUE,"ELC";#N/A,#N/A,TRUE,"JE's USA";#N/A,#N/A,TRUE,"CDA Corp"}</definedName>
    <definedName name="wrn.Tariff._.Analysis." localSheetId="1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3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4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5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1" hidden="1">{"Tariff Comparison",#N/A,FALSE,"Benchmarking";"Tariff Comparison 2",#N/A,FALSE,"Benchmarking";"Tariff Comparison 3",#N/A,FALSE,"Benchmarking"}</definedName>
    <definedName name="wrn.Tariff._.Comaprison." localSheetId="3" hidden="1">{"Tariff Comparison",#N/A,FALSE,"Benchmarking";"Tariff Comparison 2",#N/A,FALSE,"Benchmarking";"Tariff Comparison 3",#N/A,FALSE,"Benchmarking"}</definedName>
    <definedName name="wrn.Tariff._.Comaprison." localSheetId="4" hidden="1">{"Tariff Comparison",#N/A,FALSE,"Benchmarking";"Tariff Comparison 2",#N/A,FALSE,"Benchmarking";"Tariff Comparison 3",#N/A,FALSE,"Benchmarking"}</definedName>
    <definedName name="wrn.Tariff._.Comaprison." localSheetId="5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est." localSheetId="1" hidden="1">{#N/A,#N/A,FALSE,"Software";#N/A,#N/A,FALSE,"Labor";#N/A,#N/A,FALSE,"Software"}</definedName>
    <definedName name="wrn.test." localSheetId="3" hidden="1">{#N/A,#N/A,FALSE,"Software";#N/A,#N/A,FALSE,"Labor";#N/A,#N/A,FALSE,"Software"}</definedName>
    <definedName name="wrn.test." localSheetId="4" hidden="1">{#N/A,#N/A,FALSE,"Software";#N/A,#N/A,FALSE,"Labor";#N/A,#N/A,FALSE,"Software"}</definedName>
    <definedName name="wrn.test." localSheetId="5" hidden="1">{#N/A,#N/A,FALSE,"Software";#N/A,#N/A,FALSE,"Labor";#N/A,#N/A,FALSE,"Software"}</definedName>
    <definedName name="wrn.test." hidden="1">{#N/A,#N/A,FALSE,"Software";#N/A,#N/A,FALSE,"Labor";#N/A,#N/A,FALSE,"Software"}</definedName>
    <definedName name="wrn.totalcomp." localSheetId="1" hidden="1">{"comp1",#N/A,FALSE,"COMPS";"footnotes",#N/A,FALSE,"COMPS"}</definedName>
    <definedName name="wrn.totalcomp." localSheetId="3" hidden="1">{"comp1",#N/A,FALSE,"COMPS";"footnotes",#N/A,FALSE,"COMPS"}</definedName>
    <definedName name="wrn.totalcomp." localSheetId="4" hidden="1">{"comp1",#N/A,FALSE,"COMPS";"footnotes",#N/A,FALSE,"COMPS"}</definedName>
    <definedName name="wrn.totalcomp." localSheetId="5" hidden="1">{"comp1",#N/A,FALSE,"COMPS";"footnotes",#N/A,FALSE,"COMPS"}</definedName>
    <definedName name="wrn.totalcomp." hidden="1">{"comp1",#N/A,FALSE,"COMPS";"footnotes",#N/A,FALSE,"COMPS"}</definedName>
    <definedName name="wrn.trans._.sum." localSheetId="1" hidden="1">{"trans assumptions",#N/A,FALSE,"Merger";"trans accretion",#N/A,FALSE,"Merger"}</definedName>
    <definedName name="wrn.trans._.sum." localSheetId="3" hidden="1">{"trans assumptions",#N/A,FALSE,"Merger";"trans accretion",#N/A,FALSE,"Merger"}</definedName>
    <definedName name="wrn.trans._.sum." localSheetId="4" hidden="1">{"trans assumptions",#N/A,FALSE,"Merger";"trans accretion",#N/A,FALSE,"Merger"}</definedName>
    <definedName name="wrn.trans._.sum." localSheetId="5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localSheetId="3" hidden="1">{#N/A,#N/A,FALSE,"A&amp;E";#N/A,#N/A,FALSE,"HighTop";#N/A,#N/A,FALSE,"JG";#N/A,#N/A,FALSE,"RI";#N/A,#N/A,FALSE,"woHT";#N/A,#N/A,FALSE,"woHT&amp;JG"}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5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msatz." localSheetId="1" hidden="1">{#N/A,#N/A,FALSE,"Umsatz";#N/A,#N/A,FALSE,"Base V.02";#N/A,#N/A,FALSE,"Charts"}</definedName>
    <definedName name="wrn.Umsatz." localSheetId="3" hidden="1">{#N/A,#N/A,FALSE,"Umsatz";#N/A,#N/A,FALSE,"Base V.02";#N/A,#N/A,FALSE,"Charts"}</definedName>
    <definedName name="wrn.Umsatz." localSheetId="4" hidden="1">{#N/A,#N/A,FALSE,"Umsatz";#N/A,#N/A,FALSE,"Base V.02";#N/A,#N/A,FALSE,"Charts"}</definedName>
    <definedName name="wrn.Umsatz." localSheetId="5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1" hidden="1">{"up stand alones",#N/A,FALSE,"Acquiror"}</definedName>
    <definedName name="wrn.up." localSheetId="3" hidden="1">{"up stand alones",#N/A,FALSE,"Acquiror"}</definedName>
    <definedName name="wrn.up." localSheetId="4" hidden="1">{"up stand alones",#N/A,FALSE,"Acquiror"}</definedName>
    <definedName name="wrn.up." localSheetId="5" hidden="1">{"up stand alones",#N/A,FALSE,"Acquiror"}</definedName>
    <definedName name="wrn.up." hidden="1">{"up stand alones",#N/A,FALSE,"Acquiror"}</definedName>
    <definedName name="wrn.Upper._.Case." localSheetId="1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localSheetId="3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localSheetId="4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localSheetId="5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TL._.Position." localSheetId="1" hidden="1">{"UTL effect",#N/A,FALSE,"Sensitivity"}</definedName>
    <definedName name="wrn.UTL._.Position." localSheetId="3" hidden="1">{"UTL effect",#N/A,FALSE,"Sensitivity"}</definedName>
    <definedName name="wrn.UTL._.Position." localSheetId="4" hidden="1">{"UTL effect",#N/A,FALSE,"Sensitivity"}</definedName>
    <definedName name="wrn.UTL._.Position." localSheetId="5" hidden="1">{"UTL effect",#N/A,FALSE,"Sensitivity"}</definedName>
    <definedName name="wrn.UTL._.Position." hidden="1">{"UTL effect",#N/A,FALSE,"Sensitivity"}</definedName>
    <definedName name="wrn.valderrama." localSheetId="1" hidden="1">{"valderrama1",#N/A,FALSE,"Pro Forma";"valderrama",#N/A,FALSE,"Pro Forma"}</definedName>
    <definedName name="wrn.valderrama." localSheetId="3" hidden="1">{"valderrama1",#N/A,FALSE,"Pro Forma";"valderrama",#N/A,FALSE,"Pro Forma"}</definedName>
    <definedName name="wrn.valderrama." localSheetId="4" hidden="1">{"valderrama1",#N/A,FALSE,"Pro Forma";"valderrama",#N/A,FALSE,"Pro Forma"}</definedName>
    <definedName name="wrn.valderrama." localSheetId="5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1" hidden="1">{#N/A,#N/A,FALSE,"Valuation";#N/A,#N/A,FALSE,"Valuation (5)";#N/A,#N/A,FALSE,"Valuation (2)";#N/A,#N/A,FALSE,"Valuation (3)"}</definedName>
    <definedName name="wrn.valuation." localSheetId="3" hidden="1">{#N/A,#N/A,FALSE,"Valuation";#N/A,#N/A,FALSE,"Valuation (5)";#N/A,#N/A,FALSE,"Valuation (2)";#N/A,#N/A,FALSE,"Valuation (3)"}</definedName>
    <definedName name="wrn.valuation." localSheetId="4" hidden="1">{#N/A,#N/A,FALSE,"Valuation";#N/A,#N/A,FALSE,"Valuation (5)";#N/A,#N/A,FALSE,"Valuation (2)";#N/A,#N/A,FALSE,"Valuation (3)"}</definedName>
    <definedName name="wrn.valuation." localSheetId="5" hidden="1">{#N/A,#N/A,FALSE,"Valuation";#N/A,#N/A,FALSE,"Valuation (5)";#N/A,#N/A,FALSE,"Valuation (2)";#N/A,#N/A,FALSE,"Valuation (3)"}</definedName>
    <definedName name="wrn.valuation." hidden="1">{#N/A,#N/A,FALSE,"Valuation";#N/A,#N/A,FALSE,"Valuation (5)";#N/A,#N/A,FALSE,"Valuation (2)";#N/A,#N/A,FALSE,"Valuation (3)"}</definedName>
    <definedName name="wrn.Valuation._.Package._.1.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3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5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e._.Summaries." localSheetId="1" hidden="1">{"Value to Sprint PCS",#N/A,FALSE,"Value to Sprint PCS";"Value to Affiliate",#N/A,FALSE,"Value of 8% Royalty";#N/A,#N/A,FALSE,"Value Summary"}</definedName>
    <definedName name="wrn.Value._.Summaries." localSheetId="3" hidden="1">{"Value to Sprint PCS",#N/A,FALSE,"Value to Sprint PCS";"Value to Affiliate",#N/A,FALSE,"Value of 8% Royalty";#N/A,#N/A,FALSE,"Value Summary"}</definedName>
    <definedName name="wrn.Value._.Summaries." localSheetId="4" hidden="1">{"Value to Sprint PCS",#N/A,FALSE,"Value to Sprint PCS";"Value to Affiliate",#N/A,FALSE,"Value of 8% Royalty";#N/A,#N/A,FALSE,"Value Summary"}</definedName>
    <definedName name="wrn.Value._.Summaries." localSheetId="5" hidden="1">{"Value to Sprint PCS",#N/A,FALSE,"Value to Sprint PCS";"Value to Affiliate",#N/A,FALSE,"Value of 8% Royalty";#N/A,#N/A,FALSE,"Value Summary"}</definedName>
    <definedName name="wrn.Value._.Summaries." hidden="1">{"Value to Sprint PCS",#N/A,FALSE,"Value to Sprint PCS";"Value to Affiliate",#N/A,FALSE,"Value of 8% Royalty";#N/A,#N/A,FALSE,"Value Summary"}</definedName>
    <definedName name="wrn.Water." localSheetId="1" hidden="1">{#N/A,#N/A,FALSE,"Water";#N/A,#N/A,FALSE,"Ballygowan";#N/A,#N/A,FALSE,"Volvic"}</definedName>
    <definedName name="wrn.Water." localSheetId="3" hidden="1">{#N/A,#N/A,FALSE,"Water";#N/A,#N/A,FALSE,"Ballygowan";#N/A,#N/A,FALSE,"Volvic"}</definedName>
    <definedName name="wrn.Water." localSheetId="4" hidden="1">{#N/A,#N/A,FALSE,"Water";#N/A,#N/A,FALSE,"Ballygowan";#N/A,#N/A,FALSE,"Volvic"}</definedName>
    <definedName name="wrn.Water." localSheetId="5" hidden="1">{#N/A,#N/A,FALSE,"Water";#N/A,#N/A,FALSE,"Ballygowan";#N/A,#N/A,FALSE,"Volvic"}</definedName>
    <definedName name="wrn.Water." hidden="1">{#N/A,#N/A,FALSE,"Water";#N/A,#N/A,FALSE,"Ballygowan";#N/A,#N/A,FALSE,"Volvic"}</definedName>
    <definedName name="wrn.WH." localSheetId="1" hidden="1">{"Printall WH",#N/A,FALSE,"WH"}</definedName>
    <definedName name="wrn.WH." localSheetId="3" hidden="1">{"Printall WH",#N/A,FALSE,"WH"}</definedName>
    <definedName name="wrn.WH." localSheetId="4" hidden="1">{"Printall WH",#N/A,FALSE,"WH"}</definedName>
    <definedName name="wrn.WH." localSheetId="5" hidden="1">{"Printall WH",#N/A,FALSE,"WH"}</definedName>
    <definedName name="wrn.WH." hidden="1">{"Printall WH",#N/A,FALSE,"WH"}</definedName>
    <definedName name="wrn.whole._.document.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3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5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5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localSheetId="1" hidden="1">{#N/A,#N/A,FALSE,"W&amp;Spirits";#N/A,#N/A,FALSE,"Grants";#N/A,#N/A,FALSE,"CCB"}</definedName>
    <definedName name="wrn.WineSpirits." localSheetId="3" hidden="1">{#N/A,#N/A,FALSE,"W&amp;Spirits";#N/A,#N/A,FALSE,"Grants";#N/A,#N/A,FALSE,"CCB"}</definedName>
    <definedName name="wrn.WineSpirits." localSheetId="4" hidden="1">{#N/A,#N/A,FALSE,"W&amp;Spirits";#N/A,#N/A,FALSE,"Grants";#N/A,#N/A,FALSE,"CCB"}</definedName>
    <definedName name="wrn.WineSpirits." localSheetId="5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x" localSheetId="1" hidden="1">{#N/A,#N/A,FALSE,"COMPWITH ";#N/A,#N/A,FALSE,"PROFORMA";#N/A,#N/A,FALSE,"COMPWO";#N/A,#N/A,FALSE,"LII";#N/A,#N/A,FALSE,"global";#N/A,#N/A,FALSE,"oio";#N/A,#N/A,FALSE,"dom comb";#N/A,#N/A,FALSE,"intl comb"}</definedName>
    <definedName name="wrn.x" localSheetId="3" hidden="1">{#N/A,#N/A,FALSE,"COMPWITH ";#N/A,#N/A,FALSE,"PROFORMA";#N/A,#N/A,FALSE,"COMPWO";#N/A,#N/A,FALSE,"LII";#N/A,#N/A,FALSE,"global";#N/A,#N/A,FALSE,"oio";#N/A,#N/A,FALSE,"dom comb";#N/A,#N/A,FALSE,"intl comb"}</definedName>
    <definedName name="wrn.x" localSheetId="4" hidden="1">{#N/A,#N/A,FALSE,"COMPWITH ";#N/A,#N/A,FALSE,"PROFORMA";#N/A,#N/A,FALSE,"COMPWO";#N/A,#N/A,FALSE,"LII";#N/A,#N/A,FALSE,"global";#N/A,#N/A,FALSE,"oio";#N/A,#N/A,FALSE,"dom comb";#N/A,#N/A,FALSE,"intl comb"}</definedName>
    <definedName name="wrn.x" localSheetId="5" hidden="1">{#N/A,#N/A,FALSE,"COMPWITH ";#N/A,#N/A,FALSE,"PROFORMA";#N/A,#N/A,FALSE,"COMPWO";#N/A,#N/A,FALSE,"LII";#N/A,#N/A,FALSE,"global";#N/A,#N/A,FALSE,"oio";#N/A,#N/A,FALSE,"dom comb";#N/A,#N/A,FALSE,"intl comb"}</definedName>
    <definedName name="wrn.x" hidden="1">{#N/A,#N/A,FALSE,"COMPWITH ";#N/A,#N/A,FALSE,"PROFORMA";#N/A,#N/A,FALSE,"COMPWO";#N/A,#N/A,FALSE,"LII";#N/A,#N/A,FALSE,"global";#N/A,#N/A,FALSE,"oio";#N/A,#N/A,FALSE,"dom comb";#N/A,#N/A,FALSE,"intl comb"}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2.Bplan." localSheetId="1" hidden="1">{#N/A,#N/A,FALSE,"F_Plan";#N/A,#N/A,FALSE,"Parameter"}</definedName>
    <definedName name="wrn2.Bplan." localSheetId="3" hidden="1">{#N/A,#N/A,FALSE,"F_Plan";#N/A,#N/A,FALSE,"Parameter"}</definedName>
    <definedName name="wrn2.Bplan." localSheetId="4" hidden="1">{#N/A,#N/A,FALSE,"F_Plan";#N/A,#N/A,FALSE,"Parameter"}</definedName>
    <definedName name="wrn2.Bplan." localSheetId="5" hidden="1">{#N/A,#N/A,FALSE,"F_Plan";#N/A,#N/A,FALSE,"Parameter"}</definedName>
    <definedName name="wrn2.Bplan." hidden="1">{#N/A,#N/A,FALSE,"F_Plan";#N/A,#N/A,FALSE,"Parameter"}</definedName>
    <definedName name="WRN2.Document" localSheetId="1" hidden="1">{"consolidated",#N/A,FALSE,"Sheet1";"cms",#N/A,FALSE,"Sheet1";"fse",#N/A,FALSE,"Sheet1"}</definedName>
    <definedName name="WRN2.Document" localSheetId="3" hidden="1">{"consolidated",#N/A,FALSE,"Sheet1";"cms",#N/A,FALSE,"Sheet1";"fse",#N/A,FALSE,"Sheet1"}</definedName>
    <definedName name="WRN2.Document" localSheetId="4" hidden="1">{"consolidated",#N/A,FALSE,"Sheet1";"cms",#N/A,FALSE,"Sheet1";"fse",#N/A,FALSE,"Sheet1"}</definedName>
    <definedName name="WRN2.Document" localSheetId="5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x" localSheetId="1" hidden="1">{#N/A,#N/A,FALSE,"COMPWITH ";#N/A,#N/A,FALSE,"PROFORMA";#N/A,#N/A,FALSE,"COMPWO";#N/A,#N/A,FALSE,"LII";#N/A,#N/A,FALSE,"global";#N/A,#N/A,FALSE,"oio";#N/A,#N/A,FALSE,"dom comb";#N/A,#N/A,FALSE,"intl comb"}</definedName>
    <definedName name="wrnx" localSheetId="3" hidden="1">{#N/A,#N/A,FALSE,"COMPWITH ";#N/A,#N/A,FALSE,"PROFORMA";#N/A,#N/A,FALSE,"COMPWO";#N/A,#N/A,FALSE,"LII";#N/A,#N/A,FALSE,"global";#N/A,#N/A,FALSE,"oio";#N/A,#N/A,FALSE,"dom comb";#N/A,#N/A,FALSE,"intl comb"}</definedName>
    <definedName name="wrnx" localSheetId="4" hidden="1">{#N/A,#N/A,FALSE,"COMPWITH ";#N/A,#N/A,FALSE,"PROFORMA";#N/A,#N/A,FALSE,"COMPWO";#N/A,#N/A,FALSE,"LII";#N/A,#N/A,FALSE,"global";#N/A,#N/A,FALSE,"oio";#N/A,#N/A,FALSE,"dom comb";#N/A,#N/A,FALSE,"intl comb"}</definedName>
    <definedName name="wrnx" localSheetId="5" hidden="1">{#N/A,#N/A,FALSE,"COMPWITH ";#N/A,#N/A,FALSE,"PROFORMA";#N/A,#N/A,FALSE,"COMPWO";#N/A,#N/A,FALSE,"LII";#N/A,#N/A,FALSE,"global";#N/A,#N/A,FALSE,"oio";#N/A,#N/A,FALSE,"dom comb";#N/A,#N/A,FALSE,"intl comb"}</definedName>
    <definedName name="wrnx" hidden="1">{#N/A,#N/A,FALSE,"COMPWITH ";#N/A,#N/A,FALSE,"PROFORMA";#N/A,#N/A,FALSE,"COMPWO";#N/A,#N/A,FALSE,"LII";#N/A,#N/A,FALSE,"global";#N/A,#N/A,FALSE,"oio";#N/A,#N/A,FALSE,"dom comb";#N/A,#N/A,FALSE,"intl comb"}</definedName>
    <definedName name="wsw" hidden="1">#REF!</definedName>
    <definedName name="XC" localSheetId="1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XC" localSheetId="3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XC" localSheetId="4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XC" localSheetId="5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XC" hidden="1">{#N/A,#N/A,FALSE,"newsum";#N/A,#N/A,FALSE,"sellship ";#N/A,#N/A,FALSE,"pen";#N/A,#N/A,FALSE,"dcom";#N/A,#N/A,FALSE,"elstship";#N/A,#N/A,FALSE,"elstshipry";#N/A,#N/A,FALSE,"clstship";#N/A,#N/A,FALSE,"pxstship";#N/A,#N/A,FALSE,"arstship ";#N/A,#N/A,FALSE,"orstship"}</definedName>
    <definedName name="XRefColumnsCount" hidden="1">5</definedName>
    <definedName name="XRefCopy1" hidden="1">#REF!</definedName>
    <definedName name="XRefCopy2" hidden="1">#REF!</definedName>
    <definedName name="XRefCopy3" hidden="1">#REF!</definedName>
    <definedName name="XRefCopy4" hidden="1">#REF!</definedName>
    <definedName name="XRefCopyRangeCount" hidden="1">10</definedName>
    <definedName name="XRefPasteRangeCount" hidden="1">3</definedName>
    <definedName name="xsdq" localSheetId="1" hidden="1">{"'Matrix'!$A$3:$J$47"}</definedName>
    <definedName name="xsdq" localSheetId="3" hidden="1">{"'Matrix'!$A$3:$J$47"}</definedName>
    <definedName name="xsdq" localSheetId="4" hidden="1">{"'Matrix'!$A$3:$J$47"}</definedName>
    <definedName name="xsdq" localSheetId="5" hidden="1">{"'Matrix'!$A$3:$J$47"}</definedName>
    <definedName name="xsdq" hidden="1">{"'Matrix'!$A$3:$J$47"}</definedName>
    <definedName name="xxxx" localSheetId="1" hidden="1">{#N/A,#N/A,FALSE,"elraw";#N/A,#N/A,FALSE,"clraw ";#N/A,#N/A,FALSE,"pxraw ";#N/A,#N/A,FALSE,"arraw ";#N/A,#N/A,FALSE,"orraw ";#N/A,#N/A,FALSE,"90raw  ";#N/A,#N/A,FALSE,"dcraw   "}</definedName>
    <definedName name="xxxx" localSheetId="3" hidden="1">{#N/A,#N/A,FALSE,"elraw";#N/A,#N/A,FALSE,"clraw ";#N/A,#N/A,FALSE,"pxraw ";#N/A,#N/A,FALSE,"arraw ";#N/A,#N/A,FALSE,"orraw ";#N/A,#N/A,FALSE,"90raw  ";#N/A,#N/A,FALSE,"dcraw   "}</definedName>
    <definedName name="xxxx" localSheetId="4" hidden="1">{#N/A,#N/A,FALSE,"elraw";#N/A,#N/A,FALSE,"clraw ";#N/A,#N/A,FALSE,"pxraw ";#N/A,#N/A,FALSE,"arraw ";#N/A,#N/A,FALSE,"orraw ";#N/A,#N/A,FALSE,"90raw  ";#N/A,#N/A,FALSE,"dcraw   "}</definedName>
    <definedName name="xxxx" localSheetId="5" hidden="1">{#N/A,#N/A,FALSE,"elraw";#N/A,#N/A,FALSE,"clraw ";#N/A,#N/A,FALSE,"pxraw ";#N/A,#N/A,FALSE,"arraw ";#N/A,#N/A,FALSE,"orraw ";#N/A,#N/A,FALSE,"90raw  ";#N/A,#N/A,FALSE,"dcraw   "}</definedName>
    <definedName name="xxxx" hidden="1">{#N/A,#N/A,FALSE,"elraw";#N/A,#N/A,FALSE,"clraw ";#N/A,#N/A,FALSE,"pxraw ";#N/A,#N/A,FALSE,"arraw ";#N/A,#N/A,FALSE,"orraw ";#N/A,#N/A,FALSE,"90raw  ";#N/A,#N/A,FALSE,"dcraw   "}</definedName>
    <definedName name="xxxxx" localSheetId="1" hidden="1">{"10yp capex",#N/A,FALSE,"Celtel alternative 6"}</definedName>
    <definedName name="xxxxx" localSheetId="3" hidden="1">{"10yp capex",#N/A,FALSE,"Celtel alternative 6"}</definedName>
    <definedName name="xxxxx" localSheetId="4" hidden="1">{"10yp capex",#N/A,FALSE,"Celtel alternative 6"}</definedName>
    <definedName name="xxxxx" localSheetId="5" hidden="1">{"10yp capex",#N/A,FALSE,"Celtel alternative 6"}</definedName>
    <definedName name="xxxxx" hidden="1">{"10yp capex",#N/A,FALSE,"Celtel alternative 6"}</definedName>
    <definedName name="xxxxxx" localSheetId="1" hidden="1">{#N/A,#N/A,FALSE,"elraw";#N/A,#N/A,FALSE,"clraw ";#N/A,#N/A,FALSE,"pxraw ";#N/A,#N/A,FALSE,"arraw ";#N/A,#N/A,FALSE,"orraw ";#N/A,#N/A,FALSE,"90raw  ";#N/A,#N/A,FALSE,"dcraw   "}</definedName>
    <definedName name="xxxxxx" localSheetId="3" hidden="1">{#N/A,#N/A,FALSE,"elraw";#N/A,#N/A,FALSE,"clraw ";#N/A,#N/A,FALSE,"pxraw ";#N/A,#N/A,FALSE,"arraw ";#N/A,#N/A,FALSE,"orraw ";#N/A,#N/A,FALSE,"90raw  ";#N/A,#N/A,FALSE,"dcraw   "}</definedName>
    <definedName name="xxxxxx" localSheetId="4" hidden="1">{#N/A,#N/A,FALSE,"elraw";#N/A,#N/A,FALSE,"clraw ";#N/A,#N/A,FALSE,"pxraw ";#N/A,#N/A,FALSE,"arraw ";#N/A,#N/A,FALSE,"orraw ";#N/A,#N/A,FALSE,"90raw  ";#N/A,#N/A,FALSE,"dcraw   "}</definedName>
    <definedName name="xxxxxx" localSheetId="5" hidden="1">{#N/A,#N/A,FALSE,"elraw";#N/A,#N/A,FALSE,"clraw ";#N/A,#N/A,FALSE,"pxraw ";#N/A,#N/A,FALSE,"arraw ";#N/A,#N/A,FALSE,"orraw ";#N/A,#N/A,FALSE,"90raw  ";#N/A,#N/A,FALSE,"dcraw   "}</definedName>
    <definedName name="xxxxxx" hidden="1">{#N/A,#N/A,FALSE,"elraw";#N/A,#N/A,FALSE,"clraw ";#N/A,#N/A,FALSE,"pxraw ";#N/A,#N/A,FALSE,"arraw ";#N/A,#N/A,FALSE,"orraw ";#N/A,#N/A,FALSE,"90raw  ";#N/A,#N/A,FALSE,"dcraw   "}</definedName>
    <definedName name="yfj" localSheetId="1" hidden="1">{#N/A,#N/A,TRUE,"Cover sheet";#N/A,#N/A,TRUE,"INPUTS";#N/A,#N/A,TRUE,"OUTPUTS";#N/A,#N/A,TRUE,"VALUATION"}</definedName>
    <definedName name="yfj" localSheetId="3" hidden="1">{#N/A,#N/A,TRUE,"Cover sheet";#N/A,#N/A,TRUE,"INPUTS";#N/A,#N/A,TRUE,"OUTPUTS";#N/A,#N/A,TRUE,"VALUATION"}</definedName>
    <definedName name="yfj" localSheetId="4" hidden="1">{#N/A,#N/A,TRUE,"Cover sheet";#N/A,#N/A,TRUE,"INPUTS";#N/A,#N/A,TRUE,"OUTPUTS";#N/A,#N/A,TRUE,"VALUATION"}</definedName>
    <definedName name="yfj" localSheetId="5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uuuuuuu" localSheetId="1" hidden="1">{"ratios",#N/A,FALSE,"Summary Accounts"}</definedName>
    <definedName name="yuuuuuuu" localSheetId="3" hidden="1">{"ratios",#N/A,FALSE,"Summary Accounts"}</definedName>
    <definedName name="yuuuuuuu" localSheetId="4" hidden="1">{"ratios",#N/A,FALSE,"Summary Accounts"}</definedName>
    <definedName name="yuuuuuuu" localSheetId="5" hidden="1">{"ratios",#N/A,FALSE,"Summary Accounts"}</definedName>
    <definedName name="yuuuuuuu" hidden="1">{"ratios",#N/A,FALSE,"Summary Accounts"}</definedName>
    <definedName name="yyyyyy" localSheetId="1" hidden="1">{"p_l",#N/A,FALSE,"Summary Accounts"}</definedName>
    <definedName name="yyyyyy" localSheetId="3" hidden="1">{"p_l",#N/A,FALSE,"Summary Accounts"}</definedName>
    <definedName name="yyyyyy" localSheetId="4" hidden="1">{"p_l",#N/A,FALSE,"Summary Accounts"}</definedName>
    <definedName name="yyyyyy" localSheetId="5" hidden="1">{"p_l",#N/A,FALSE,"Summary Accounts"}</definedName>
    <definedName name="yyyyyy" hidden="1">{"p_l",#N/A,FALSE,"Summary Accounts"}</definedName>
    <definedName name="Z_06720266_7E26_11D2_ADE3_00805F95B375_.wvu.Cols" hidden="1">#REF!</definedName>
    <definedName name="Z_067203B3_7E26_11D2_ADE3_00805F95B375_.wvu.Cols" hidden="1">#REF!</definedName>
    <definedName name="Z_11C7DDC7_7B2F_11D2_ADE0_00805F95B375_.wvu.Cols" hidden="1">#REF!</definedName>
    <definedName name="Z_181FFD78_7D60_11D2_ADE2_00805F95B375_.wvu.Cols" hidden="1">#REF!</definedName>
    <definedName name="Z_1D7D5815_840D_4C0B_B6F4_45A75E234EF7_.wvu.Cols" hidden="1">#REF!,#REF!,#REF!</definedName>
    <definedName name="Z_1D7D5815_840D_4C0B_B6F4_45A75E234EF7_.wvu.FilterData" hidden="1">#REF!</definedName>
    <definedName name="Z_1D7D5815_840D_4C0B_B6F4_45A75E234EF7_.wvu.PrintArea" hidden="1">#REF!</definedName>
    <definedName name="Z_1D7D5815_840D_4C0B_B6F4_45A75E234EF7_.wvu.PrintTitles" hidden="1">#REF!</definedName>
    <definedName name="Z_27EB9F30_0081_11D2_9F28_00805F7F02C4_.wvu.Cols" hidden="1">#REF!</definedName>
    <definedName name="Z_2DCA8DA0_82FE_11D2_ADE8_00805F95B375_.wvu.Cols" hidden="1">#REF!</definedName>
    <definedName name="Z_332CA821_6D7A_11D5_B762_00A0C90CFCF0_.wvu.PrintArea" hidden="1">#REF!</definedName>
    <definedName name="Z_3B9EDB70_1369_43DF_AF9B_3C8AAED41F29_.wvu.Cols" hidden="1">#REF!,#REF!</definedName>
    <definedName name="Z_3B9EDB70_1369_43DF_AF9B_3C8AAED41F29_.wvu.FilterData" hidden="1">#REF!</definedName>
    <definedName name="Z_3B9EDB70_1369_43DF_AF9B_3C8AAED41F29_.wvu.PrintArea" hidden="1">#REF!</definedName>
    <definedName name="Z_3B9EDB70_1369_43DF_AF9B_3C8AAED41F29_.wvu.PrintTitles" hidden="1">#REF!</definedName>
    <definedName name="Z_3D5E9AAB_CEB2_44B9_A8DF_0A125FA98F8C_.wvu.Cols" hidden="1">#REF!,#REF!</definedName>
    <definedName name="Z_3D5E9AAB_CEB2_44B9_A8DF_0A125FA98F8C_.wvu.FilterData" hidden="1">#REF!</definedName>
    <definedName name="Z_3D5E9AAB_CEB2_44B9_A8DF_0A125FA98F8C_.wvu.PrintArea" hidden="1">#REF!</definedName>
    <definedName name="Z_3D5E9AAB_CEB2_44B9_A8DF_0A125FA98F8C_.wvu.PrintTitles" hidden="1">#REF!</definedName>
    <definedName name="Z_42F3BDF6_A7E5_4A54_9C06_2B472A7BF3B4_.wvu.Cols" hidden="1">#REF!,#REF!,#REF!</definedName>
    <definedName name="Z_42F3BDF6_A7E5_4A54_9C06_2B472A7BF3B4_.wvu.FilterData" hidden="1">#REF!</definedName>
    <definedName name="Z_42F3BDF6_A7E5_4A54_9C06_2B472A7BF3B4_.wvu.PrintArea" hidden="1">#REF!</definedName>
    <definedName name="Z_42F3BDF6_A7E5_4A54_9C06_2B472A7BF3B4_.wvu.PrintTitles" hidden="1">#REF!</definedName>
    <definedName name="Z_4B66AC98_5DCC_4F35_B494_61028EB1EB24_.wvu.FilterData" hidden="1">#REF!</definedName>
    <definedName name="Z_549D7716_AC65_430E_A665_36E4B342B66B_.wvu.FilterData" hidden="1">#REF!</definedName>
    <definedName name="Z_5FEF13CC_2715_4153_BE0C_8CAE8F1C7B42_.wvu.FilterData" hidden="1">#REF!</definedName>
    <definedName name="Z_61992FB7_5C94_47CA_90F5_A293717668B3_.wvu.Rows" hidden="1">#REF!</definedName>
    <definedName name="Z_6F55F008_920C_481D_957E_805A84AEE762_.wvu.FilterData" hidden="1">#REF!</definedName>
    <definedName name="Z_995F3848_6366_11D2_BB55_0008C7F43FB6_.wvu.Cols" hidden="1">#REF!</definedName>
    <definedName name="Z_B1BA2520_2444_44D8_946A_2F58E8758A53_.wvu.FilterData" hidden="1">#REF!</definedName>
    <definedName name="Z_B28E156B_4473_4078_A1A0_5C7F43C440EE_.wvu.FilterData" hidden="1">#REF!</definedName>
    <definedName name="Z_C8446067_629F_11D2_BB54_0008C7F43FB6_.wvu.Cols" hidden="1">#REF!</definedName>
    <definedName name="Z_C84460A2_629F_11D2_BB54_0008C7F43FB6_.wvu.Cols" hidden="1">#REF!</definedName>
    <definedName name="Z_C9C3E578_349C_4BFD_815D_7CC644BE7A3A_.wvu.PrintArea" hidden="1">#REF!</definedName>
    <definedName name="Z_D6C3FE80_8086_11D2_ADE6_00805F95B375_.wvu.Cols" hidden="1">#REF!</definedName>
    <definedName name="Z_D98FCB71_7FBA_11D2_ADE5_00805F95B375_.wvu.Cols" hidden="1">#REF!</definedName>
    <definedName name="Z_E5929A5F_6563_4666_9F66_C9B793B07544_.wvu.FilterData" hidden="1">#REF!</definedName>
    <definedName name="Z_EA5D69E0_7EF0_11D2_ADE4_00805F95B375_.wvu.Cols" hidden="1">#REF!</definedName>
    <definedName name="Z_EE999DA0_1A4E_4FB0_91E3_EEEAFDDB6F25_.wvu.PrintArea" hidden="1">#REF!</definedName>
    <definedName name="Z_FB1C70E8_04DE_4931_B6CA_01EAC5102205_.wvu.FilterData" hidden="1">#REF!</definedName>
    <definedName name="Z_FC84E37A_59C5_473A_A64E_A9503AE85BD8_.wvu.Cols" hidden="1">#REF!,#REF!</definedName>
    <definedName name="Z_FC84E37A_59C5_473A_A64E_A9503AE85BD8_.wvu.FilterData" hidden="1">#REF!</definedName>
    <definedName name="Z_FC84E37A_59C5_473A_A64E_A9503AE85BD8_.wvu.PrintArea" hidden="1">#REF!</definedName>
    <definedName name="Z_FC84E37A_59C5_473A_A64E_A9503AE85BD8_.wvu.PrintTitles" hidden="1">#REF!</definedName>
    <definedName name="ZA" localSheetId="1" hidden="1">{#N/A,#N/A,FALSE,"elraw";#N/A,#N/A,FALSE,"clraw ";#N/A,#N/A,FALSE,"pxraw ";#N/A,#N/A,FALSE,"arraw ";#N/A,#N/A,FALSE,"orraw ";#N/A,#N/A,FALSE,"90raw  ";#N/A,#N/A,FALSE,"dcraw   "}</definedName>
    <definedName name="ZA" localSheetId="3" hidden="1">{#N/A,#N/A,FALSE,"elraw";#N/A,#N/A,FALSE,"clraw ";#N/A,#N/A,FALSE,"pxraw ";#N/A,#N/A,FALSE,"arraw ";#N/A,#N/A,FALSE,"orraw ";#N/A,#N/A,FALSE,"90raw  ";#N/A,#N/A,FALSE,"dcraw   "}</definedName>
    <definedName name="ZA" localSheetId="4" hidden="1">{#N/A,#N/A,FALSE,"elraw";#N/A,#N/A,FALSE,"clraw ";#N/A,#N/A,FALSE,"pxraw ";#N/A,#N/A,FALSE,"arraw ";#N/A,#N/A,FALSE,"orraw ";#N/A,#N/A,FALSE,"90raw  ";#N/A,#N/A,FALSE,"dcraw   "}</definedName>
    <definedName name="ZA" localSheetId="5" hidden="1">{#N/A,#N/A,FALSE,"elraw";#N/A,#N/A,FALSE,"clraw ";#N/A,#N/A,FALSE,"pxraw ";#N/A,#N/A,FALSE,"arraw ";#N/A,#N/A,FALSE,"orraw ";#N/A,#N/A,FALSE,"90raw  ";#N/A,#N/A,FALSE,"dcraw   "}</definedName>
    <definedName name="ZA" hidden="1">{#N/A,#N/A,FALSE,"elraw";#N/A,#N/A,FALSE,"clraw ";#N/A,#N/A,FALSE,"pxraw ";#N/A,#N/A,FALSE,"arraw ";#N/A,#N/A,FALSE,"orraw ";#N/A,#N/A,FALSE,"90raw  ";#N/A,#N/A,FALSE,"dcraw   "}</definedName>
    <definedName name="zzz" localSheetId="1" hidden="1">{#N/A,#N/A,FALSE,"P&amp;L"}</definedName>
    <definedName name="zzz" localSheetId="3" hidden="1">{#N/A,#N/A,FALSE,"P&amp;L"}</definedName>
    <definedName name="zzz" localSheetId="4" hidden="1">{#N/A,#N/A,FALSE,"P&amp;L"}</definedName>
    <definedName name="zzz" localSheetId="5" hidden="1">{#N/A,#N/A,FALSE,"P&amp;L"}</definedName>
    <definedName name="zzz" hidden="1">{#N/A,#N/A,FALSE,"P&amp;L"}</definedName>
    <definedName name="건가new" localSheetId="1" hidden="1">{#N/A,#N/A,FALSE,"BS";#N/A,#N/A,FALSE,"PL";#N/A,#N/A,FALSE,"처분";#N/A,#N/A,FALSE,"현금";#N/A,#N/A,FALSE,"매출";#N/A,#N/A,FALSE,"원가";#N/A,#N/A,FALSE,"경영"}</definedName>
    <definedName name="건가new" localSheetId="3" hidden="1">{#N/A,#N/A,FALSE,"BS";#N/A,#N/A,FALSE,"PL";#N/A,#N/A,FALSE,"처분";#N/A,#N/A,FALSE,"현금";#N/A,#N/A,FALSE,"매출";#N/A,#N/A,FALSE,"원가";#N/A,#N/A,FALSE,"경영"}</definedName>
    <definedName name="건가new" localSheetId="4" hidden="1">{#N/A,#N/A,FALSE,"BS";#N/A,#N/A,FALSE,"PL";#N/A,#N/A,FALSE,"처분";#N/A,#N/A,FALSE,"현금";#N/A,#N/A,FALSE,"매출";#N/A,#N/A,FALSE,"원가";#N/A,#N/A,FALSE,"경영"}</definedName>
    <definedName name="건가new" localSheetId="5" hidden="1">{#N/A,#N/A,FALSE,"BS";#N/A,#N/A,FALSE,"PL";#N/A,#N/A,FALSE,"처분";#N/A,#N/A,FALSE,"현금";#N/A,#N/A,FALSE,"매출";#N/A,#N/A,FALSE,"원가";#N/A,#N/A,FALSE,"경영"}</definedName>
    <definedName name="건가new" hidden="1">{#N/A,#N/A,FALSE,"BS";#N/A,#N/A,FALSE,"PL";#N/A,#N/A,FALSE,"처분";#N/A,#N/A,FALSE,"현금";#N/A,#N/A,FALSE,"매출";#N/A,#N/A,FALSE,"원가";#N/A,#N/A,FALSE,"경영"}</definedName>
    <definedName name="备案" localSheetId="1" hidden="1">{"'毛利比较'!$A$4:$P$26"}</definedName>
    <definedName name="备案" localSheetId="3" hidden="1">{"'毛利比较'!$A$4:$P$26"}</definedName>
    <definedName name="备案" localSheetId="4" hidden="1">{"'毛利比较'!$A$4:$P$26"}</definedName>
    <definedName name="备案" localSheetId="5" hidden="1">{"'毛利比较'!$A$4:$P$26"}</definedName>
    <definedName name="备案" hidden="1">{"'毛利比较'!$A$4:$P$26"}</definedName>
    <definedName name="결산공고" localSheetId="1" hidden="1">{#N/A,#N/A,FALSE,"BS";#N/A,#N/A,FALSE,"PL";#N/A,#N/A,FALSE,"처분";#N/A,#N/A,FALSE,"현금";#N/A,#N/A,FALSE,"매출";#N/A,#N/A,FALSE,"원가";#N/A,#N/A,FALSE,"경영"}</definedName>
    <definedName name="결산공고" localSheetId="3" hidden="1">{#N/A,#N/A,FALSE,"BS";#N/A,#N/A,FALSE,"PL";#N/A,#N/A,FALSE,"처분";#N/A,#N/A,FALSE,"현금";#N/A,#N/A,FALSE,"매출";#N/A,#N/A,FALSE,"원가";#N/A,#N/A,FALSE,"경영"}</definedName>
    <definedName name="결산공고" localSheetId="4" hidden="1">{#N/A,#N/A,FALSE,"BS";#N/A,#N/A,FALSE,"PL";#N/A,#N/A,FALSE,"처분";#N/A,#N/A,FALSE,"현금";#N/A,#N/A,FALSE,"매출";#N/A,#N/A,FALSE,"원가";#N/A,#N/A,FALSE,"경영"}</definedName>
    <definedName name="결산공고" localSheetId="5" hidden="1">{#N/A,#N/A,FALSE,"BS";#N/A,#N/A,FALSE,"PL";#N/A,#N/A,FALSE,"처분";#N/A,#N/A,FALSE,"현금";#N/A,#N/A,FALSE,"매출";#N/A,#N/A,FALSE,"원가";#N/A,#N/A,FALSE,"경영"}</definedName>
    <definedName name="결산공고" hidden="1">{#N/A,#N/A,FALSE,"BS";#N/A,#N/A,FALSE,"PL";#N/A,#N/A,FALSE,"처분";#N/A,#N/A,FALSE,"현금";#N/A,#N/A,FALSE,"매출";#N/A,#N/A,FALSE,"원가";#N/A,#N/A,FALSE,"경영"}</definedName>
    <definedName name="결손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localSheetId="1" hidden="1">{#N/A,#N/A,FALSE,"BS";#N/A,#N/A,FALSE,"PL";#N/A,#N/A,FALSE,"처분";#N/A,#N/A,FALSE,"현금";#N/A,#N/A,FALSE,"매출";#N/A,#N/A,FALSE,"원가";#N/A,#N/A,FALSE,"경영"}</definedName>
    <definedName name="결손금" localSheetId="3" hidden="1">{#N/A,#N/A,FALSE,"BS";#N/A,#N/A,FALSE,"PL";#N/A,#N/A,FALSE,"처분";#N/A,#N/A,FALSE,"현금";#N/A,#N/A,FALSE,"매출";#N/A,#N/A,FALSE,"원가";#N/A,#N/A,FALSE,"경영"}</definedName>
    <definedName name="결손금" localSheetId="4" hidden="1">{#N/A,#N/A,FALSE,"BS";#N/A,#N/A,FALSE,"PL";#N/A,#N/A,FALSE,"처분";#N/A,#N/A,FALSE,"현금";#N/A,#N/A,FALSE,"매출";#N/A,#N/A,FALSE,"원가";#N/A,#N/A,FALSE,"경영"}</definedName>
    <definedName name="결손금" localSheetId="5" hidden="1">{#N/A,#N/A,FALSE,"BS";#N/A,#N/A,FALSE,"PL";#N/A,#N/A,FALSE,"처분";#N/A,#N/A,FALSE,"현금";#N/A,#N/A,FALSE,"매출";#N/A,#N/A,FALSE,"원가";#N/A,#N/A,FALSE,"경영"}</definedName>
    <definedName name="결손금" hidden="1">{#N/A,#N/A,FALSE,"BS";#N/A,#N/A,FALSE,"PL";#N/A,#N/A,FALSE,"처분";#N/A,#N/A,FALSE,"현금";#N/A,#N/A,FALSE,"매출";#N/A,#N/A,FALSE,"원가";#N/A,#N/A,FALSE,"경영"}</definedName>
    <definedName name="测试" hidden="1">#REF!</definedName>
    <definedName name="策略说明" localSheetId="1" hidden="1">{"'毛利比较'!$A$4:$P$26"}</definedName>
    <definedName name="策略说明" localSheetId="3" hidden="1">{"'毛利比较'!$A$4:$P$26"}</definedName>
    <definedName name="策略说明" localSheetId="4" hidden="1">{"'毛利比较'!$A$4:$P$26"}</definedName>
    <definedName name="策略说明" localSheetId="5" hidden="1">{"'毛利比较'!$A$4:$P$26"}</definedName>
    <definedName name="策略说明" hidden="1">{"'毛利比较'!$A$4:$P$26"}</definedName>
    <definedName name="拆解3" hidden="1">#REF!</definedName>
    <definedName name="成本差" hidden="1">#REF!</definedName>
    <definedName name="城市" localSheetId="1" hidden="1">{"'毛利比较'!$A$4:$P$26"}</definedName>
    <definedName name="城市" localSheetId="3" hidden="1">{"'毛利比较'!$A$4:$P$26"}</definedName>
    <definedName name="城市" localSheetId="4" hidden="1">{"'毛利比较'!$A$4:$P$26"}</definedName>
    <definedName name="城市" localSheetId="5" hidden="1">{"'毛利比较'!$A$4:$P$26"}</definedName>
    <definedName name="城市" hidden="1">{"'毛利比较'!$A$4:$P$26"}</definedName>
    <definedName name="待定" hidden="1">#REF!</definedName>
    <definedName name="地方" hidden="1">#REF!</definedName>
    <definedName name="的" localSheetId="1" hidden="1">{"'毛利比较'!$A$4:$P$26"}</definedName>
    <definedName name="的" localSheetId="3" hidden="1">{"'毛利比较'!$A$4:$P$26"}</definedName>
    <definedName name="的" localSheetId="4" hidden="1">{"'毛利比较'!$A$4:$P$26"}</definedName>
    <definedName name="的" localSheetId="5" hidden="1">{"'毛利比较'!$A$4:$P$26"}</definedName>
    <definedName name="的" hidden="1">{"'毛利比较'!$A$4:$P$26"}</definedName>
    <definedName name="短短的" localSheetId="1" hidden="1">{"'毛利比较'!$A$4:$P$26"}</definedName>
    <definedName name="短短的" localSheetId="3" hidden="1">{"'毛利比较'!$A$4:$P$26"}</definedName>
    <definedName name="短短的" localSheetId="4" hidden="1">{"'毛利比较'!$A$4:$P$26"}</definedName>
    <definedName name="短短的" localSheetId="5" hidden="1">{"'毛利比较'!$A$4:$P$26"}</definedName>
    <definedName name="短短的" hidden="1">{"'毛利比较'!$A$4:$P$26"}</definedName>
    <definedName name="呃呃呃呃呃" localSheetId="1" hidden="1">{"'毛利比较'!$A$4:$P$26"}</definedName>
    <definedName name="呃呃呃呃呃" localSheetId="3" hidden="1">{"'毛利比较'!$A$4:$P$26"}</definedName>
    <definedName name="呃呃呃呃呃" localSheetId="4" hidden="1">{"'毛利比较'!$A$4:$P$26"}</definedName>
    <definedName name="呃呃呃呃呃" localSheetId="5" hidden="1">{"'毛利比较'!$A$4:$P$26"}</definedName>
    <definedName name="呃呃呃呃呃" hidden="1">{"'毛利比较'!$A$4:$P$26"}</definedName>
    <definedName name="非标流程" hidden="1">#REF!</definedName>
    <definedName name="福州" localSheetId="1" hidden="1">{"'毛利比较'!$A$4:$P$26"}</definedName>
    <definedName name="福州" localSheetId="3" hidden="1">{"'毛利比较'!$A$4:$P$26"}</definedName>
    <definedName name="福州" localSheetId="4" hidden="1">{"'毛利比较'!$A$4:$P$26"}</definedName>
    <definedName name="福州" localSheetId="5" hidden="1">{"'毛利比较'!$A$4:$P$26"}</definedName>
    <definedName name="福州" hidden="1">{"'毛利比较'!$A$4:$P$26"}</definedName>
    <definedName name="福州第一波增加部分" localSheetId="1" hidden="1">{"'毛利比较'!$A$4:$P$26"}</definedName>
    <definedName name="福州第一波增加部分" localSheetId="3" hidden="1">{"'毛利比较'!$A$4:$P$26"}</definedName>
    <definedName name="福州第一波增加部分" localSheetId="4" hidden="1">{"'毛利比较'!$A$4:$P$26"}</definedName>
    <definedName name="福州第一波增加部分" localSheetId="5" hidden="1">{"'毛利比较'!$A$4:$P$26"}</definedName>
    <definedName name="福州第一波增加部分" hidden="1">{"'毛利比较'!$A$4:$P$26"}</definedName>
    <definedName name="ㄴ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哈哈哈" hidden="1">#REF!</definedName>
    <definedName name="后天" localSheetId="1" hidden="1">{"'毛利比较'!$A$4:$P$26"}</definedName>
    <definedName name="后天" localSheetId="3" hidden="1">{"'毛利比较'!$A$4:$P$26"}</definedName>
    <definedName name="后天" localSheetId="4" hidden="1">{"'毛利比较'!$A$4:$P$26"}</definedName>
    <definedName name="后天" localSheetId="5" hidden="1">{"'毛利比较'!$A$4:$P$26"}</definedName>
    <definedName name="后天" hidden="1">{"'毛利比较'!$A$4:$P$26"}</definedName>
    <definedName name="呼和浩特" localSheetId="1" hidden="1">{"'毛利比较'!$A$4:$P$26"}</definedName>
    <definedName name="呼和浩特" localSheetId="3" hidden="1">{"'毛利比较'!$A$4:$P$26"}</definedName>
    <definedName name="呼和浩特" localSheetId="4" hidden="1">{"'毛利比较'!$A$4:$P$26"}</definedName>
    <definedName name="呼和浩特" localSheetId="5" hidden="1">{"'毛利比较'!$A$4:$P$26"}</definedName>
    <definedName name="呼和浩特" hidden="1">{"'毛利比较'!$A$4:$P$26"}</definedName>
    <definedName name="活动总结" hidden="1">#REF!</definedName>
    <definedName name="竟品" hidden="1">#REF!</definedName>
    <definedName name="淨額差" hidden="1">#REF!</definedName>
    <definedName name="客服号" hidden="1">#REF!</definedName>
    <definedName name="枯" hidden="1">#REF!</definedName>
    <definedName name="庫存成" hidden="1">#REF!</definedName>
    <definedName name="模板" localSheetId="1" hidden="1">{"'毛利比较'!$A$4:$P$26"}</definedName>
    <definedName name="模板" localSheetId="3" hidden="1">{"'毛利比较'!$A$4:$P$26"}</definedName>
    <definedName name="模板" localSheetId="4" hidden="1">{"'毛利比较'!$A$4:$P$26"}</definedName>
    <definedName name="模板" localSheetId="5" hidden="1">{"'毛利比较'!$A$4:$P$26"}</definedName>
    <definedName name="模板" hidden="1">{"'毛利比较'!$A$4:$P$26"}</definedName>
    <definedName name="目" localSheetId="1" hidden="1">{"'毛利比较'!$A$4:$P$26"}</definedName>
    <definedName name="目" localSheetId="3" hidden="1">{"'毛利比较'!$A$4:$P$26"}</definedName>
    <definedName name="目" localSheetId="4" hidden="1">{"'毛利比较'!$A$4:$P$26"}</definedName>
    <definedName name="目" localSheetId="5" hidden="1">{"'毛利比较'!$A$4:$P$26"}</definedName>
    <definedName name="目" hidden="1">{"'毛利比较'!$A$4:$P$26"}</definedName>
    <definedName name="七夕预售" hidden="1">#REF!</definedName>
    <definedName name="青岛" hidden="1">#REF!</definedName>
    <definedName name="区域结构试算" localSheetId="1" hidden="1">{"'毛利比较'!$A$4:$P$26"}</definedName>
    <definedName name="区域结构试算" localSheetId="3" hidden="1">{"'毛利比较'!$A$4:$P$26"}</definedName>
    <definedName name="区域结构试算" localSheetId="4" hidden="1">{"'毛利比较'!$A$4:$P$26"}</definedName>
    <definedName name="区域结构试算" localSheetId="5" hidden="1">{"'毛利比较'!$A$4:$P$26"}</definedName>
    <definedName name="区域结构试算" hidden="1">{"'毛利比较'!$A$4:$P$26"}</definedName>
    <definedName name="区域市场潜力分析" localSheetId="1" hidden="1">{"'毛利比较'!$A$4:$P$26"}</definedName>
    <definedName name="区域市场潜力分析" localSheetId="3" hidden="1">{"'毛利比较'!$A$4:$P$26"}</definedName>
    <definedName name="区域市场潜力分析" localSheetId="4" hidden="1">{"'毛利比较'!$A$4:$P$26"}</definedName>
    <definedName name="区域市场潜力分析" localSheetId="5" hidden="1">{"'毛利比较'!$A$4:$P$26"}</definedName>
    <definedName name="区域市场潜力分析" hidden="1">{"'毛利比较'!$A$4:$P$26"}</definedName>
    <definedName name="趨勢" hidden="1">#REF!</definedName>
    <definedName name="软性" localSheetId="1" hidden="1">{"'毛利比较'!$A$4:$P$26"}</definedName>
    <definedName name="软性" localSheetId="3" hidden="1">{"'毛利比较'!$A$4:$P$26"}</definedName>
    <definedName name="软性" localSheetId="4" hidden="1">{"'毛利比较'!$A$4:$P$26"}</definedName>
    <definedName name="软性" localSheetId="5" hidden="1">{"'毛利比较'!$A$4:$P$26"}</definedName>
    <definedName name="软性" hidden="1">{"'毛利比较'!$A$4:$P$26"}</definedName>
    <definedName name="撒旦法" hidden="1">#REF!</definedName>
    <definedName name="上海车展" localSheetId="1" hidden="1">{"'毛利比较'!$A$4:$P$26"}</definedName>
    <definedName name="上海车展" localSheetId="3" hidden="1">{"'毛利比较'!$A$4:$P$26"}</definedName>
    <definedName name="上海车展" localSheetId="4" hidden="1">{"'毛利比较'!$A$4:$P$26"}</definedName>
    <definedName name="上海车展" localSheetId="5" hidden="1">{"'毛利比较'!$A$4:$P$26"}</definedName>
    <definedName name="上海车展" hidden="1">{"'毛利比较'!$A$4:$P$26"}</definedName>
    <definedName name="上期" hidden="1">#REF!</definedName>
    <definedName name="上期2" hidden="1">#REF!</definedName>
    <definedName name="是" localSheetId="1" hidden="1">{"'毛利比较'!$A$4:$P$26"}</definedName>
    <definedName name="是" localSheetId="3" hidden="1">{"'毛利比较'!$A$4:$P$26"}</definedName>
    <definedName name="是" localSheetId="4" hidden="1">{"'毛利比较'!$A$4:$P$26"}</definedName>
    <definedName name="是" localSheetId="5" hidden="1">{"'毛利比较'!$A$4:$P$26"}</definedName>
    <definedName name="是" hidden="1">{"'毛利比较'!$A$4:$P$26"}</definedName>
    <definedName name="微博奖励资源2" hidden="1">#REF!</definedName>
    <definedName name="西安1" hidden="1">#REF!</definedName>
    <definedName name="西安2" hidden="1">#REF!</definedName>
    <definedName name="新表格" hidden="1">#REF!</definedName>
    <definedName name="预售" hidden="1">#REF!</definedName>
    <definedName name="重庆" localSheetId="1" hidden="1">{"'毛利比较'!$A$4:$P$26"}</definedName>
    <definedName name="重庆" localSheetId="3" hidden="1">{"'毛利比较'!$A$4:$P$26"}</definedName>
    <definedName name="重庆" localSheetId="4" hidden="1">{"'毛利比较'!$A$4:$P$26"}</definedName>
    <definedName name="重庆" localSheetId="5" hidden="1">{"'毛利比较'!$A$4:$P$26"}</definedName>
    <definedName name="重庆" hidden="1">{"'毛利比较'!$A$4:$P$26"}</definedName>
    <definedName name="상품" hidden="1">#REF!</definedName>
    <definedName name="세무조정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원1" hidden="1">#REF!</definedName>
    <definedName name="원2" hidden="1">#REF!</definedName>
    <definedName name="원3" hidden="1">#REF!</definedName>
    <definedName name="원가1" hidden="1">#REF!</definedName>
    <definedName name="현금및등가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5" i="3" l="1"/>
  <c r="H19" i="3"/>
  <c r="H18" i="3"/>
  <c r="H15" i="3"/>
  <c r="M98" i="13" l="1"/>
  <c r="M100" i="13"/>
  <c r="W81" i="13"/>
  <c r="AE81" i="13"/>
  <c r="AE80" i="13"/>
  <c r="AE79" i="13"/>
  <c r="AE62" i="13"/>
  <c r="AE61" i="13"/>
  <c r="AE60" i="13"/>
  <c r="AE43" i="13"/>
  <c r="AE42" i="13"/>
  <c r="AE41" i="13"/>
  <c r="AE17" i="13"/>
  <c r="AE19" i="13"/>
  <c r="V100" i="13" l="1"/>
  <c r="V99" i="13"/>
  <c r="W99" i="13" s="1"/>
  <c r="V98" i="13"/>
  <c r="W98" i="13" s="1"/>
  <c r="Z100" i="13"/>
  <c r="AA100" i="13" s="1"/>
  <c r="Y100" i="13"/>
  <c r="R100" i="13"/>
  <c r="S100" i="13" s="1"/>
  <c r="Q100" i="13"/>
  <c r="N100" i="13"/>
  <c r="L100" i="13"/>
  <c r="K100" i="13"/>
  <c r="J100" i="13"/>
  <c r="I100" i="13"/>
  <c r="H100" i="13"/>
  <c r="AD99" i="13"/>
  <c r="AE99" i="13" s="1"/>
  <c r="AB99" i="13"/>
  <c r="AA99" i="13"/>
  <c r="U99" i="13"/>
  <c r="T99" i="13"/>
  <c r="S99" i="13"/>
  <c r="P99" i="13"/>
  <c r="O99" i="13"/>
  <c r="M99" i="13"/>
  <c r="AD98" i="13"/>
  <c r="AE98" i="13" s="1"/>
  <c r="AB98" i="13"/>
  <c r="AA98" i="13"/>
  <c r="U98" i="13"/>
  <c r="T98" i="13"/>
  <c r="S98" i="13"/>
  <c r="P98" i="13"/>
  <c r="O98" i="13"/>
  <c r="V81" i="13"/>
  <c r="V80" i="13"/>
  <c r="W80" i="13" s="1"/>
  <c r="V79" i="13"/>
  <c r="Z81" i="13"/>
  <c r="AA81" i="13" s="1"/>
  <c r="Y81" i="13"/>
  <c r="R81" i="13"/>
  <c r="S81" i="13" s="1"/>
  <c r="Q81" i="13"/>
  <c r="N81" i="13"/>
  <c r="O81" i="13" s="1"/>
  <c r="L81" i="13"/>
  <c r="K81" i="13"/>
  <c r="J81" i="13"/>
  <c r="I81" i="13"/>
  <c r="H81" i="13"/>
  <c r="AD80" i="13"/>
  <c r="AB80" i="13"/>
  <c r="AA80" i="13"/>
  <c r="U80" i="13"/>
  <c r="T80" i="13"/>
  <c r="S80" i="13"/>
  <c r="P80" i="13"/>
  <c r="O80" i="13"/>
  <c r="M80" i="13"/>
  <c r="AD79" i="13"/>
  <c r="AB79" i="13"/>
  <c r="AA79" i="13"/>
  <c r="W79" i="13"/>
  <c r="U79" i="13"/>
  <c r="T79" i="13"/>
  <c r="S79" i="13"/>
  <c r="P79" i="13"/>
  <c r="O79" i="13"/>
  <c r="M79" i="13"/>
  <c r="AD60" i="13"/>
  <c r="AC62" i="13"/>
  <c r="V62" i="13"/>
  <c r="V61" i="13"/>
  <c r="V60" i="13"/>
  <c r="V43" i="13"/>
  <c r="V42" i="13"/>
  <c r="W42" i="13" s="1"/>
  <c r="V41" i="13"/>
  <c r="W41" i="13" s="1"/>
  <c r="Z62" i="13"/>
  <c r="AA62" i="13" s="1"/>
  <c r="Y62" i="13"/>
  <c r="R62" i="13"/>
  <c r="S62" i="13" s="1"/>
  <c r="Q62" i="13"/>
  <c r="N62" i="13"/>
  <c r="L62" i="13"/>
  <c r="K62" i="13"/>
  <c r="J62" i="13"/>
  <c r="I62" i="13"/>
  <c r="H62" i="13"/>
  <c r="AD61" i="13"/>
  <c r="AB61" i="13"/>
  <c r="AA61" i="13"/>
  <c r="W61" i="13"/>
  <c r="U61" i="13"/>
  <c r="T61" i="13"/>
  <c r="S61" i="13"/>
  <c r="P61" i="13"/>
  <c r="O61" i="13"/>
  <c r="M61" i="13"/>
  <c r="AB60" i="13"/>
  <c r="AA60" i="13"/>
  <c r="W60" i="13"/>
  <c r="U60" i="13"/>
  <c r="T60" i="13"/>
  <c r="S60" i="13"/>
  <c r="P60" i="13"/>
  <c r="O60" i="13"/>
  <c r="M60" i="13"/>
  <c r="AC43" i="13"/>
  <c r="AB41" i="13"/>
  <c r="M43" i="13"/>
  <c r="Z43" i="13"/>
  <c r="Y43" i="13"/>
  <c r="R43" i="13"/>
  <c r="Q43" i="13"/>
  <c r="N43" i="13"/>
  <c r="L43" i="13"/>
  <c r="K43" i="13"/>
  <c r="J43" i="13"/>
  <c r="I43" i="13"/>
  <c r="H43" i="13"/>
  <c r="AD42" i="13"/>
  <c r="AB42" i="13"/>
  <c r="AA42" i="13"/>
  <c r="U42" i="13"/>
  <c r="T42" i="13"/>
  <c r="S42" i="13"/>
  <c r="P42" i="13"/>
  <c r="O42" i="13"/>
  <c r="M42" i="13"/>
  <c r="AD41" i="13"/>
  <c r="AA41" i="13"/>
  <c r="U41" i="13"/>
  <c r="T41" i="13"/>
  <c r="S41" i="13"/>
  <c r="P41" i="13"/>
  <c r="O41" i="13"/>
  <c r="M41" i="13"/>
  <c r="V25" i="13"/>
  <c r="W25" i="13" s="1"/>
  <c r="U25" i="13"/>
  <c r="T25" i="13"/>
  <c r="S25" i="13"/>
  <c r="P25" i="13"/>
  <c r="O25" i="13"/>
  <c r="M25" i="13"/>
  <c r="Y19" i="13"/>
  <c r="AD17" i="13"/>
  <c r="V18" i="13"/>
  <c r="W18" i="13" s="1"/>
  <c r="V17" i="13"/>
  <c r="W17" i="13" s="1"/>
  <c r="U17" i="13"/>
  <c r="R19" i="13"/>
  <c r="V19" i="13" s="1"/>
  <c r="Q19" i="13"/>
  <c r="N19" i="13"/>
  <c r="P17" i="13"/>
  <c r="M17" i="13"/>
  <c r="J19" i="13"/>
  <c r="H19" i="13"/>
  <c r="Z19" i="13"/>
  <c r="L19" i="13"/>
  <c r="K19" i="13"/>
  <c r="I19" i="13"/>
  <c r="AD18" i="13"/>
  <c r="AA18" i="13"/>
  <c r="S18" i="13"/>
  <c r="P18" i="13"/>
  <c r="O18" i="13"/>
  <c r="AA17" i="13"/>
  <c r="S17" i="13"/>
  <c r="O17" i="13"/>
  <c r="AC100" i="13" l="1"/>
  <c r="P100" i="13"/>
  <c r="O100" i="13"/>
  <c r="U100" i="13"/>
  <c r="W100" i="13"/>
  <c r="T100" i="13"/>
  <c r="AB100" i="13"/>
  <c r="AD100" i="13"/>
  <c r="AC81" i="13"/>
  <c r="P81" i="13"/>
  <c r="U81" i="13"/>
  <c r="M81" i="13"/>
  <c r="AB81" i="13"/>
  <c r="T81" i="13"/>
  <c r="AD81" i="13"/>
  <c r="P62" i="13"/>
  <c r="O62" i="13"/>
  <c r="U62" i="13"/>
  <c r="W62" i="13"/>
  <c r="T62" i="13"/>
  <c r="M62" i="13"/>
  <c r="AB62" i="13"/>
  <c r="AD62" i="13"/>
  <c r="S43" i="13"/>
  <c r="O43" i="13"/>
  <c r="P43" i="13"/>
  <c r="AA43" i="13"/>
  <c r="T43" i="13"/>
  <c r="W43" i="13"/>
  <c r="AB43" i="13"/>
  <c r="U43" i="13"/>
  <c r="AD43" i="13"/>
  <c r="AC19" i="13"/>
  <c r="AD19" i="13"/>
  <c r="AB19" i="13"/>
  <c r="AA19" i="13"/>
  <c r="P19" i="13"/>
  <c r="O19" i="13"/>
  <c r="AE18" i="13"/>
  <c r="AB17" i="13"/>
  <c r="T17" i="13"/>
  <c r="S19" i="13"/>
  <c r="T18" i="13"/>
  <c r="U18" i="13"/>
  <c r="M18" i="13"/>
  <c r="AB18" i="13"/>
  <c r="AF100" i="13" l="1"/>
  <c r="AE100" i="13"/>
  <c r="AF81" i="13"/>
  <c r="AF62" i="13"/>
  <c r="AF43" i="13"/>
  <c r="M19" i="13"/>
  <c r="T19" i="13"/>
  <c r="U19" i="13"/>
  <c r="W19" i="13"/>
  <c r="N19" i="3" l="1"/>
  <c r="N18" i="3"/>
  <c r="AF123" i="10"/>
  <c r="AD123" i="10" s="1"/>
  <c r="AA123" i="10"/>
  <c r="V123" i="10"/>
  <c r="S123" i="10"/>
  <c r="P123" i="10"/>
  <c r="O123" i="10"/>
  <c r="J123" i="10"/>
  <c r="AF122" i="10"/>
  <c r="Z122" i="10"/>
  <c r="AD122" i="10" s="1"/>
  <c r="Y122" i="10"/>
  <c r="R122" i="10"/>
  <c r="Q122" i="10"/>
  <c r="P122" i="10" s="1"/>
  <c r="N122" i="10"/>
  <c r="O122" i="10" s="1"/>
  <c r="L122" i="10"/>
  <c r="K122" i="10"/>
  <c r="K123" i="10" s="1"/>
  <c r="J122" i="10"/>
  <c r="I122" i="10"/>
  <c r="I123" i="10" s="1"/>
  <c r="AD121" i="10"/>
  <c r="AE121" i="10" s="1"/>
  <c r="AA121" i="10"/>
  <c r="V121" i="10"/>
  <c r="W121" i="10" s="1"/>
  <c r="S121" i="10"/>
  <c r="P121" i="10"/>
  <c r="O121" i="10"/>
  <c r="H121" i="10"/>
  <c r="AE120" i="10"/>
  <c r="AD120" i="10"/>
  <c r="AA120" i="10"/>
  <c r="V120" i="10"/>
  <c r="W120" i="10" s="1"/>
  <c r="U120" i="10"/>
  <c r="T120" i="10"/>
  <c r="S120" i="10"/>
  <c r="P120" i="10"/>
  <c r="O120" i="10"/>
  <c r="H120" i="10"/>
  <c r="H122" i="10" s="1"/>
  <c r="AF104" i="10"/>
  <c r="AD104" i="10"/>
  <c r="AA104" i="10"/>
  <c r="V104" i="10"/>
  <c r="S104" i="10"/>
  <c r="P104" i="10"/>
  <c r="O104" i="10"/>
  <c r="H104" i="10"/>
  <c r="AF103" i="10"/>
  <c r="AD103" i="10" s="1"/>
  <c r="Z103" i="10"/>
  <c r="Y103" i="10"/>
  <c r="R103" i="10"/>
  <c r="V103" i="10" s="1"/>
  <c r="W103" i="10" s="1"/>
  <c r="Q103" i="10"/>
  <c r="P103" i="10"/>
  <c r="O103" i="10"/>
  <c r="N103" i="10"/>
  <c r="L103" i="10"/>
  <c r="K103" i="10"/>
  <c r="K104" i="10" s="1"/>
  <c r="J103" i="10"/>
  <c r="J104" i="10" s="1"/>
  <c r="I103" i="10"/>
  <c r="I104" i="10" s="1"/>
  <c r="H103" i="10"/>
  <c r="AE102" i="10"/>
  <c r="AD102" i="10"/>
  <c r="AA102" i="10"/>
  <c r="V102" i="10"/>
  <c r="W102" i="10" s="1"/>
  <c r="U102" i="10"/>
  <c r="T102" i="10"/>
  <c r="S102" i="10"/>
  <c r="P102" i="10"/>
  <c r="O102" i="10"/>
  <c r="H102" i="10"/>
  <c r="AC102" i="10" s="1"/>
  <c r="AD101" i="10"/>
  <c r="AE101" i="10" s="1"/>
  <c r="AC101" i="10"/>
  <c r="AA101" i="10"/>
  <c r="V101" i="10"/>
  <c r="W101" i="10" s="1"/>
  <c r="U101" i="10"/>
  <c r="T101" i="10"/>
  <c r="S101" i="10"/>
  <c r="P101" i="10"/>
  <c r="O101" i="10"/>
  <c r="H101" i="10"/>
  <c r="AB101" i="10" s="1"/>
  <c r="AF83" i="10"/>
  <c r="AD83" i="10"/>
  <c r="AA83" i="10"/>
  <c r="V83" i="10"/>
  <c r="S83" i="10"/>
  <c r="P83" i="10"/>
  <c r="O83" i="10"/>
  <c r="AF82" i="10"/>
  <c r="AD82" i="10"/>
  <c r="AE82" i="10" s="1"/>
  <c r="Z82" i="10"/>
  <c r="AA82" i="10" s="1"/>
  <c r="Y82" i="10"/>
  <c r="V82" i="10"/>
  <c r="W82" i="10" s="1"/>
  <c r="U82" i="10"/>
  <c r="R82" i="10"/>
  <c r="S82" i="10" s="1"/>
  <c r="Q82" i="10"/>
  <c r="N82" i="10"/>
  <c r="M82" i="10"/>
  <c r="L82" i="10"/>
  <c r="K82" i="10"/>
  <c r="K83" i="10" s="1"/>
  <c r="J82" i="10"/>
  <c r="J83" i="10" s="1"/>
  <c r="I82" i="10"/>
  <c r="I83" i="10" s="1"/>
  <c r="H82" i="10"/>
  <c r="AC82" i="10" s="1"/>
  <c r="AD81" i="10"/>
  <c r="AE81" i="10" s="1"/>
  <c r="AC81" i="10"/>
  <c r="AA81" i="10"/>
  <c r="V81" i="10"/>
  <c r="W81" i="10" s="1"/>
  <c r="U81" i="10"/>
  <c r="T81" i="10"/>
  <c r="S81" i="10"/>
  <c r="P81" i="10"/>
  <c r="O81" i="10"/>
  <c r="H81" i="10"/>
  <c r="AB81" i="10" s="1"/>
  <c r="AD80" i="10"/>
  <c r="AE80" i="10" s="1"/>
  <c r="AC80" i="10"/>
  <c r="AB80" i="10"/>
  <c r="AA80" i="10"/>
  <c r="V80" i="10"/>
  <c r="W80" i="10" s="1"/>
  <c r="U80" i="10"/>
  <c r="T80" i="10"/>
  <c r="S80" i="10"/>
  <c r="P80" i="10"/>
  <c r="O80" i="10"/>
  <c r="M80" i="10"/>
  <c r="H80" i="10"/>
  <c r="AF62" i="10"/>
  <c r="AD62" i="10"/>
  <c r="AA62" i="10"/>
  <c r="V62" i="10"/>
  <c r="S62" i="10"/>
  <c r="P62" i="10"/>
  <c r="O62" i="10"/>
  <c r="AF61" i="10"/>
  <c r="AD61" i="10"/>
  <c r="Z61" i="10"/>
  <c r="AA61" i="10" s="1"/>
  <c r="Y61" i="10"/>
  <c r="V61" i="10"/>
  <c r="S61" i="10"/>
  <c r="R61" i="10"/>
  <c r="Q61" i="10"/>
  <c r="N61" i="10"/>
  <c r="P61" i="10" s="1"/>
  <c r="L61" i="10"/>
  <c r="K61" i="10"/>
  <c r="K62" i="10" s="1"/>
  <c r="J61" i="10"/>
  <c r="J62" i="10" s="1"/>
  <c r="I61" i="10"/>
  <c r="I62" i="10" s="1"/>
  <c r="AD60" i="10"/>
  <c r="AE60" i="10" s="1"/>
  <c r="AC60" i="10"/>
  <c r="AB60" i="10"/>
  <c r="AA60" i="10"/>
  <c r="V60" i="10"/>
  <c r="W60" i="10" s="1"/>
  <c r="U60" i="10"/>
  <c r="T60" i="10"/>
  <c r="S60" i="10"/>
  <c r="P60" i="10"/>
  <c r="O60" i="10"/>
  <c r="M60" i="10"/>
  <c r="H60" i="10"/>
  <c r="AD59" i="10"/>
  <c r="AA59" i="10"/>
  <c r="V59" i="10"/>
  <c r="W59" i="10" s="1"/>
  <c r="S59" i="10"/>
  <c r="P59" i="10"/>
  <c r="O59" i="10"/>
  <c r="H59" i="10"/>
  <c r="AD41" i="10"/>
  <c r="AA41" i="10"/>
  <c r="V41" i="10"/>
  <c r="S41" i="10"/>
  <c r="P41" i="10"/>
  <c r="O41" i="10"/>
  <c r="K41" i="10"/>
  <c r="J41" i="10"/>
  <c r="I41" i="10"/>
  <c r="H41" i="10"/>
  <c r="U41" i="10" s="1"/>
  <c r="Z40" i="10"/>
  <c r="Y40" i="10"/>
  <c r="R40" i="10"/>
  <c r="V40" i="10" s="1"/>
  <c r="W40" i="10" s="1"/>
  <c r="Q40" i="10"/>
  <c r="P40" i="10"/>
  <c r="O40" i="10"/>
  <c r="N40" i="10"/>
  <c r="L40" i="10"/>
  <c r="K40" i="10"/>
  <c r="J40" i="10"/>
  <c r="I40" i="10"/>
  <c r="H40" i="10"/>
  <c r="AE39" i="10"/>
  <c r="AD39" i="10"/>
  <c r="AA39" i="10"/>
  <c r="V39" i="10"/>
  <c r="W39" i="10" s="1"/>
  <c r="U39" i="10"/>
  <c r="T39" i="10"/>
  <c r="S39" i="10"/>
  <c r="P39" i="10"/>
  <c r="O39" i="10"/>
  <c r="H39" i="10"/>
  <c r="AC39" i="10" s="1"/>
  <c r="AE38" i="10"/>
  <c r="AD38" i="10"/>
  <c r="AC38" i="10"/>
  <c r="AA38" i="10"/>
  <c r="V38" i="10"/>
  <c r="W38" i="10" s="1"/>
  <c r="U38" i="10"/>
  <c r="T38" i="10"/>
  <c r="S38" i="10"/>
  <c r="P38" i="10"/>
  <c r="O38" i="10"/>
  <c r="H38" i="10"/>
  <c r="AB38" i="10" s="1"/>
  <c r="AF22" i="10"/>
  <c r="AD22" i="10"/>
  <c r="AA22" i="10"/>
  <c r="V22" i="10"/>
  <c r="S22" i="10"/>
  <c r="P22" i="10"/>
  <c r="O22" i="10"/>
  <c r="AF21" i="10"/>
  <c r="AD21" i="10"/>
  <c r="Z21" i="10"/>
  <c r="AA21" i="10" s="1"/>
  <c r="Y21" i="10"/>
  <c r="V21" i="10"/>
  <c r="R21" i="10"/>
  <c r="S21" i="10" s="1"/>
  <c r="Q21" i="10"/>
  <c r="N21" i="10"/>
  <c r="P21" i="10" s="1"/>
  <c r="L21" i="10"/>
  <c r="K21" i="10"/>
  <c r="K22" i="10" s="1"/>
  <c r="J21" i="10"/>
  <c r="J22" i="10" s="1"/>
  <c r="I21" i="10"/>
  <c r="I22" i="10" s="1"/>
  <c r="AD20" i="10"/>
  <c r="AE20" i="10" s="1"/>
  <c r="AC20" i="10"/>
  <c r="AA20" i="10"/>
  <c r="V20" i="10"/>
  <c r="W20" i="10" s="1"/>
  <c r="U20" i="10"/>
  <c r="T20" i="10"/>
  <c r="S20" i="10"/>
  <c r="P20" i="10"/>
  <c r="O20" i="10"/>
  <c r="H20" i="10"/>
  <c r="AB20" i="10" s="1"/>
  <c r="AD19" i="10"/>
  <c r="AE19" i="10" s="1"/>
  <c r="AC19" i="10"/>
  <c r="AB19" i="10"/>
  <c r="AA19" i="10"/>
  <c r="V19" i="10"/>
  <c r="W19" i="10" s="1"/>
  <c r="U19" i="10"/>
  <c r="T19" i="10"/>
  <c r="S19" i="10"/>
  <c r="P19" i="10"/>
  <c r="O19" i="10"/>
  <c r="M19" i="10"/>
  <c r="H19" i="10"/>
  <c r="AD18" i="10"/>
  <c r="AA18" i="10"/>
  <c r="V18" i="10"/>
  <c r="W18" i="10" s="1"/>
  <c r="S18" i="10"/>
  <c r="P18" i="10"/>
  <c r="O18" i="10"/>
  <c r="H18" i="10"/>
  <c r="AB103" i="10" l="1"/>
  <c r="U103" i="10"/>
  <c r="M103" i="10"/>
  <c r="AC103" i="10"/>
  <c r="T103" i="10"/>
  <c r="T40" i="10"/>
  <c r="AB40" i="10"/>
  <c r="U40" i="10"/>
  <c r="M40" i="10"/>
  <c r="AC40" i="10"/>
  <c r="P82" i="10"/>
  <c r="O82" i="10"/>
  <c r="U18" i="10"/>
  <c r="H21" i="10"/>
  <c r="T18" i="10"/>
  <c r="AC18" i="10"/>
  <c r="AB18" i="10"/>
  <c r="AE41" i="10"/>
  <c r="AE59" i="10"/>
  <c r="W61" i="10"/>
  <c r="W104" i="10"/>
  <c r="AA122" i="10"/>
  <c r="W123" i="10"/>
  <c r="AC104" i="10"/>
  <c r="U104" i="10"/>
  <c r="AB104" i="10"/>
  <c r="M104" i="10"/>
  <c r="W41" i="10"/>
  <c r="O21" i="10"/>
  <c r="H123" i="10"/>
  <c r="T122" i="10"/>
  <c r="AB122" i="10"/>
  <c r="U122" i="10"/>
  <c r="M122" i="10"/>
  <c r="AC122" i="10"/>
  <c r="T104" i="10"/>
  <c r="AE122" i="10"/>
  <c r="M18" i="10"/>
  <c r="U59" i="10"/>
  <c r="AC59" i="10"/>
  <c r="T59" i="10"/>
  <c r="H61" i="10"/>
  <c r="AB59" i="10"/>
  <c r="M59" i="10"/>
  <c r="AA103" i="10"/>
  <c r="AC41" i="10"/>
  <c r="AB41" i="10"/>
  <c r="M41" i="10"/>
  <c r="AE104" i="10"/>
  <c r="S122" i="10"/>
  <c r="V122" i="10"/>
  <c r="W122" i="10" s="1"/>
  <c r="AE18" i="10"/>
  <c r="U121" i="10"/>
  <c r="T121" i="10"/>
  <c r="AC121" i="10"/>
  <c r="AB121" i="10"/>
  <c r="M121" i="10"/>
  <c r="AD40" i="10"/>
  <c r="AE40" i="10" s="1"/>
  <c r="AA40" i="10"/>
  <c r="T41" i="10"/>
  <c r="AE103" i="10"/>
  <c r="AE123" i="10"/>
  <c r="H83" i="10"/>
  <c r="M39" i="10"/>
  <c r="S40" i="10"/>
  <c r="O61" i="10"/>
  <c r="M102" i="10"/>
  <c r="S103" i="10"/>
  <c r="M120" i="10"/>
  <c r="AB39" i="10"/>
  <c r="AB102" i="10"/>
  <c r="AB120" i="10"/>
  <c r="M20" i="10"/>
  <c r="M38" i="10"/>
  <c r="M81" i="10"/>
  <c r="AB82" i="10"/>
  <c r="M101" i="10"/>
  <c r="AC120" i="10"/>
  <c r="T82" i="10"/>
  <c r="AC21" i="10" l="1"/>
  <c r="T21" i="10"/>
  <c r="AB21" i="10"/>
  <c r="H22" i="10"/>
  <c r="W21" i="10"/>
  <c r="U21" i="10"/>
  <c r="M21" i="10"/>
  <c r="H62" i="10"/>
  <c r="U61" i="10"/>
  <c r="AB61" i="10"/>
  <c r="M61" i="10"/>
  <c r="T61" i="10"/>
  <c r="AC61" i="10"/>
  <c r="T123" i="10"/>
  <c r="AC123" i="10"/>
  <c r="AB123" i="10"/>
  <c r="M123" i="10"/>
  <c r="U123" i="10"/>
  <c r="AE61" i="10"/>
  <c r="M83" i="10"/>
  <c r="U83" i="10"/>
  <c r="T83" i="10"/>
  <c r="AB83" i="10"/>
  <c r="AC83" i="10"/>
  <c r="W83" i="10"/>
  <c r="AE83" i="10"/>
  <c r="AE21" i="10"/>
  <c r="AC62" i="10" l="1"/>
  <c r="U62" i="10"/>
  <c r="T62" i="10"/>
  <c r="AB62" i="10"/>
  <c r="M62" i="10"/>
  <c r="W62" i="10"/>
  <c r="AE62" i="10"/>
  <c r="M22" i="10"/>
  <c r="T22" i="10"/>
  <c r="U22" i="10"/>
  <c r="AB22" i="10"/>
  <c r="AC22" i="10"/>
  <c r="W22" i="10"/>
  <c r="AE22" i="10"/>
  <c r="H16" i="8" l="1"/>
  <c r="I10" i="3"/>
  <c r="H13" i="3"/>
  <c r="H12" i="3"/>
  <c r="H10" i="3"/>
  <c r="O10" i="3"/>
  <c r="P10" i="3" s="1"/>
  <c r="I18" i="3"/>
  <c r="S133" i="9"/>
  <c r="P133" i="9"/>
  <c r="M133" i="9"/>
  <c r="L133" i="9"/>
  <c r="AC132" i="9"/>
  <c r="AA132" i="9" s="1"/>
  <c r="W132" i="9"/>
  <c r="X132" i="9" s="1"/>
  <c r="V132" i="9"/>
  <c r="S132" i="9"/>
  <c r="P132" i="9"/>
  <c r="O132" i="9"/>
  <c r="N132" i="9"/>
  <c r="K132" i="9"/>
  <c r="M132" i="9" s="1"/>
  <c r="I132" i="9"/>
  <c r="H132" i="9"/>
  <c r="G132" i="9"/>
  <c r="AA131" i="9"/>
  <c r="AB131" i="9" s="1"/>
  <c r="Z131" i="9"/>
  <c r="Y131" i="9"/>
  <c r="X131" i="9"/>
  <c r="S131" i="9"/>
  <c r="P131" i="9"/>
  <c r="M131" i="9"/>
  <c r="L131" i="9"/>
  <c r="J131" i="9"/>
  <c r="H131" i="9"/>
  <c r="G131" i="9"/>
  <c r="F131" i="9"/>
  <c r="E131" i="9"/>
  <c r="T131" i="9" s="1"/>
  <c r="AA130" i="9"/>
  <c r="AB130" i="9" s="1"/>
  <c r="Z130" i="9"/>
  <c r="Y130" i="9"/>
  <c r="X130" i="9"/>
  <c r="S130" i="9"/>
  <c r="T130" i="9" s="1"/>
  <c r="P130" i="9"/>
  <c r="M130" i="9"/>
  <c r="L130" i="9"/>
  <c r="H130" i="9"/>
  <c r="G130" i="9"/>
  <c r="F130" i="9"/>
  <c r="F132" i="9" s="1"/>
  <c r="E130" i="9"/>
  <c r="Q130" i="9" s="1"/>
  <c r="S115" i="9"/>
  <c r="P115" i="9"/>
  <c r="M115" i="9"/>
  <c r="L115" i="9"/>
  <c r="AC114" i="9"/>
  <c r="AA114" i="9" s="1"/>
  <c r="W114" i="9"/>
  <c r="X114" i="9" s="1"/>
  <c r="V114" i="9"/>
  <c r="S114" i="9"/>
  <c r="T114" i="9" s="1"/>
  <c r="O114" i="9"/>
  <c r="P114" i="9" s="1"/>
  <c r="N114" i="9"/>
  <c r="K114" i="9"/>
  <c r="M114" i="9" s="1"/>
  <c r="I114" i="9"/>
  <c r="H114" i="9"/>
  <c r="G114" i="9"/>
  <c r="F114" i="9"/>
  <c r="AA113" i="9"/>
  <c r="AB113" i="9" s="1"/>
  <c r="Z113" i="9"/>
  <c r="Y113" i="9"/>
  <c r="X113" i="9"/>
  <c r="S113" i="9"/>
  <c r="T113" i="9" s="1"/>
  <c r="R113" i="9"/>
  <c r="Q113" i="9"/>
  <c r="P113" i="9"/>
  <c r="M113" i="9"/>
  <c r="L113" i="9"/>
  <c r="E113" i="9"/>
  <c r="J113" i="9" s="1"/>
  <c r="AA112" i="9"/>
  <c r="AB112" i="9" s="1"/>
  <c r="Z112" i="9"/>
  <c r="Y112" i="9"/>
  <c r="X112" i="9"/>
  <c r="S112" i="9"/>
  <c r="Q112" i="9"/>
  <c r="P112" i="9"/>
  <c r="M112" i="9"/>
  <c r="L112" i="9"/>
  <c r="J112" i="9"/>
  <c r="E112" i="9"/>
  <c r="T112" i="9" s="1"/>
  <c r="AA111" i="9"/>
  <c r="AB111" i="9" s="1"/>
  <c r="X111" i="9"/>
  <c r="S111" i="9"/>
  <c r="T111" i="9" s="1"/>
  <c r="P111" i="9"/>
  <c r="M111" i="9"/>
  <c r="L111" i="9"/>
  <c r="E111" i="9"/>
  <c r="Y111" i="9" s="1"/>
  <c r="AB110" i="9"/>
  <c r="AA110" i="9"/>
  <c r="X110" i="9"/>
  <c r="S110" i="9"/>
  <c r="T110" i="9" s="1"/>
  <c r="R110" i="9"/>
  <c r="Q110" i="9"/>
  <c r="P110" i="9"/>
  <c r="M110" i="9"/>
  <c r="L110" i="9"/>
  <c r="E110" i="9"/>
  <c r="E114" i="9" s="1"/>
  <c r="AA109" i="9"/>
  <c r="AB109" i="9" s="1"/>
  <c r="Z109" i="9"/>
  <c r="Y109" i="9"/>
  <c r="X109" i="9"/>
  <c r="S109" i="9"/>
  <c r="T109" i="9" s="1"/>
  <c r="R109" i="9"/>
  <c r="Q109" i="9"/>
  <c r="P109" i="9"/>
  <c r="M109" i="9"/>
  <c r="L109" i="9"/>
  <c r="E109" i="9"/>
  <c r="J109" i="9" s="1"/>
  <c r="AA108" i="9"/>
  <c r="AB108" i="9" s="1"/>
  <c r="Z108" i="9"/>
  <c r="Y108" i="9"/>
  <c r="X108" i="9"/>
  <c r="S108" i="9"/>
  <c r="Q108" i="9"/>
  <c r="P108" i="9"/>
  <c r="M108" i="9"/>
  <c r="L108" i="9"/>
  <c r="J108" i="9"/>
  <c r="E108" i="9"/>
  <c r="T108" i="9" s="1"/>
  <c r="S92" i="9"/>
  <c r="T92" i="9" s="1"/>
  <c r="P92" i="9"/>
  <c r="M92" i="9"/>
  <c r="L92" i="9"/>
  <c r="AC91" i="9"/>
  <c r="W91" i="9"/>
  <c r="X91" i="9" s="1"/>
  <c r="V91" i="9"/>
  <c r="O91" i="9"/>
  <c r="P91" i="9" s="1"/>
  <c r="N91" i="9"/>
  <c r="M91" i="9" s="1"/>
  <c r="K91" i="9"/>
  <c r="I91" i="9"/>
  <c r="L91" i="9" s="1"/>
  <c r="H91" i="9"/>
  <c r="G91" i="9"/>
  <c r="F91" i="9"/>
  <c r="AA90" i="9"/>
  <c r="X90" i="9"/>
  <c r="S90" i="9"/>
  <c r="T90" i="9" s="1"/>
  <c r="P90" i="9"/>
  <c r="M90" i="9"/>
  <c r="L90" i="9"/>
  <c r="E90" i="9"/>
  <c r="Y90" i="9" s="1"/>
  <c r="AB89" i="9"/>
  <c r="AA89" i="9"/>
  <c r="X89" i="9"/>
  <c r="S89" i="9"/>
  <c r="T89" i="9" s="1"/>
  <c r="R89" i="9"/>
  <c r="Q89" i="9"/>
  <c r="P89" i="9"/>
  <c r="M89" i="9"/>
  <c r="L89" i="9"/>
  <c r="E89" i="9"/>
  <c r="Z89" i="9" s="1"/>
  <c r="AA88" i="9"/>
  <c r="AB88" i="9" s="1"/>
  <c r="Z88" i="9"/>
  <c r="Y88" i="9"/>
  <c r="X88" i="9"/>
  <c r="S88" i="9"/>
  <c r="T88" i="9" s="1"/>
  <c r="R88" i="9"/>
  <c r="Q88" i="9"/>
  <c r="P88" i="9"/>
  <c r="M88" i="9"/>
  <c r="L88" i="9"/>
  <c r="J88" i="9"/>
  <c r="E88" i="9"/>
  <c r="AA87" i="9"/>
  <c r="AB87" i="9" s="1"/>
  <c r="Z87" i="9"/>
  <c r="Y87" i="9"/>
  <c r="X87" i="9"/>
  <c r="S87" i="9"/>
  <c r="T87" i="9" s="1"/>
  <c r="Q87" i="9"/>
  <c r="P87" i="9"/>
  <c r="M87" i="9"/>
  <c r="L87" i="9"/>
  <c r="J87" i="9"/>
  <c r="E87" i="9"/>
  <c r="R87" i="9" s="1"/>
  <c r="AA86" i="9"/>
  <c r="X86" i="9"/>
  <c r="S86" i="9"/>
  <c r="T86" i="9" s="1"/>
  <c r="P86" i="9"/>
  <c r="M86" i="9"/>
  <c r="L86" i="9"/>
  <c r="E86" i="9"/>
  <c r="Y86" i="9" s="1"/>
  <c r="AB85" i="9"/>
  <c r="AA85" i="9"/>
  <c r="X85" i="9"/>
  <c r="S85" i="9"/>
  <c r="T85" i="9" s="1"/>
  <c r="R85" i="9"/>
  <c r="Q85" i="9"/>
  <c r="P85" i="9"/>
  <c r="M85" i="9"/>
  <c r="L85" i="9"/>
  <c r="E85" i="9"/>
  <c r="E91" i="9" s="1"/>
  <c r="S68" i="9"/>
  <c r="P68" i="9"/>
  <c r="M68" i="9"/>
  <c r="L68" i="9"/>
  <c r="AC67" i="9"/>
  <c r="AA67" i="9" s="1"/>
  <c r="AB67" i="9" s="1"/>
  <c r="W67" i="9"/>
  <c r="X67" i="9" s="1"/>
  <c r="V67" i="9"/>
  <c r="S67" i="9"/>
  <c r="P67" i="9"/>
  <c r="O67" i="9"/>
  <c r="N67" i="9"/>
  <c r="K67" i="9"/>
  <c r="M67" i="9" s="1"/>
  <c r="J67" i="9"/>
  <c r="I67" i="9"/>
  <c r="H67" i="9"/>
  <c r="G67" i="9"/>
  <c r="F67" i="9"/>
  <c r="AA66" i="9"/>
  <c r="AB66" i="9" s="1"/>
  <c r="Z66" i="9"/>
  <c r="Y66" i="9"/>
  <c r="X66" i="9"/>
  <c r="S66" i="9"/>
  <c r="T66" i="9" s="1"/>
  <c r="R66" i="9"/>
  <c r="Q66" i="9"/>
  <c r="P66" i="9"/>
  <c r="M66" i="9"/>
  <c r="L66" i="9"/>
  <c r="J66" i="9"/>
  <c r="E66" i="9"/>
  <c r="AA65" i="9"/>
  <c r="AB65" i="9" s="1"/>
  <c r="Z65" i="9"/>
  <c r="Y65" i="9"/>
  <c r="X65" i="9"/>
  <c r="S65" i="9"/>
  <c r="T65" i="9" s="1"/>
  <c r="Q65" i="9"/>
  <c r="P65" i="9"/>
  <c r="M65" i="9"/>
  <c r="L65" i="9"/>
  <c r="J65" i="9"/>
  <c r="E65" i="9"/>
  <c r="R65" i="9" s="1"/>
  <c r="AA64" i="9"/>
  <c r="X64" i="9"/>
  <c r="S64" i="9"/>
  <c r="T64" i="9" s="1"/>
  <c r="P64" i="9"/>
  <c r="M64" i="9"/>
  <c r="L64" i="9"/>
  <c r="E64" i="9"/>
  <c r="Y64" i="9" s="1"/>
  <c r="AB63" i="9"/>
  <c r="AA63" i="9"/>
  <c r="X63" i="9"/>
  <c r="S63" i="9"/>
  <c r="T63" i="9" s="1"/>
  <c r="R63" i="9"/>
  <c r="Q63" i="9"/>
  <c r="P63" i="9"/>
  <c r="M63" i="9"/>
  <c r="L63" i="9"/>
  <c r="E63" i="9"/>
  <c r="E67" i="9" s="1"/>
  <c r="AA62" i="9"/>
  <c r="AB62" i="9" s="1"/>
  <c r="Z62" i="9"/>
  <c r="Y62" i="9"/>
  <c r="X62" i="9"/>
  <c r="S62" i="9"/>
  <c r="T62" i="9" s="1"/>
  <c r="R62" i="9"/>
  <c r="Q62" i="9"/>
  <c r="P62" i="9"/>
  <c r="M62" i="9"/>
  <c r="L62" i="9"/>
  <c r="J62" i="9"/>
  <c r="E62" i="9"/>
  <c r="AA61" i="9"/>
  <c r="AB61" i="9" s="1"/>
  <c r="Z61" i="9"/>
  <c r="Y61" i="9"/>
  <c r="X61" i="9"/>
  <c r="S61" i="9"/>
  <c r="T61" i="9" s="1"/>
  <c r="Q61" i="9"/>
  <c r="P61" i="9"/>
  <c r="M61" i="9"/>
  <c r="L61" i="9"/>
  <c r="J61" i="9"/>
  <c r="E61" i="9"/>
  <c r="R61" i="9" s="1"/>
  <c r="V44" i="9"/>
  <c r="S44" i="9"/>
  <c r="P44" i="9"/>
  <c r="O44" i="9"/>
  <c r="AF43" i="9"/>
  <c r="Z43" i="9"/>
  <c r="Y43" i="9"/>
  <c r="R43" i="9"/>
  <c r="Q43" i="9"/>
  <c r="P43" i="9" s="1"/>
  <c r="N43" i="9"/>
  <c r="L43" i="9"/>
  <c r="O43" i="9" s="1"/>
  <c r="K43" i="9"/>
  <c r="J43" i="9"/>
  <c r="I43" i="9"/>
  <c r="AD42" i="9"/>
  <c r="AA42" i="9"/>
  <c r="V42" i="9"/>
  <c r="W42" i="9" s="1"/>
  <c r="S42" i="9"/>
  <c r="P42" i="9"/>
  <c r="O42" i="9"/>
  <c r="H42" i="9"/>
  <c r="U42" i="9" s="1"/>
  <c r="V41" i="9"/>
  <c r="S41" i="9"/>
  <c r="P41" i="9"/>
  <c r="O41" i="9"/>
  <c r="H41" i="9"/>
  <c r="AD40" i="9"/>
  <c r="AE40" i="9" s="1"/>
  <c r="AA40" i="9"/>
  <c r="V40" i="9"/>
  <c r="W40" i="9" s="1"/>
  <c r="U40" i="9"/>
  <c r="S40" i="9"/>
  <c r="P40" i="9"/>
  <c r="O40" i="9"/>
  <c r="H40" i="9"/>
  <c r="M40" i="9" s="1"/>
  <c r="V22" i="9"/>
  <c r="S22" i="9"/>
  <c r="P22" i="9"/>
  <c r="O22" i="9"/>
  <c r="AF21" i="9"/>
  <c r="Z21" i="9"/>
  <c r="AD21" i="9" s="1"/>
  <c r="Y21" i="9"/>
  <c r="V21" i="9"/>
  <c r="R21" i="9"/>
  <c r="S21" i="9" s="1"/>
  <c r="Q21" i="9"/>
  <c r="N21" i="9"/>
  <c r="L21" i="9"/>
  <c r="K21" i="9"/>
  <c r="J21" i="9"/>
  <c r="I21" i="9"/>
  <c r="AD20" i="9"/>
  <c r="AE20" i="9" s="1"/>
  <c r="AB20" i="9"/>
  <c r="AA20" i="9"/>
  <c r="V20" i="9"/>
  <c r="W20" i="9" s="1"/>
  <c r="U20" i="9"/>
  <c r="T20" i="9"/>
  <c r="S20" i="9"/>
  <c r="P20" i="9"/>
  <c r="O20" i="9"/>
  <c r="H20" i="9"/>
  <c r="AC20" i="9" s="1"/>
  <c r="AD19" i="9"/>
  <c r="AE19" i="9" s="1"/>
  <c r="AC19" i="9"/>
  <c r="AB19" i="9"/>
  <c r="AA19" i="9"/>
  <c r="V19" i="9"/>
  <c r="T19" i="9"/>
  <c r="S19" i="9"/>
  <c r="P19" i="9"/>
  <c r="O19" i="9"/>
  <c r="H19" i="9"/>
  <c r="M19" i="9" s="1"/>
  <c r="AD18" i="9"/>
  <c r="AE18" i="9" s="1"/>
  <c r="AA18" i="9"/>
  <c r="W18" i="9"/>
  <c r="V18" i="9"/>
  <c r="S18" i="9"/>
  <c r="P18" i="9"/>
  <c r="O18" i="9"/>
  <c r="H18" i="9"/>
  <c r="W22" i="9" l="1"/>
  <c r="S43" i="9"/>
  <c r="T67" i="9"/>
  <c r="Q92" i="9"/>
  <c r="Z91" i="9"/>
  <c r="Q91" i="9"/>
  <c r="J92" i="9"/>
  <c r="R92" i="9"/>
  <c r="R91" i="9"/>
  <c r="J91" i="9"/>
  <c r="Y91" i="9"/>
  <c r="W21" i="9"/>
  <c r="AB132" i="9"/>
  <c r="T68" i="9"/>
  <c r="U18" i="9"/>
  <c r="H21" i="9"/>
  <c r="AB18" i="9"/>
  <c r="M18" i="9"/>
  <c r="T18" i="9"/>
  <c r="AC18" i="9"/>
  <c r="M41" i="9"/>
  <c r="U41" i="9"/>
  <c r="T41" i="9"/>
  <c r="J115" i="9"/>
  <c r="R115" i="9"/>
  <c r="R114" i="9"/>
  <c r="J114" i="9"/>
  <c r="Q115" i="9"/>
  <c r="Z114" i="9"/>
  <c r="Q114" i="9"/>
  <c r="Y114" i="9"/>
  <c r="AB114" i="9"/>
  <c r="J68" i="9"/>
  <c r="R68" i="9"/>
  <c r="R67" i="9"/>
  <c r="Q68" i="9"/>
  <c r="Z67" i="9"/>
  <c r="Q67" i="9"/>
  <c r="Y67" i="9"/>
  <c r="P21" i="9"/>
  <c r="O21" i="9"/>
  <c r="W41" i="9"/>
  <c r="AA43" i="9"/>
  <c r="AD43" i="9"/>
  <c r="AE43" i="9" s="1"/>
  <c r="T115" i="9"/>
  <c r="T133" i="9"/>
  <c r="J90" i="9"/>
  <c r="AB42" i="9"/>
  <c r="U19" i="9"/>
  <c r="AA21" i="9"/>
  <c r="AB40" i="9"/>
  <c r="AC42" i="9"/>
  <c r="J63" i="9"/>
  <c r="Z64" i="9"/>
  <c r="J85" i="9"/>
  <c r="Z86" i="9"/>
  <c r="J89" i="9"/>
  <c r="Z90" i="9"/>
  <c r="AA91" i="9"/>
  <c r="AB91" i="9" s="1"/>
  <c r="J110" i="9"/>
  <c r="Z111" i="9"/>
  <c r="R130" i="9"/>
  <c r="Q131" i="9"/>
  <c r="L132" i="9"/>
  <c r="M20" i="9"/>
  <c r="AC40" i="9"/>
  <c r="V43" i="9"/>
  <c r="W43" i="9" s="1"/>
  <c r="Y63" i="9"/>
  <c r="Y85" i="9"/>
  <c r="Y89" i="9"/>
  <c r="S91" i="9"/>
  <c r="T91" i="9" s="1"/>
  <c r="R108" i="9"/>
  <c r="Y110" i="9"/>
  <c r="R112" i="9"/>
  <c r="R131" i="9"/>
  <c r="E132" i="9"/>
  <c r="Z110" i="9"/>
  <c r="Q111" i="9"/>
  <c r="M42" i="9"/>
  <c r="J64" i="9"/>
  <c r="L67" i="9"/>
  <c r="J86" i="9"/>
  <c r="J111" i="9"/>
  <c r="L114" i="9"/>
  <c r="W19" i="9"/>
  <c r="T42" i="9"/>
  <c r="AE42" i="9"/>
  <c r="Z63" i="9"/>
  <c r="Q64" i="9"/>
  <c r="AB64" i="9"/>
  <c r="Z85" i="9"/>
  <c r="Q86" i="9"/>
  <c r="AB86" i="9"/>
  <c r="Q90" i="9"/>
  <c r="AB90" i="9"/>
  <c r="T40" i="9"/>
  <c r="H43" i="9"/>
  <c r="R64" i="9"/>
  <c r="R86" i="9"/>
  <c r="R90" i="9"/>
  <c r="R111" i="9"/>
  <c r="J130" i="9"/>
  <c r="J132" i="9" l="1"/>
  <c r="R133" i="9"/>
  <c r="Q133" i="9"/>
  <c r="Z132" i="9"/>
  <c r="Q132" i="9"/>
  <c r="Y132" i="9"/>
  <c r="R132" i="9"/>
  <c r="J133" i="9"/>
  <c r="U22" i="9"/>
  <c r="U21" i="9"/>
  <c r="M21" i="9"/>
  <c r="T22" i="9"/>
  <c r="AC21" i="9"/>
  <c r="T21" i="9"/>
  <c r="M22" i="9"/>
  <c r="AB21" i="9"/>
  <c r="T132" i="9"/>
  <c r="AC43" i="9"/>
  <c r="M44" i="9"/>
  <c r="W44" i="9"/>
  <c r="T44" i="9"/>
  <c r="AB43" i="9"/>
  <c r="U44" i="9"/>
  <c r="U43" i="9"/>
  <c r="M43" i="9"/>
  <c r="T43" i="9"/>
  <c r="AE21" i="9"/>
  <c r="AD101" i="8" l="1"/>
  <c r="AA101" i="8"/>
  <c r="V101" i="8"/>
  <c r="T101" i="8"/>
  <c r="S101" i="8"/>
  <c r="P101" i="8"/>
  <c r="O101" i="8"/>
  <c r="H101" i="8"/>
  <c r="AE101" i="8" s="1"/>
  <c r="AD85" i="8"/>
  <c r="AA85" i="8"/>
  <c r="V85" i="8"/>
  <c r="S85" i="8"/>
  <c r="P85" i="8"/>
  <c r="O85" i="8"/>
  <c r="H85" i="8"/>
  <c r="AB85" i="8" s="1"/>
  <c r="AD68" i="8"/>
  <c r="AB68" i="8"/>
  <c r="AA68" i="8"/>
  <c r="V68" i="8"/>
  <c r="S68" i="8"/>
  <c r="P68" i="8"/>
  <c r="O68" i="8"/>
  <c r="H68" i="8"/>
  <c r="W68" i="8" s="1"/>
  <c r="AD50" i="8"/>
  <c r="AE50" i="8" s="1"/>
  <c r="AA50" i="8"/>
  <c r="V50" i="8"/>
  <c r="S50" i="8"/>
  <c r="P50" i="8"/>
  <c r="O50" i="8"/>
  <c r="H50" i="8"/>
  <c r="U50" i="8" s="1"/>
  <c r="AD33" i="8"/>
  <c r="AE33" i="8" s="1"/>
  <c r="AA33" i="8"/>
  <c r="V33" i="8"/>
  <c r="W33" i="8" s="1"/>
  <c r="T33" i="8"/>
  <c r="S33" i="8"/>
  <c r="P33" i="8"/>
  <c r="O33" i="8"/>
  <c r="H33" i="8"/>
  <c r="AC33" i="8" s="1"/>
  <c r="AD16" i="8"/>
  <c r="AA16" i="8"/>
  <c r="V16" i="8"/>
  <c r="S16" i="8"/>
  <c r="P16" i="8"/>
  <c r="O16" i="8"/>
  <c r="M16" i="8"/>
  <c r="H16" i="7"/>
  <c r="U85" i="8" l="1"/>
  <c r="AC68" i="8"/>
  <c r="AB16" i="8"/>
  <c r="AC16" i="8"/>
  <c r="AE16" i="8"/>
  <c r="T16" i="8"/>
  <c r="U16" i="8"/>
  <c r="M68" i="8"/>
  <c r="AE68" i="8"/>
  <c r="AC85" i="8"/>
  <c r="AE85" i="8"/>
  <c r="U33" i="8"/>
  <c r="W50" i="8"/>
  <c r="T85" i="8"/>
  <c r="U101" i="8"/>
  <c r="W101" i="8"/>
  <c r="AB50" i="8"/>
  <c r="M33" i="8"/>
  <c r="AC50" i="8"/>
  <c r="T68" i="8"/>
  <c r="M101" i="8"/>
  <c r="W16" i="8"/>
  <c r="U68" i="8"/>
  <c r="AB101" i="8"/>
  <c r="AB33" i="8"/>
  <c r="W85" i="8"/>
  <c r="T50" i="8"/>
  <c r="M85" i="8"/>
  <c r="AC101" i="8"/>
  <c r="M50" i="8"/>
  <c r="H34" i="3"/>
  <c r="I34" i="3"/>
  <c r="N34" i="3"/>
  <c r="AD16" i="7"/>
  <c r="AE16" i="7" s="1"/>
  <c r="AA16" i="7"/>
  <c r="V16" i="7"/>
  <c r="T16" i="7"/>
  <c r="S16" i="7"/>
  <c r="P16" i="7"/>
  <c r="O16" i="7"/>
  <c r="AC16" i="7"/>
  <c r="N12" i="3"/>
  <c r="O12" i="3"/>
  <c r="P12" i="3" s="1"/>
  <c r="M12" i="3"/>
  <c r="I12" i="3"/>
  <c r="U16" i="7" l="1"/>
  <c r="W16" i="7"/>
  <c r="M16" i="7"/>
  <c r="AB16" i="7"/>
  <c r="N35" i="3" l="1"/>
  <c r="I35" i="3"/>
  <c r="H35" i="3"/>
  <c r="N33" i="3"/>
  <c r="I33" i="3"/>
  <c r="H33" i="3"/>
  <c r="N32" i="3"/>
  <c r="I32" i="3"/>
  <c r="H32" i="3"/>
  <c r="N31" i="3"/>
  <c r="I31" i="3"/>
  <c r="H31" i="3"/>
  <c r="O30" i="3"/>
  <c r="P30" i="3" s="1"/>
  <c r="N30" i="3"/>
  <c r="M30" i="3"/>
  <c r="I30" i="3"/>
  <c r="H30" i="3"/>
  <c r="O29" i="3"/>
  <c r="P29" i="3" s="1"/>
  <c r="N29" i="3"/>
  <c r="M29" i="3"/>
  <c r="I29" i="3"/>
  <c r="H29" i="3"/>
  <c r="O28" i="3"/>
  <c r="P28" i="3" s="1"/>
  <c r="N28" i="3"/>
  <c r="M28" i="3"/>
  <c r="I28" i="3"/>
  <c r="H28" i="3"/>
  <c r="N27" i="3"/>
  <c r="M27" i="3"/>
  <c r="I27" i="3"/>
  <c r="H27" i="3"/>
  <c r="O13" i="3" l="1"/>
  <c r="M10" i="3"/>
  <c r="N10" i="3"/>
  <c r="I15" i="3" l="1"/>
  <c r="I19" i="3"/>
  <c r="N15" i="3"/>
  <c r="O14" i="3"/>
  <c r="P14" i="3" s="1"/>
  <c r="N14" i="3"/>
  <c r="M14" i="3"/>
  <c r="I14" i="3"/>
  <c r="H14" i="3"/>
  <c r="P13" i="3"/>
  <c r="N13" i="3"/>
  <c r="M13" i="3"/>
  <c r="I13" i="3"/>
  <c r="N83" i="3"/>
  <c r="I83" i="3"/>
  <c r="H83" i="3"/>
  <c r="N81" i="3"/>
  <c r="I81" i="3"/>
  <c r="H81" i="3"/>
  <c r="O80" i="3"/>
  <c r="P80" i="3" s="1"/>
  <c r="N80" i="3"/>
  <c r="M80" i="3"/>
  <c r="I80" i="3"/>
  <c r="H80" i="3"/>
  <c r="O79" i="3"/>
  <c r="P79" i="3" s="1"/>
  <c r="N79" i="3"/>
  <c r="M79" i="3"/>
  <c r="I79" i="3"/>
  <c r="H79" i="3"/>
  <c r="O78" i="3"/>
  <c r="P78" i="3" s="1"/>
  <c r="N78" i="3"/>
  <c r="M78" i="3"/>
  <c r="I78" i="3"/>
  <c r="H78" i="3"/>
  <c r="O77" i="3"/>
  <c r="P77" i="3" s="1"/>
  <c r="N77" i="3"/>
  <c r="M77" i="3"/>
  <c r="I77" i="3"/>
  <c r="H77" i="3"/>
  <c r="N73" i="3"/>
  <c r="I73" i="3"/>
  <c r="H73" i="3"/>
  <c r="N71" i="3"/>
  <c r="I71" i="3"/>
  <c r="H71" i="3"/>
  <c r="O70" i="3"/>
  <c r="P70" i="3" s="1"/>
  <c r="N70" i="3"/>
  <c r="M70" i="3"/>
  <c r="I70" i="3"/>
  <c r="H70" i="3"/>
  <c r="O69" i="3"/>
  <c r="P69" i="3" s="1"/>
  <c r="N69" i="3"/>
  <c r="M69" i="3"/>
  <c r="I69" i="3"/>
  <c r="H69" i="3"/>
  <c r="O68" i="3"/>
  <c r="P68" i="3" s="1"/>
  <c r="N68" i="3"/>
  <c r="M68" i="3"/>
  <c r="I68" i="3"/>
  <c r="H68" i="3"/>
  <c r="O67" i="3"/>
  <c r="P67" i="3" s="1"/>
  <c r="N67" i="3"/>
  <c r="M67" i="3"/>
  <c r="I67" i="3"/>
  <c r="H67" i="3"/>
  <c r="N61" i="3"/>
  <c r="I61" i="3"/>
  <c r="H61" i="3"/>
  <c r="N59" i="3"/>
  <c r="I59" i="3"/>
  <c r="H59" i="3"/>
  <c r="O58" i="3"/>
  <c r="P58" i="3" s="1"/>
  <c r="N58" i="3"/>
  <c r="M58" i="3"/>
  <c r="I58" i="3"/>
  <c r="H58" i="3"/>
  <c r="O57" i="3"/>
  <c r="P57" i="3" s="1"/>
  <c r="N57" i="3"/>
  <c r="M57" i="3"/>
  <c r="I57" i="3"/>
  <c r="H57" i="3"/>
  <c r="O56" i="3"/>
  <c r="P56" i="3" s="1"/>
  <c r="N56" i="3"/>
  <c r="M56" i="3"/>
  <c r="I56" i="3"/>
  <c r="H56" i="3"/>
  <c r="O55" i="3"/>
  <c r="P55" i="3" s="1"/>
  <c r="N55" i="3"/>
  <c r="M55" i="3"/>
  <c r="I55" i="3"/>
  <c r="H55" i="3"/>
  <c r="N49" i="3"/>
  <c r="I49" i="3"/>
  <c r="H49" i="3"/>
  <c r="N45" i="3"/>
  <c r="I45" i="3"/>
  <c r="O44" i="3"/>
  <c r="P44" i="3" s="1"/>
  <c r="N44" i="3"/>
  <c r="M44" i="3"/>
  <c r="I44" i="3"/>
  <c r="H44" i="3"/>
  <c r="O43" i="3"/>
  <c r="P43" i="3" s="1"/>
  <c r="N43" i="3"/>
  <c r="M43" i="3"/>
  <c r="I43" i="3"/>
  <c r="H43" i="3"/>
  <c r="O42" i="3"/>
  <c r="P42" i="3" s="1"/>
  <c r="N42" i="3"/>
  <c r="M42" i="3"/>
  <c r="I42" i="3"/>
  <c r="H42" i="3"/>
  <c r="O41" i="3"/>
  <c r="P41" i="3" s="1"/>
  <c r="N41" i="3"/>
  <c r="M41" i="3"/>
  <c r="I41" i="3"/>
  <c r="H41" i="3"/>
  <c r="AF19" i="13"/>
</calcChain>
</file>

<file path=xl/sharedStrings.xml><?xml version="1.0" encoding="utf-8"?>
<sst xmlns="http://schemas.openxmlformats.org/spreadsheetml/2006/main" count="1732" uniqueCount="256">
  <si>
    <t xml:space="preserve">Updated: </t>
    <phoneticPr fontId="5" type="noConversion"/>
  </si>
  <si>
    <t>Data Period:</t>
  </si>
  <si>
    <t>Data scope:</t>
  </si>
  <si>
    <t>星图笔记在抖音闭环内的贡献</t>
    <phoneticPr fontId="5" type="noConversion"/>
  </si>
  <si>
    <t>Campaign KPI</t>
  </si>
  <si>
    <t>Brand</t>
  </si>
  <si>
    <t>Media Format</t>
  </si>
  <si>
    <t>媒体花费
包含KOL+投流</t>
  </si>
  <si>
    <t>视频观看数</t>
    <phoneticPr fontId="5" type="noConversion"/>
  </si>
  <si>
    <t>进店UV
（=商品页浏览）</t>
  </si>
  <si>
    <t>进店UV vs 目标</t>
  </si>
  <si>
    <t>进店率
（=进店UV/阅读数)</t>
  </si>
  <si>
    <t>购买转化率
(=购买人数/进店数)</t>
  </si>
  <si>
    <t>购买人数</t>
  </si>
  <si>
    <t>渠道新客数</t>
  </si>
  <si>
    <t>渠道新客数 vs 目标</t>
  </si>
  <si>
    <t>渠道新客占比
(=渠道新客/购买人数)</t>
  </si>
  <si>
    <t>新客成本
(=媒体花费/渠道新客数)</t>
  </si>
  <si>
    <t>预估新客GMV
(=客单价*新客数)</t>
  </si>
  <si>
    <t>预估整体新客ROI
(=新客GMV/媒体花费)</t>
  </si>
  <si>
    <t>全店客单价</t>
  </si>
  <si>
    <t>DY</t>
    <phoneticPr fontId="5" type="noConversion"/>
  </si>
  <si>
    <t>2026.05.01-2026.06.18</t>
    <phoneticPr fontId="5" type="noConversion"/>
  </si>
  <si>
    <t>-</t>
    <phoneticPr fontId="5" type="noConversion"/>
  </si>
  <si>
    <t>2026.05.01-2026.06.07</t>
    <phoneticPr fontId="5" type="noConversion"/>
  </si>
  <si>
    <t>2026.05.01-2026.05.31</t>
    <phoneticPr fontId="5" type="noConversion"/>
  </si>
  <si>
    <t>2026.05.01-2026.05.25</t>
    <phoneticPr fontId="5" type="noConversion"/>
  </si>
  <si>
    <t>全店新客客单价</t>
  </si>
  <si>
    <t>购买</t>
  </si>
  <si>
    <t>渠道新客</t>
  </si>
  <si>
    <t>渠道新客%</t>
  </si>
  <si>
    <t>获客成本</t>
  </si>
  <si>
    <t>新客成本</t>
  </si>
  <si>
    <t>预估新客GMV</t>
  </si>
  <si>
    <t>预估新客ROI</t>
  </si>
  <si>
    <t>待更新</t>
    <phoneticPr fontId="5" type="noConversion"/>
  </si>
  <si>
    <t>过往数据</t>
    <phoneticPr fontId="5" type="noConversion"/>
  </si>
  <si>
    <t>-</t>
    <phoneticPr fontId="4" type="noConversion"/>
  </si>
  <si>
    <t>Remark：</t>
  </si>
  <si>
    <t xml:space="preserve">Updated: </t>
  </si>
  <si>
    <t>Data Period</t>
  </si>
  <si>
    <t>Product</t>
  </si>
  <si>
    <t>媒体花费</t>
  </si>
  <si>
    <t>单品贡献：单品归因(直接成交)</t>
  </si>
  <si>
    <t>（媒体费含税不含AC）</t>
  </si>
  <si>
    <t>Media + KOL</t>
  </si>
  <si>
    <t>CPC Paid media</t>
  </si>
  <si>
    <t>CPM Paid media</t>
  </si>
  <si>
    <t>KOL</t>
  </si>
  <si>
    <t>视频观看数</t>
  </si>
  <si>
    <t>观看成本</t>
  </si>
  <si>
    <t>进店UV</t>
  </si>
  <si>
    <t>进店率</t>
  </si>
  <si>
    <t>购买转化率</t>
  </si>
  <si>
    <t>渠道新客占比</t>
  </si>
  <si>
    <t>预估整体新客ROI</t>
  </si>
  <si>
    <t>(from EM)</t>
  </si>
  <si>
    <t>（from Mkt)</t>
  </si>
  <si>
    <t>（=媒体花费/视频观看数）</t>
  </si>
  <si>
    <t>（=进店UV/视频观看数)</t>
  </si>
  <si>
    <t>(=购买人数/进店数)</t>
  </si>
  <si>
    <t>(=渠道新客/购买人数)</t>
  </si>
  <si>
    <t>（=媒体花费/购买人数）</t>
  </si>
  <si>
    <t>(=媒体花费/渠道新客数)</t>
  </si>
  <si>
    <t>(=全店客单价*新客数)</t>
  </si>
  <si>
    <t>(=新客GMV/媒体花费)</t>
  </si>
  <si>
    <t>Actual (全店贡献)*</t>
  </si>
  <si>
    <t>DY FY27 E2E Performance Tracking _ ALL Brand Summary</t>
  </si>
  <si>
    <t>*Actual 全店贡献 数据来源：巨量云图</t>
    <phoneticPr fontId="13" type="noConversion"/>
  </si>
  <si>
    <t>*后链路转化数据仅为巨量云图闭环数据，且为周期内去重逻辑（不包含全域）；</t>
    <phoneticPr fontId="13" type="noConversion"/>
  </si>
  <si>
    <t>单品客单价*</t>
    <phoneticPr fontId="19" type="noConversion"/>
  </si>
  <si>
    <t>Category</t>
    <phoneticPr fontId="4" type="noConversion"/>
  </si>
  <si>
    <t>Sub-category</t>
    <phoneticPr fontId="4" type="noConversion"/>
  </si>
  <si>
    <t>Campaign type</t>
    <phoneticPr fontId="4" type="noConversion"/>
  </si>
  <si>
    <t>DY</t>
  </si>
  <si>
    <t>Campaign起始日期-2026.08.31</t>
    <phoneticPr fontId="5" type="noConversion"/>
  </si>
  <si>
    <t>Campaign起始日期-2026.08.31</t>
  </si>
  <si>
    <t>Campaign起始日期-2026.07.31</t>
    <phoneticPr fontId="5" type="noConversion"/>
  </si>
  <si>
    <t>2026.9.4</t>
    <phoneticPr fontId="5" type="noConversion"/>
  </si>
  <si>
    <t>8.4-8.19</t>
    <phoneticPr fontId="5" type="noConversion"/>
  </si>
  <si>
    <t>Skincare</t>
    <phoneticPr fontId="5" type="noConversion"/>
  </si>
  <si>
    <t>Lotion</t>
    <phoneticPr fontId="5" type="noConversion"/>
  </si>
  <si>
    <t>Repush</t>
    <phoneticPr fontId="5" type="noConversion"/>
  </si>
  <si>
    <t>8.10-8.31</t>
    <phoneticPr fontId="5" type="noConversion"/>
  </si>
  <si>
    <t>Skincare</t>
  </si>
  <si>
    <t>New Launch</t>
  </si>
  <si>
    <t>2026.8.11</t>
    <phoneticPr fontId="5" type="noConversion"/>
  </si>
  <si>
    <t>7.15-7.31</t>
    <phoneticPr fontId="5" type="noConversion"/>
  </si>
  <si>
    <t>Mask</t>
  </si>
  <si>
    <t>NPL</t>
  </si>
  <si>
    <t>2026.6.22</t>
    <phoneticPr fontId="5" type="noConversion"/>
  </si>
  <si>
    <t>5.1-6.18</t>
    <phoneticPr fontId="5" type="noConversion"/>
  </si>
  <si>
    <t>2026.6.9</t>
    <phoneticPr fontId="5" type="noConversion"/>
  </si>
  <si>
    <t>5.1-6.7</t>
    <phoneticPr fontId="5" type="noConversion"/>
  </si>
  <si>
    <t>2026.6.2</t>
    <phoneticPr fontId="5" type="noConversion"/>
  </si>
  <si>
    <t>5.1-5.31</t>
    <phoneticPr fontId="5" type="noConversion"/>
  </si>
  <si>
    <t>2026.5.26</t>
    <phoneticPr fontId="5" type="noConversion"/>
  </si>
  <si>
    <t>5.1-5.25</t>
    <phoneticPr fontId="5" type="noConversion"/>
  </si>
  <si>
    <t>*Paid media和KOL均为原生笔记相关投放金额，不含混剪素材等</t>
    <phoneticPr fontId="13" type="noConversion"/>
  </si>
  <si>
    <t>2026.9.7</t>
    <phoneticPr fontId="4" type="noConversion"/>
  </si>
  <si>
    <t>2026.6.26-8.31</t>
    <phoneticPr fontId="19" type="noConversion"/>
  </si>
  <si>
    <t>*DY单品客单以sp提供数字为准</t>
    <phoneticPr fontId="19" type="noConversion"/>
  </si>
  <si>
    <t>KOL花费</t>
  </si>
  <si>
    <t>CPC Paid Media花费</t>
  </si>
  <si>
    <t>CPM Paid Media花费</t>
  </si>
  <si>
    <t>7.1-8.19</t>
  </si>
  <si>
    <t>Make up</t>
  </si>
  <si>
    <t>Lip</t>
  </si>
  <si>
    <t>RP+CVD</t>
  </si>
  <si>
    <t>7.1-8.31</t>
  </si>
  <si>
    <t>6.26-8.31</t>
  </si>
  <si>
    <t>Lotion</t>
  </si>
  <si>
    <t>TOTAL</t>
  </si>
  <si>
    <t>全店去重TTL</t>
  </si>
  <si>
    <t>2026.8.10</t>
  </si>
  <si>
    <t>7.1-7.31</t>
  </si>
  <si>
    <t>Makeup</t>
  </si>
  <si>
    <t>-</t>
    <phoneticPr fontId="19" type="noConversion"/>
  </si>
  <si>
    <t>-</t>
  </si>
  <si>
    <t>2026.6.24</t>
  </si>
  <si>
    <t>单品客单价</t>
  </si>
  <si>
    <t>5.1-6.18</t>
  </si>
  <si>
    <t>2026.6.11</t>
  </si>
  <si>
    <t>5.1-6.7</t>
  </si>
  <si>
    <t>2026.6.5</t>
  </si>
  <si>
    <t>5.1-5.31</t>
  </si>
  <si>
    <t>2026.5.26</t>
  </si>
  <si>
    <t>5.1-5.25</t>
  </si>
  <si>
    <t>单品客单价</t>
    <phoneticPr fontId="19" type="noConversion"/>
  </si>
  <si>
    <t>*Paid media包含所有素材</t>
    <phoneticPr fontId="13" type="noConversion"/>
  </si>
  <si>
    <t>2026.7.1-8.31</t>
    <phoneticPr fontId="19" type="noConversion"/>
  </si>
  <si>
    <t>Key highlights:</t>
  </si>
  <si>
    <t>「周期 整体概述」</t>
    <phoneticPr fontId="2" type="noConversion"/>
  </si>
  <si>
    <t>截至8.31，全店新客成本为￥60，较上一周期（￥150）大幅降低</t>
    <phoneticPr fontId="4" type="noConversion"/>
  </si>
  <si>
    <t>整体进店率（1.1%→2.8%）有所提升</t>
    <phoneticPr fontId="4" type="noConversion"/>
  </si>
  <si>
    <r>
      <t>Actual (全店贡献)</t>
    </r>
    <r>
      <rPr>
        <sz val="11"/>
        <color rgb="FFFF0000"/>
        <rFont val="等线"/>
        <family val="2"/>
        <charset val="134"/>
        <scheme val="minor"/>
      </rPr>
      <t>*</t>
    </r>
  </si>
  <si>
    <t>7.1-8.31</t>
    <phoneticPr fontId="4" type="noConversion"/>
  </si>
  <si>
    <t>Makeup</t>
    <phoneticPr fontId="4" type="noConversion"/>
  </si>
  <si>
    <t>Liquid Foundation</t>
  </si>
  <si>
    <t>Repush</t>
    <phoneticPr fontId="4" type="noConversion"/>
  </si>
  <si>
    <t>*全店&amp;单品的客单价均基于抖店数据计算</t>
    <phoneticPr fontId="19" type="noConversion"/>
  </si>
  <si>
    <t>Liquid Lip</t>
  </si>
  <si>
    <t>8.2-8.31</t>
    <phoneticPr fontId="4" type="noConversion"/>
  </si>
  <si>
    <t>Cushion</t>
  </si>
  <si>
    <t>NPL</t>
    <phoneticPr fontId="4" type="noConversion"/>
  </si>
  <si>
    <t>去重TOTAL</t>
  </si>
  <si>
    <t>2026.8.11</t>
  </si>
  <si>
    <t>2026.7.9-7.31</t>
    <phoneticPr fontId="19" type="noConversion"/>
  </si>
  <si>
    <t>7.9-7.31</t>
  </si>
  <si>
    <t>7.15-7.31</t>
  </si>
  <si>
    <t>2026.5.1-6.18</t>
    <phoneticPr fontId="19" type="noConversion"/>
  </si>
  <si>
    <t>「618周期 整体概述」</t>
    <phoneticPr fontId="4" type="noConversion"/>
  </si>
  <si>
    <t>截至6.18，全店新客成本为￥31，较上一周期（￥44）有所降低</t>
  </si>
  <si>
    <t>整体进店率实现2.1%→2.7%的提升，全店购买转化率（8.6%→9.0%）的表现也均有提升</t>
  </si>
  <si>
    <t>Repush</t>
  </si>
  <si>
    <t>Lipstick</t>
  </si>
  <si>
    <t>2026.6.10</t>
  </si>
  <si>
    <t>2026.5.1-6.7</t>
    <phoneticPr fontId="19" type="noConversion"/>
  </si>
  <si>
    <t>「618周期 整体概述」</t>
  </si>
  <si>
    <t>截至6.7，全店新客成本为￥44，较上一周期（￥50）有所降低</t>
  </si>
  <si>
    <t>整体进店率（1.9%→2.1%）、全店购买转化率（8.5%→8.6%）的表现也均有提升</t>
  </si>
  <si>
    <t>2026.6.2</t>
  </si>
  <si>
    <t>2026.5.1-5.31</t>
    <phoneticPr fontId="19" type="noConversion"/>
  </si>
  <si>
    <t>截至5.31，全店新客成本为￥50，较上一周期（￥62）有所降低</t>
  </si>
  <si>
    <t>整体进店率（1.6%→1.9%）、全店购买转化率（8.1%→8.5%）的表现也均有提升</t>
    <phoneticPr fontId="4" type="noConversion"/>
  </si>
  <si>
    <t>2026.5.1-5.25</t>
    <phoneticPr fontId="19" type="noConversion"/>
  </si>
  <si>
    <t>2026.09.08</t>
    <phoneticPr fontId="5" type="noConversion"/>
  </si>
  <si>
    <t>DY</t>
    <phoneticPr fontId="4" type="noConversion"/>
  </si>
  <si>
    <t>2026.9.4</t>
    <phoneticPr fontId="4" type="noConversion"/>
  </si>
  <si>
    <t>Creams</t>
  </si>
  <si>
    <t>Repush/Reno</t>
  </si>
  <si>
    <t>Essences &amp; Serums</t>
  </si>
  <si>
    <t>&lt;200</t>
  </si>
  <si>
    <t>7.16-7.31</t>
    <phoneticPr fontId="4" type="noConversion"/>
  </si>
  <si>
    <t>7.17-8.31</t>
    <phoneticPr fontId="4" type="noConversion"/>
  </si>
  <si>
    <t>7.16-8.31</t>
    <phoneticPr fontId="4" type="noConversion"/>
  </si>
  <si>
    <t>2026.5.1-6.18</t>
    <phoneticPr fontId="4" type="noConversion"/>
  </si>
  <si>
    <t>5.1-6.18</t>
    <phoneticPr fontId="4" type="noConversion"/>
  </si>
  <si>
    <t>2026.5.1-6.7</t>
    <phoneticPr fontId="4" type="noConversion"/>
  </si>
  <si>
    <t>5.1-6.7</t>
    <phoneticPr fontId="4" type="noConversion"/>
  </si>
  <si>
    <t>5.1-5.31</t>
    <phoneticPr fontId="4" type="noConversion"/>
  </si>
  <si>
    <t>2026.5.1-5.23</t>
    <phoneticPr fontId="4" type="noConversion"/>
  </si>
  <si>
    <t>5.1-5.23</t>
    <phoneticPr fontId="4" type="noConversion"/>
  </si>
  <si>
    <t>2026.7.16-8.31</t>
    <phoneticPr fontId="4" type="noConversion"/>
  </si>
  <si>
    <t>品牌A</t>
  </si>
  <si>
    <t>品牌B</t>
  </si>
  <si>
    <t>品牌C</t>
  </si>
  <si>
    <t>品牌D</t>
  </si>
  <si>
    <t>品牌E</t>
  </si>
  <si>
    <t>品牌组合A 护肤 Ave.</t>
  </si>
  <si>
    <t>品牌组合A Haircare Ave.</t>
  </si>
  <si>
    <t>品牌组合A FRAG. Ave.</t>
  </si>
  <si>
    <t>*包含 品牌A MU</t>
  </si>
  <si>
    <t>品牌组合A 彩妆 Ave.</t>
  </si>
  <si>
    <t>品牌组合A Ave.</t>
  </si>
  <si>
    <t>*包含品牌A MU</t>
  </si>
  <si>
    <t>Monthly E2E Performance Tracking _ 品牌A（Y26 08）</t>
  </si>
  <si>
    <t>产品A</t>
  </si>
  <si>
    <t>产品L</t>
  </si>
  <si>
    <t>产品B</t>
  </si>
  <si>
    <t>产品C</t>
  </si>
  <si>
    <t>Monthly E2E Performance Tracking _ 品牌A（Y26 07）</t>
  </si>
  <si>
    <t>产品A&amp;产品C&amp;产品B：2026.7.1-7.31</t>
  </si>
  <si>
    <t>*产品V为8月上市新品，故暂无单品后端转化数据</t>
  </si>
  <si>
    <t>Weekly E2E Performance Tracking _ 品牌A（618campaign Tracking4）</t>
  </si>
  <si>
    <t>产品D/产品E：2026.5.1-6.18</t>
  </si>
  <si>
    <t>产品D</t>
  </si>
  <si>
    <t>产品E</t>
  </si>
  <si>
    <t>产品F</t>
  </si>
  <si>
    <t>产品G</t>
  </si>
  <si>
    <t>产品H</t>
  </si>
  <si>
    <t>产品I</t>
  </si>
  <si>
    <t>Weekly E2E Performance Tracking _ 品牌A（618campaign Tracking3）</t>
  </si>
  <si>
    <t>产品D/产品E：2026.5.1-6.7</t>
  </si>
  <si>
    <t>Weekly E2E Performance Tracking _ 品牌A（618campaign Tracking2）</t>
  </si>
  <si>
    <t>产品D/产品E：2026.5.1-5.31</t>
  </si>
  <si>
    <t>Weekly E2E Performance Tracking _ 品牌A（618campaign Tracking1）</t>
  </si>
  <si>
    <t>产品D/产品E：2026.5.1-5.25</t>
  </si>
  <si>
    <t>Monthly E2E Performance Tracking _ 品牌B（Y26 08）</t>
  </si>
  <si>
    <t>产品J</t>
  </si>
  <si>
    <t>产品K</t>
  </si>
  <si>
    <t>Weekly E2E Performance Tracking _ 品牌B（618campaign Tracking4）</t>
  </si>
  <si>
    <t>产品M</t>
  </si>
  <si>
    <t>Weekly E2E Performance Tracking _ 品牌B（618campaign Tracking3）</t>
  </si>
  <si>
    <t>Weekly E2E Performance Tracking _ 品牌B（618campaign Tracking2）</t>
  </si>
  <si>
    <t>Weekly E2E Performance Tracking _ 品牌B（618campaign Tracking1）</t>
  </si>
  <si>
    <t>Monthly E2E Performance Tracking _ 品牌C（Y26 08）</t>
  </si>
  <si>
    <t>产品N: 2026.8.4-8.19</t>
  </si>
  <si>
    <t>产品N</t>
  </si>
  <si>
    <t>Monthly E2E Performance Tracking _ 品牌D（Y26 08）</t>
  </si>
  <si>
    <t>产品O: 2026.8.10-8.31</t>
  </si>
  <si>
    <t>产品O</t>
  </si>
  <si>
    <t>Monthly E2E Performance Tracking _ 品牌D（Y26 07）</t>
  </si>
  <si>
    <t>产品P: 2026.7.15-7.31</t>
  </si>
  <si>
    <t>产品P</t>
  </si>
  <si>
    <t>Weekly E2E Performance Tracking _ 品牌D（618campaign Tracking4）</t>
  </si>
  <si>
    <t>产品Q: 2025.5.1-6.18</t>
  </si>
  <si>
    <t>产品Q</t>
  </si>
  <si>
    <t>Weekly E2E Performance Tracking _ 品牌D（618campaign Tracking3）</t>
  </si>
  <si>
    <t>产品Q: 2026.5.1-6.7</t>
  </si>
  <si>
    <t>Weekly E2E Performance Tracking _ 品牌D（618campaign Tracking2）</t>
  </si>
  <si>
    <t>产品Q: 2026.5.1-5.31</t>
  </si>
  <si>
    <t>Weekly E2E Performance Tracking _ 品牌D（618campaign Tracking1）</t>
  </si>
  <si>
    <t>产品Q: 2026.5.1-5.25</t>
  </si>
  <si>
    <t>Monthly E2E Performance Tracking _ 品牌E（Aug）</t>
  </si>
  <si>
    <t>产品R</t>
  </si>
  <si>
    <t>产品S</t>
  </si>
  <si>
    <t>产品T</t>
  </si>
  <si>
    <t>Monthly E2E Performance Tracking _ 品牌E（Jul）</t>
  </si>
  <si>
    <t>Weekly E2E Performance Tracking _ 品牌E（618campaign Tracking4）</t>
  </si>
  <si>
    <t>产品U</t>
  </si>
  <si>
    <t>Weekly E2E Performance Tracking _ 品牌E（618campaign Tracking3）</t>
  </si>
  <si>
    <t>Weekly E2E Performance Tracking _ 品牌E（618campaign Tracking2）</t>
  </si>
  <si>
    <t>Weekly E2E Performance Tracking _ 品牌E（618campaign Tracking1）</t>
  </si>
  <si>
    <t>*产品U的单品客单价基于抖店数据计算</t>
  </si>
  <si>
    <t>品牌组合A 护肤 Ave.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</si>
</sst>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_);[Red]\(0\)"/>
    <numFmt numFmtId="177" formatCode="0.0%"/>
    <numFmt numFmtId="178" formatCode="0.0"/>
    <numFmt numFmtId="179" formatCode="#,##0_ "/>
    <numFmt numFmtId="180" formatCode="_ * #,##0_ ;_ * \-#,##0_ ;_ * &quot;-&quot;??_ ;_ @_ "/>
    <numFmt numFmtId="181" formatCode="#,##0.00_ "/>
    <numFmt numFmtId="182" formatCode="#,##0.000_ "/>
    <numFmt numFmtId="183" formatCode="#,##0.0_ "/>
  </numFmts>
  <fonts count="4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 tint="0.14990691854609822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 tint="0.14990691854609822"/>
      <name val="微软雅黑"/>
      <family val="2"/>
      <charset val="134"/>
    </font>
    <font>
      <sz val="11"/>
      <color rgb="FF262626"/>
      <name val="微软雅黑"/>
      <family val="2"/>
      <charset val="134"/>
    </font>
    <font>
      <b/>
      <sz val="11"/>
      <color theme="1" tint="0.14993743705557422"/>
      <name val="微软雅黑"/>
      <family val="2"/>
      <charset val="134"/>
    </font>
    <font>
      <sz val="11"/>
      <color theme="1" tint="0.1499374370555742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 tint="0.14990691854609822"/>
      <name val="微软雅黑"/>
      <family val="2"/>
      <charset val="134"/>
    </font>
    <font>
      <sz val="10"/>
      <color theme="1" tint="0.14993743705557422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 tint="0.14990691854609822"/>
      <name val="微软雅黑"/>
      <family val="2"/>
      <charset val="134"/>
    </font>
    <font>
      <sz val="10"/>
      <color theme="0"/>
      <name val="微软雅黑"/>
      <family val="2"/>
      <charset val="134"/>
    </font>
    <font>
      <sz val="8"/>
      <color theme="1" tint="0.14990691854609822"/>
      <name val="微软雅黑"/>
      <family val="2"/>
      <charset val="134"/>
    </font>
    <font>
      <b/>
      <sz val="10"/>
      <color theme="1" tint="0.14993743705557422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2"/>
      <color theme="1"/>
      <name val="等线"/>
      <family val="2"/>
      <scheme val="minor"/>
    </font>
    <font>
      <i/>
      <sz val="10"/>
      <color theme="0" tint="-0.499984740745262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  <font>
      <b/>
      <sz val="16"/>
      <color theme="1" tint="0.14993743705557422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i/>
      <sz val="10"/>
      <name val="微软雅黑"/>
      <family val="2"/>
      <charset val="134"/>
    </font>
    <font>
      <sz val="11"/>
      <color rgb="FFFF0000"/>
      <name val="等线"/>
      <family val="2"/>
      <charset val="134"/>
      <scheme val="minor"/>
    </font>
    <font>
      <b/>
      <sz val="10"/>
      <color rgb="FF0000FF"/>
      <name val="微软雅黑"/>
      <family val="2"/>
      <charset val="134"/>
    </font>
    <font>
      <i/>
      <sz val="11"/>
      <color theme="0" tint="-0.3499862666707357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i/>
      <sz val="11"/>
      <name val="微软雅黑"/>
      <family val="2"/>
      <charset val="134"/>
    </font>
    <font>
      <b/>
      <i/>
      <sz val="10"/>
      <name val="微软雅黑"/>
      <family val="2"/>
      <charset val="134"/>
    </font>
    <font>
      <b/>
      <i/>
      <sz val="10"/>
      <color theme="0" tint="-0.499984740745262"/>
      <name val="微软雅黑"/>
      <family val="2"/>
      <charset val="134"/>
    </font>
    <font>
      <b/>
      <sz val="11"/>
      <color theme="1" tint="4.9989318521683403E-2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404040"/>
      <name val="微软雅黑"/>
      <family val="2"/>
      <charset val="134"/>
    </font>
    <font>
      <i/>
      <sz val="11"/>
      <color rgb="FF808080"/>
      <name val="微软雅黑"/>
      <family val="2"/>
      <charset val="134"/>
    </font>
    <font>
      <sz val="11"/>
      <color rgb="FF0D0D0D"/>
      <name val="微软雅黑"/>
      <family val="2"/>
      <charset val="134"/>
    </font>
    <font>
      <b/>
      <sz val="11"/>
      <color rgb="FF1F4E78"/>
      <name val="微软雅黑"/>
      <family val="2"/>
      <charset val="134"/>
    </font>
    <font>
      <b/>
      <sz val="11"/>
      <color rgb="FF262626"/>
      <name val="微软雅黑"/>
      <family val="2"/>
      <charset val="134"/>
    </font>
    <font>
      <i/>
      <sz val="11"/>
      <color rgb="FF666666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BEE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2F8FB"/>
        <bgColor indexed="64"/>
      </patternFill>
    </fill>
  </fills>
  <borders count="73">
    <border>
      <left/>
      <right/>
      <top/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0" tint="-0.499984740745262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theme="2" tint="-0.89999084444715716"/>
      </left>
      <right style="thin">
        <color theme="2" tint="-0.89999084444715716"/>
      </right>
      <top style="hair">
        <color theme="0" tint="-0.34998626667073579"/>
      </top>
      <bottom style="thin">
        <color theme="2" tint="-0.89999084444715716"/>
      </bottom>
      <diagonal/>
    </border>
    <border>
      <left/>
      <right style="hair">
        <color theme="0" tint="-0.249977111117893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auto="1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thin">
        <color auto="1"/>
      </bottom>
      <diagonal/>
    </border>
    <border>
      <left/>
      <right style="hair">
        <color theme="0" tint="-0.249977111117893"/>
      </right>
      <top style="thin">
        <color auto="1"/>
      </top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0" tint="-0.499984740745262"/>
      </top>
      <bottom style="hair">
        <color theme="0" tint="-0.34998626667073579"/>
      </bottom>
      <diagonal/>
    </border>
    <border>
      <left/>
      <right style="hair">
        <color theme="0" tint="-0.249977111117893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499984740745262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auto="1"/>
      </right>
      <top style="thin">
        <color theme="0" tint="-0.499984740745262"/>
      </top>
      <bottom style="hair">
        <color theme="0" tint="-0.249977111117893"/>
      </bottom>
      <diagonal/>
    </border>
    <border>
      <left style="thin">
        <color theme="2" tint="-0.89999084444715716"/>
      </left>
      <right style="thin">
        <color theme="2" tint="-0.89999084444715716"/>
      </right>
      <top/>
      <bottom style="hair">
        <color theme="0" tint="-0.34998626667073579"/>
      </bottom>
      <diagonal/>
    </border>
    <border>
      <left/>
      <right style="hair">
        <color theme="0" tint="-0.249977111117893"/>
      </right>
      <top/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4659260841701"/>
      </bottom>
      <diagonal/>
    </border>
    <border>
      <left style="hair">
        <color theme="0" tint="-0.249977111117893"/>
      </left>
      <right style="thin">
        <color auto="1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2" tint="-0.89999084444715716"/>
      </left>
      <right style="thin">
        <color theme="2" tint="-0.89999084444715716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249977111117893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thin">
        <color theme="1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1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thin">
        <color theme="1"/>
      </bottom>
      <diagonal/>
    </border>
    <border>
      <left style="hair">
        <color theme="0" tint="-0.249977111117893"/>
      </left>
      <right style="thin">
        <color theme="1"/>
      </right>
      <top/>
      <bottom style="thin">
        <color theme="1"/>
      </bottom>
      <diagonal/>
    </border>
    <border>
      <left style="hair">
        <color theme="0" tint="-0.249977111117893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0" tint="-0.249977111117893"/>
      </right>
      <top/>
      <bottom/>
      <diagonal/>
    </border>
    <border>
      <left/>
      <right style="hair">
        <color theme="0" tint="-0.249977111117893"/>
      </right>
      <top style="thin">
        <color theme="1"/>
      </top>
      <bottom/>
      <diagonal/>
    </border>
    <border>
      <left/>
      <right style="hair">
        <color theme="0" tint="-0.249977111117893"/>
      </right>
      <top/>
      <bottom/>
      <diagonal/>
    </border>
    <border>
      <left/>
      <right style="hair">
        <color theme="0" tint="-0.249977111117893"/>
      </right>
      <top/>
      <bottom style="thin">
        <color theme="1"/>
      </bottom>
      <diagonal/>
    </border>
    <border>
      <left style="hair">
        <color theme="0" tint="-0.249977111117893"/>
      </left>
      <right/>
      <top style="thin">
        <color theme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thin">
        <color theme="1"/>
      </left>
      <right style="hair">
        <color theme="0" tint="-0.249977111117893"/>
      </right>
      <top style="thin">
        <color theme="1"/>
      </top>
      <bottom/>
      <diagonal/>
    </border>
    <border>
      <left style="hair">
        <color theme="0" tint="-0.249977111117893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0" tint="-0.249977111117893"/>
      </right>
      <top/>
      <bottom style="thin">
        <color theme="1"/>
      </bottom>
      <diagonal/>
    </border>
    <border>
      <left style="thin">
        <color theme="1"/>
      </left>
      <right style="hair">
        <color theme="0" tint="-0.249977111117893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1"/>
      </top>
      <bottom style="thin">
        <color indexed="64"/>
      </bottom>
      <diagonal/>
    </border>
    <border>
      <left style="hair">
        <color theme="0" tint="-0.249977111117893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theme="0" tint="-0.249977111117893"/>
      </right>
      <top style="thin">
        <color theme="1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1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theme="1"/>
      </right>
      <top style="thin">
        <color theme="1"/>
      </top>
      <bottom style="hair">
        <color theme="0" tint="-0.249977111117893"/>
      </bottom>
      <diagonal/>
    </border>
    <border>
      <left style="thin">
        <color theme="1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1"/>
      </left>
      <right style="hair">
        <color theme="0" tint="-0.249977111117893"/>
      </right>
      <top style="hair">
        <color theme="0" tint="-0.249977111117893"/>
      </top>
      <bottom style="thin">
        <color theme="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theme="1"/>
      </bottom>
      <diagonal/>
    </border>
    <border>
      <left style="hair">
        <color theme="0" tint="-0.249977111117893"/>
      </left>
      <right style="thin">
        <color theme="1"/>
      </right>
      <top style="hair">
        <color theme="0" tint="-0.249977111117893"/>
      </top>
      <bottom style="thin">
        <color theme="1"/>
      </bottom>
      <diagonal/>
    </border>
    <border>
      <left style="thin">
        <color theme="1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0" tint="-0.249977111117893"/>
      </bottom>
      <diagonal/>
    </border>
    <border>
      <left style="thin">
        <color theme="1"/>
      </left>
      <right style="thin">
        <color theme="1"/>
      </right>
      <top style="hair">
        <color theme="0" tint="-0.249977111117893"/>
      </top>
      <bottom style="thin">
        <color theme="1"/>
      </bottom>
      <diagonal/>
    </border>
    <border>
      <left style="hair">
        <color theme="0" tint="-0.249977111117893"/>
      </left>
      <right/>
      <top style="thin">
        <color theme="1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thin">
        <color theme="1"/>
      </bottom>
      <diagonal/>
    </border>
    <border>
      <left/>
      <right/>
      <top/>
      <bottom style="hair">
        <color theme="0" tint="-0.249977111117893"/>
      </bottom>
      <diagonal/>
    </border>
    <border>
      <left style="hair">
        <color theme="0" tint="-0.249977111117893"/>
      </left>
      <right style="thin">
        <color theme="1"/>
      </right>
      <top/>
      <bottom style="hair">
        <color theme="0" tint="-0.249977111117893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hair">
        <color theme="0" tint="-0.249977111117893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hair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1"/>
      </top>
      <bottom style="thin">
        <color theme="1"/>
      </bottom>
      <diagonal/>
    </border>
    <border>
      <left style="hair">
        <color theme="0" tint="-0.249977111117893"/>
      </left>
      <right style="thin">
        <color theme="1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rgb="FFB3DAFB"/>
      </left>
      <right/>
      <top/>
      <bottom/>
      <diagonal/>
    </border>
    <border>
      <left style="medium">
        <color rgb="FF4D93D9"/>
      </left>
      <right/>
      <top/>
      <bottom/>
      <diagonal/>
    </border>
  </borders>
  <cellStyleXfs count="21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9" fontId="1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5" fillId="0" borderId="0" applyNumberFormat="0" applyFon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9" fontId="25" fillId="0" borderId="0" applyFont="0" applyFill="0" applyBorder="0" applyAlignment="0" applyProtection="0">
      <alignment vertical="center"/>
    </xf>
  </cellStyleXfs>
  <cellXfs count="380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1" applyFont="1">
      <alignment vertical="center"/>
    </xf>
    <xf numFmtId="0" fontId="7" fillId="0" borderId="0" xfId="2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10" fillId="2" borderId="0" xfId="3" applyFont="1" applyFill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11" fillId="4" borderId="4" xfId="3" applyFont="1" applyFill="1" applyBorder="1" applyAlignment="1">
      <alignment horizontal="center" vertical="center"/>
    </xf>
    <xf numFmtId="37" fontId="11" fillId="4" borderId="5" xfId="4" applyNumberFormat="1" applyFont="1" applyFill="1" applyBorder="1" applyAlignment="1">
      <alignment horizontal="center" vertical="center"/>
    </xf>
    <xf numFmtId="37" fontId="11" fillId="4" borderId="6" xfId="4" applyNumberFormat="1" applyFont="1" applyFill="1" applyBorder="1" applyAlignment="1">
      <alignment horizontal="center" vertical="center"/>
    </xf>
    <xf numFmtId="3" fontId="11" fillId="0" borderId="6" xfId="3" applyNumberFormat="1" applyFont="1" applyBorder="1" applyAlignment="1">
      <alignment horizontal="center" vertical="center"/>
    </xf>
    <xf numFmtId="3" fontId="11" fillId="5" borderId="6" xfId="3" applyNumberFormat="1" applyFont="1" applyFill="1" applyBorder="1" applyAlignment="1">
      <alignment horizontal="center" vertical="center"/>
    </xf>
    <xf numFmtId="176" fontId="11" fillId="4" borderId="6" xfId="3" applyNumberFormat="1" applyFont="1" applyFill="1" applyBorder="1" applyAlignment="1">
      <alignment horizontal="center" vertical="center"/>
    </xf>
    <xf numFmtId="177" fontId="12" fillId="0" borderId="6" xfId="5" applyNumberFormat="1" applyFont="1" applyBorder="1" applyAlignment="1">
      <alignment horizontal="center" vertical="center"/>
    </xf>
    <xf numFmtId="3" fontId="13" fillId="0" borderId="6" xfId="3" applyNumberFormat="1" applyFont="1" applyBorder="1" applyAlignment="1">
      <alignment horizontal="center" vertical="center"/>
    </xf>
    <xf numFmtId="3" fontId="13" fillId="5" borderId="6" xfId="3" applyNumberFormat="1" applyFont="1" applyFill="1" applyBorder="1" applyAlignment="1">
      <alignment horizontal="center" vertical="center"/>
    </xf>
    <xf numFmtId="177" fontId="11" fillId="4" borderId="6" xfId="5" applyNumberFormat="1" applyFont="1" applyFill="1" applyBorder="1" applyAlignment="1">
      <alignment horizontal="center" vertical="center"/>
    </xf>
    <xf numFmtId="38" fontId="14" fillId="5" borderId="6" xfId="3" applyNumberFormat="1" applyFont="1" applyFill="1" applyBorder="1" applyAlignment="1">
      <alignment horizontal="center" vertical="center"/>
    </xf>
    <xf numFmtId="3" fontId="11" fillId="4" borderId="6" xfId="3" applyNumberFormat="1" applyFont="1" applyFill="1" applyBorder="1" applyAlignment="1">
      <alignment horizontal="center" vertical="center"/>
    </xf>
    <xf numFmtId="178" fontId="11" fillId="4" borderId="6" xfId="4" applyNumberFormat="1" applyFont="1" applyFill="1" applyBorder="1" applyAlignment="1">
      <alignment horizontal="center" vertical="center"/>
    </xf>
    <xf numFmtId="3" fontId="11" fillId="0" borderId="7" xfId="3" applyNumberFormat="1" applyFont="1" applyBorder="1" applyAlignment="1">
      <alignment horizontal="center" vertical="center"/>
    </xf>
    <xf numFmtId="0" fontId="15" fillId="6" borderId="0" xfId="3" applyFont="1" applyFill="1" applyAlignment="1">
      <alignment horizontal="center" vertical="center"/>
    </xf>
    <xf numFmtId="0" fontId="9" fillId="0" borderId="0" xfId="3" applyFont="1">
      <alignment vertical="center"/>
    </xf>
    <xf numFmtId="177" fontId="12" fillId="0" borderId="0" xfId="5" applyNumberFormat="1" applyFont="1" applyAlignment="1">
      <alignment horizontal="center" vertical="center"/>
    </xf>
    <xf numFmtId="0" fontId="11" fillId="0" borderId="0" xfId="1" applyFont="1">
      <alignment vertical="center"/>
    </xf>
    <xf numFmtId="38" fontId="12" fillId="0" borderId="0" xfId="5" applyNumberFormat="1" applyFont="1" applyAlignment="1">
      <alignment horizontal="center" vertical="center"/>
    </xf>
    <xf numFmtId="3" fontId="6" fillId="0" borderId="0" xfId="1" applyNumberFormat="1" applyFont="1">
      <alignment vertical="center"/>
    </xf>
    <xf numFmtId="0" fontId="16" fillId="0" borderId="0" xfId="1" applyFont="1" applyAlignment="1">
      <alignment horizontal="right" vertical="center"/>
    </xf>
    <xf numFmtId="0" fontId="3" fillId="3" borderId="8" xfId="3" applyFont="1" applyFill="1" applyBorder="1" applyAlignment="1">
      <alignment horizontal="center" vertical="center" wrapText="1"/>
    </xf>
    <xf numFmtId="0" fontId="12" fillId="4" borderId="9" xfId="6" applyFont="1" applyFill="1" applyBorder="1" applyAlignment="1">
      <alignment horizontal="center" vertical="center"/>
    </xf>
    <xf numFmtId="37" fontId="12" fillId="0" borderId="10" xfId="7" applyNumberFormat="1" applyFont="1" applyBorder="1" applyAlignment="1">
      <alignment horizontal="center" vertical="center"/>
    </xf>
    <xf numFmtId="37" fontId="12" fillId="0" borderId="11" xfId="7" applyNumberFormat="1" applyFont="1" applyBorder="1" applyAlignment="1">
      <alignment horizontal="center" vertical="center"/>
    </xf>
    <xf numFmtId="3" fontId="12" fillId="4" borderId="11" xfId="6" applyNumberFormat="1" applyFont="1" applyFill="1" applyBorder="1" applyAlignment="1">
      <alignment horizontal="center" vertical="center"/>
    </xf>
    <xf numFmtId="3" fontId="12" fillId="7" borderId="11" xfId="6" applyNumberFormat="1" applyFont="1" applyFill="1" applyBorder="1" applyAlignment="1">
      <alignment horizontal="center" vertical="center"/>
    </xf>
    <xf numFmtId="176" fontId="12" fillId="7" borderId="11" xfId="6" applyNumberFormat="1" applyFont="1" applyFill="1" applyBorder="1" applyAlignment="1">
      <alignment horizontal="center" vertical="center"/>
    </xf>
    <xf numFmtId="177" fontId="12" fillId="0" borderId="12" xfId="5" applyNumberFormat="1" applyFont="1" applyBorder="1" applyAlignment="1">
      <alignment horizontal="center" vertical="center"/>
    </xf>
    <xf numFmtId="177" fontId="12" fillId="4" borderId="11" xfId="5" applyNumberFormat="1" applyFont="1" applyFill="1" applyBorder="1" applyAlignment="1">
      <alignment horizontal="center" vertical="center"/>
    </xf>
    <xf numFmtId="38" fontId="17" fillId="7" borderId="11" xfId="6" applyNumberFormat="1" applyFont="1" applyFill="1" applyBorder="1" applyAlignment="1">
      <alignment horizontal="center" vertical="center"/>
    </xf>
    <xf numFmtId="178" fontId="12" fillId="4" borderId="11" xfId="4" applyNumberFormat="1" applyFont="1" applyFill="1" applyBorder="1" applyAlignment="1">
      <alignment horizontal="center" vertical="center"/>
    </xf>
    <xf numFmtId="3" fontId="12" fillId="4" borderId="13" xfId="6" applyNumberFormat="1" applyFont="1" applyFill="1" applyBorder="1" applyAlignment="1">
      <alignment horizontal="center" vertical="center"/>
    </xf>
    <xf numFmtId="0" fontId="11" fillId="4" borderId="14" xfId="3" applyFont="1" applyFill="1" applyBorder="1" applyAlignment="1">
      <alignment horizontal="center" vertical="center"/>
    </xf>
    <xf numFmtId="37" fontId="11" fillId="4" borderId="15" xfId="4" applyNumberFormat="1" applyFont="1" applyFill="1" applyBorder="1" applyAlignment="1">
      <alignment horizontal="center" vertical="center"/>
    </xf>
    <xf numFmtId="37" fontId="11" fillId="0" borderId="12" xfId="4" applyNumberFormat="1" applyFont="1" applyBorder="1" applyAlignment="1">
      <alignment horizontal="center" vertical="center"/>
    </xf>
    <xf numFmtId="3" fontId="11" fillId="4" borderId="12" xfId="3" applyNumberFormat="1" applyFont="1" applyFill="1" applyBorder="1" applyAlignment="1">
      <alignment horizontal="center" vertical="center"/>
    </xf>
    <xf numFmtId="3" fontId="11" fillId="8" borderId="12" xfId="3" applyNumberFormat="1" applyFont="1" applyFill="1" applyBorder="1" applyAlignment="1">
      <alignment horizontal="center" vertical="center"/>
    </xf>
    <xf numFmtId="176" fontId="11" fillId="8" borderId="12" xfId="3" applyNumberFormat="1" applyFont="1" applyFill="1" applyBorder="1" applyAlignment="1">
      <alignment horizontal="center" vertical="center"/>
    </xf>
    <xf numFmtId="177" fontId="12" fillId="4" borderId="12" xfId="5" applyNumberFormat="1" applyFont="1" applyFill="1" applyBorder="1" applyAlignment="1">
      <alignment horizontal="center" vertical="center"/>
    </xf>
    <xf numFmtId="38" fontId="17" fillId="7" borderId="16" xfId="3" applyNumberFormat="1" applyFont="1" applyFill="1" applyBorder="1" applyAlignment="1">
      <alignment horizontal="center" vertical="center"/>
    </xf>
    <xf numFmtId="3" fontId="12" fillId="4" borderId="16" xfId="3" applyNumberFormat="1" applyFont="1" applyFill="1" applyBorder="1" applyAlignment="1">
      <alignment horizontal="center" vertical="center"/>
    </xf>
    <xf numFmtId="178" fontId="12" fillId="4" borderId="16" xfId="4" applyNumberFormat="1" applyFont="1" applyFill="1" applyBorder="1" applyAlignment="1">
      <alignment horizontal="center" vertical="center"/>
    </xf>
    <xf numFmtId="3" fontId="11" fillId="4" borderId="17" xfId="3" applyNumberFormat="1" applyFont="1" applyFill="1" applyBorder="1" applyAlignment="1">
      <alignment horizontal="center" vertical="center"/>
    </xf>
    <xf numFmtId="0" fontId="11" fillId="4" borderId="18" xfId="3" applyFont="1" applyFill="1" applyBorder="1" applyAlignment="1">
      <alignment horizontal="center" vertical="center"/>
    </xf>
    <xf numFmtId="37" fontId="11" fillId="4" borderId="19" xfId="4" applyNumberFormat="1" applyFont="1" applyFill="1" applyBorder="1" applyAlignment="1">
      <alignment horizontal="center" vertical="center"/>
    </xf>
    <xf numFmtId="37" fontId="12" fillId="4" borderId="12" xfId="4" applyNumberFormat="1" applyFont="1" applyFill="1" applyBorder="1" applyAlignment="1">
      <alignment horizontal="center" vertical="center"/>
    </xf>
    <xf numFmtId="3" fontId="12" fillId="4" borderId="12" xfId="3" applyNumberFormat="1" applyFont="1" applyFill="1" applyBorder="1" applyAlignment="1">
      <alignment horizontal="center" vertical="center"/>
    </xf>
    <xf numFmtId="177" fontId="11" fillId="4" borderId="12" xfId="5" applyNumberFormat="1" applyFont="1" applyFill="1" applyBorder="1" applyAlignment="1">
      <alignment horizontal="center" vertical="center"/>
    </xf>
    <xf numFmtId="38" fontId="14" fillId="8" borderId="12" xfId="3" applyNumberFormat="1" applyFont="1" applyFill="1" applyBorder="1" applyAlignment="1">
      <alignment horizontal="center" vertical="center"/>
    </xf>
    <xf numFmtId="178" fontId="11" fillId="4" borderId="12" xfId="4" applyNumberFormat="1" applyFont="1" applyFill="1" applyBorder="1" applyAlignment="1">
      <alignment horizontal="center" vertical="center"/>
    </xf>
    <xf numFmtId="37" fontId="11" fillId="9" borderId="6" xfId="4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177" fontId="12" fillId="0" borderId="0" xfId="5" applyNumberFormat="1" applyFont="1" applyFill="1" applyAlignment="1">
      <alignment horizontal="center" vertical="center"/>
    </xf>
    <xf numFmtId="38" fontId="12" fillId="0" borderId="0" xfId="5" applyNumberFormat="1" applyFont="1" applyFill="1" applyAlignment="1">
      <alignment horizontal="center" vertical="center"/>
    </xf>
    <xf numFmtId="37" fontId="11" fillId="0" borderId="6" xfId="4" applyNumberFormat="1" applyFont="1" applyFill="1" applyBorder="1" applyAlignment="1">
      <alignment horizontal="center" vertical="center"/>
    </xf>
    <xf numFmtId="0" fontId="9" fillId="0" borderId="0" xfId="16" applyFont="1">
      <alignment vertical="center"/>
    </xf>
    <xf numFmtId="0" fontId="13" fillId="0" borderId="0" xfId="16" applyFont="1">
      <alignment vertical="center"/>
    </xf>
    <xf numFmtId="0" fontId="9" fillId="0" borderId="0" xfId="16" applyFont="1" applyAlignment="1">
      <alignment horizontal="center" vertical="center"/>
    </xf>
    <xf numFmtId="38" fontId="9" fillId="0" borderId="0" xfId="16" applyNumberFormat="1" applyFont="1" applyAlignment="1">
      <alignment horizontal="center" vertical="center"/>
    </xf>
    <xf numFmtId="38" fontId="9" fillId="0" borderId="0" xfId="16" applyNumberFormat="1" applyFont="1">
      <alignment vertical="center"/>
    </xf>
    <xf numFmtId="40" fontId="9" fillId="0" borderId="0" xfId="16" applyNumberFormat="1" applyFont="1">
      <alignment vertical="center"/>
    </xf>
    <xf numFmtId="177" fontId="9" fillId="0" borderId="0" xfId="5" applyNumberFormat="1" applyFont="1" applyAlignment="1">
      <alignment vertical="center"/>
    </xf>
    <xf numFmtId="178" fontId="9" fillId="0" borderId="0" xfId="16" applyNumberFormat="1" applyFont="1">
      <alignment vertical="center"/>
    </xf>
    <xf numFmtId="0" fontId="26" fillId="0" borderId="0" xfId="16" applyFont="1">
      <alignment vertical="center"/>
    </xf>
    <xf numFmtId="38" fontId="27" fillId="0" borderId="0" xfId="16" applyNumberFormat="1" applyFont="1" applyAlignment="1">
      <alignment horizontal="center" vertical="center"/>
    </xf>
    <xf numFmtId="180" fontId="13" fillId="0" borderId="0" xfId="16" applyNumberFormat="1" applyFont="1">
      <alignment vertical="center"/>
    </xf>
    <xf numFmtId="0" fontId="22" fillId="0" borderId="0" xfId="17" applyFont="1">
      <alignment vertical="center"/>
    </xf>
    <xf numFmtId="0" fontId="22" fillId="0" borderId="0" xfId="17" applyFont="1" applyAlignment="1">
      <alignment horizontal="left" vertical="center"/>
    </xf>
    <xf numFmtId="0" fontId="23" fillId="0" borderId="0" xfId="17" applyFont="1">
      <alignment vertical="center"/>
    </xf>
    <xf numFmtId="0" fontId="23" fillId="0" borderId="0" xfId="17" applyFont="1" applyAlignment="1">
      <alignment horizontal="left" vertical="center"/>
    </xf>
    <xf numFmtId="0" fontId="29" fillId="0" borderId="0" xfId="16" applyFont="1">
      <alignment vertical="center"/>
    </xf>
    <xf numFmtId="0" fontId="9" fillId="4" borderId="0" xfId="16" applyFont="1" applyFill="1" applyAlignment="1">
      <alignment horizontal="left" vertical="center"/>
    </xf>
    <xf numFmtId="38" fontId="24" fillId="0" borderId="0" xfId="16" applyNumberFormat="1" applyFont="1">
      <alignment vertical="center"/>
    </xf>
    <xf numFmtId="178" fontId="24" fillId="0" borderId="0" xfId="16" applyNumberFormat="1" applyFont="1">
      <alignment vertical="center"/>
    </xf>
    <xf numFmtId="0" fontId="30" fillId="0" borderId="0" xfId="16" applyFont="1">
      <alignment vertical="center"/>
    </xf>
    <xf numFmtId="38" fontId="24" fillId="0" borderId="0" xfId="16" applyNumberFormat="1" applyFont="1" applyAlignment="1">
      <alignment horizontal="center" vertical="center"/>
    </xf>
    <xf numFmtId="0" fontId="24" fillId="0" borderId="0" xfId="16" applyFont="1">
      <alignment vertical="center"/>
    </xf>
    <xf numFmtId="0" fontId="8" fillId="0" borderId="0" xfId="16" applyFont="1">
      <alignment vertical="center"/>
    </xf>
    <xf numFmtId="0" fontId="9" fillId="4" borderId="0" xfId="16" applyFont="1" applyFill="1">
      <alignment vertical="center"/>
    </xf>
    <xf numFmtId="38" fontId="17" fillId="7" borderId="40" xfId="3" applyNumberFormat="1" applyFont="1" applyFill="1" applyBorder="1" applyAlignment="1">
      <alignment horizontal="center" vertical="center"/>
    </xf>
    <xf numFmtId="178" fontId="12" fillId="4" borderId="40" xfId="4" applyNumberFormat="1" applyFont="1" applyFill="1" applyBorder="1" applyAlignment="1">
      <alignment horizontal="center" vertical="center"/>
    </xf>
    <xf numFmtId="0" fontId="24" fillId="10" borderId="0" xfId="18" applyFont="1" applyFill="1">
      <alignment vertical="center"/>
    </xf>
    <xf numFmtId="0" fontId="24" fillId="0" borderId="44" xfId="18" applyFont="1" applyBorder="1" applyAlignment="1">
      <alignment horizontal="center" vertical="center"/>
    </xf>
    <xf numFmtId="0" fontId="24" fillId="0" borderId="45" xfId="18" applyFont="1" applyBorder="1" applyAlignment="1">
      <alignment horizontal="center" vertical="center"/>
    </xf>
    <xf numFmtId="179" fontId="24" fillId="0" borderId="44" xfId="18" applyNumberFormat="1" applyFont="1" applyBorder="1" applyAlignment="1">
      <alignment horizontal="center" vertical="center"/>
    </xf>
    <xf numFmtId="38" fontId="24" fillId="0" borderId="46" xfId="18" applyNumberFormat="1" applyFont="1" applyBorder="1" applyAlignment="1">
      <alignment horizontal="center" vertical="center"/>
    </xf>
    <xf numFmtId="3" fontId="24" fillId="0" borderId="46" xfId="18" applyNumberFormat="1" applyFont="1" applyBorder="1" applyAlignment="1">
      <alignment horizontal="center" vertical="center"/>
    </xf>
    <xf numFmtId="3" fontId="24" fillId="0" borderId="47" xfId="18" applyNumberFormat="1" applyFont="1" applyBorder="1" applyAlignment="1">
      <alignment horizontal="center" vertical="center"/>
    </xf>
    <xf numFmtId="3" fontId="24" fillId="0" borderId="44" xfId="18" applyNumberFormat="1" applyFont="1" applyBorder="1" applyAlignment="1">
      <alignment horizontal="center" vertical="center"/>
    </xf>
    <xf numFmtId="2" fontId="24" fillId="0" borderId="46" xfId="18" applyNumberFormat="1" applyFont="1" applyBorder="1" applyAlignment="1">
      <alignment horizontal="center" vertical="center"/>
    </xf>
    <xf numFmtId="177" fontId="24" fillId="0" borderId="46" xfId="5" applyNumberFormat="1" applyFont="1" applyBorder="1" applyAlignment="1">
      <alignment horizontal="center" vertical="center"/>
    </xf>
    <xf numFmtId="181" fontId="24" fillId="0" borderId="46" xfId="18" applyNumberFormat="1" applyFont="1" applyBorder="1" applyAlignment="1">
      <alignment horizontal="center" vertical="center"/>
    </xf>
    <xf numFmtId="179" fontId="24" fillId="0" borderId="46" xfId="18" applyNumberFormat="1" applyFont="1" applyBorder="1" applyAlignment="1">
      <alignment horizontal="center" vertical="center"/>
    </xf>
    <xf numFmtId="3" fontId="24" fillId="0" borderId="48" xfId="18" applyNumberFormat="1" applyFont="1" applyBorder="1" applyAlignment="1">
      <alignment horizontal="center" vertical="center"/>
    </xf>
    <xf numFmtId="38" fontId="24" fillId="0" borderId="47" xfId="18" applyNumberFormat="1" applyFont="1" applyBorder="1" applyAlignment="1">
      <alignment horizontal="center" vertical="center"/>
    </xf>
    <xf numFmtId="0" fontId="9" fillId="11" borderId="0" xfId="16" applyFont="1" applyFill="1">
      <alignment vertical="center"/>
    </xf>
    <xf numFmtId="0" fontId="28" fillId="11" borderId="0" xfId="17" applyFont="1" applyFill="1">
      <alignment vertical="center"/>
    </xf>
    <xf numFmtId="0" fontId="9" fillId="11" borderId="0" xfId="16" applyFont="1" applyFill="1" applyAlignment="1">
      <alignment horizontal="center" vertical="center"/>
    </xf>
    <xf numFmtId="38" fontId="9" fillId="11" borderId="0" xfId="16" applyNumberFormat="1" applyFont="1" applyFill="1" applyAlignment="1">
      <alignment horizontal="center" vertical="center"/>
    </xf>
    <xf numFmtId="38" fontId="9" fillId="11" borderId="0" xfId="16" applyNumberFormat="1" applyFont="1" applyFill="1">
      <alignment vertical="center"/>
    </xf>
    <xf numFmtId="40" fontId="9" fillId="11" borderId="0" xfId="16" applyNumberFormat="1" applyFont="1" applyFill="1">
      <alignment vertical="center"/>
    </xf>
    <xf numFmtId="177" fontId="9" fillId="11" borderId="0" xfId="5" applyNumberFormat="1" applyFont="1" applyFill="1" applyAlignment="1">
      <alignment vertical="center"/>
    </xf>
    <xf numFmtId="178" fontId="9" fillId="11" borderId="0" xfId="16" applyNumberFormat="1" applyFont="1" applyFill="1">
      <alignment vertical="center"/>
    </xf>
    <xf numFmtId="0" fontId="26" fillId="11" borderId="0" xfId="16" applyFont="1" applyFill="1">
      <alignment vertical="center"/>
    </xf>
    <xf numFmtId="0" fontId="24" fillId="10" borderId="0" xfId="18" applyFont="1" applyFill="1" applyAlignment="1"/>
    <xf numFmtId="0" fontId="23" fillId="12" borderId="26" xfId="18" applyFont="1" applyFill="1" applyBorder="1" applyAlignment="1">
      <alignment horizontal="center" vertical="center" wrapText="1"/>
    </xf>
    <xf numFmtId="0" fontId="23" fillId="12" borderId="27" xfId="18" applyFont="1" applyFill="1" applyBorder="1" applyAlignment="1">
      <alignment horizontal="center" vertical="center" wrapText="1"/>
    </xf>
    <xf numFmtId="0" fontId="23" fillId="12" borderId="28" xfId="18" applyFont="1" applyFill="1" applyBorder="1" applyAlignment="1">
      <alignment horizontal="center" vertical="center" wrapText="1"/>
    </xf>
    <xf numFmtId="0" fontId="23" fillId="12" borderId="29" xfId="18" applyFont="1" applyFill="1" applyBorder="1" applyAlignment="1">
      <alignment horizontal="center" vertical="center" wrapText="1"/>
    </xf>
    <xf numFmtId="0" fontId="23" fillId="12" borderId="30" xfId="18" applyFont="1" applyFill="1" applyBorder="1" applyAlignment="1">
      <alignment horizontal="center" vertical="center" wrapText="1"/>
    </xf>
    <xf numFmtId="0" fontId="23" fillId="12" borderId="31" xfId="18" applyFont="1" applyFill="1" applyBorder="1" applyAlignment="1">
      <alignment horizontal="center" vertical="center" wrapText="1"/>
    </xf>
    <xf numFmtId="0" fontId="23" fillId="12" borderId="32" xfId="18" applyFont="1" applyFill="1" applyBorder="1" applyAlignment="1">
      <alignment horizontal="center" vertical="center" wrapText="1"/>
    </xf>
    <xf numFmtId="182" fontId="24" fillId="0" borderId="46" xfId="18" applyNumberFormat="1" applyFont="1" applyBorder="1" applyAlignment="1">
      <alignment horizontal="center" vertical="center"/>
    </xf>
    <xf numFmtId="0" fontId="9" fillId="13" borderId="0" xfId="16" applyFont="1" applyFill="1">
      <alignment vertical="center"/>
    </xf>
    <xf numFmtId="0" fontId="28" fillId="13" borderId="0" xfId="17" applyFont="1" applyFill="1">
      <alignment vertical="center"/>
    </xf>
    <xf numFmtId="0" fontId="9" fillId="13" borderId="0" xfId="16" applyFont="1" applyFill="1" applyAlignment="1">
      <alignment horizontal="center" vertical="center"/>
    </xf>
    <xf numFmtId="38" fontId="9" fillId="13" borderId="0" xfId="16" applyNumberFormat="1" applyFont="1" applyFill="1" applyAlignment="1">
      <alignment horizontal="center" vertical="center"/>
    </xf>
    <xf numFmtId="38" fontId="9" fillId="13" borderId="0" xfId="16" applyNumberFormat="1" applyFont="1" applyFill="1">
      <alignment vertical="center"/>
    </xf>
    <xf numFmtId="40" fontId="9" fillId="13" borderId="0" xfId="16" applyNumberFormat="1" applyFont="1" applyFill="1">
      <alignment vertical="center"/>
    </xf>
    <xf numFmtId="177" fontId="9" fillId="13" borderId="0" xfId="5" applyNumberFormat="1" applyFont="1" applyFill="1" applyAlignment="1">
      <alignment vertical="center"/>
    </xf>
    <xf numFmtId="178" fontId="9" fillId="13" borderId="0" xfId="16" applyNumberFormat="1" applyFont="1" applyFill="1">
      <alignment vertical="center"/>
    </xf>
    <xf numFmtId="0" fontId="26" fillId="13" borderId="0" xfId="16" applyFont="1" applyFill="1">
      <alignment vertical="center"/>
    </xf>
    <xf numFmtId="1" fontId="9" fillId="0" borderId="0" xfId="16" applyNumberFormat="1" applyFont="1" applyAlignment="1">
      <alignment horizontal="center" vertical="center"/>
    </xf>
    <xf numFmtId="0" fontId="32" fillId="0" borderId="0" xfId="19" applyFont="1">
      <alignment vertical="center"/>
    </xf>
    <xf numFmtId="38" fontId="33" fillId="0" borderId="0" xfId="16" applyNumberFormat="1" applyFont="1">
      <alignment vertical="center"/>
    </xf>
    <xf numFmtId="0" fontId="34" fillId="15" borderId="0" xfId="16" applyFont="1" applyFill="1" applyAlignment="1">
      <alignment horizontal="center" vertical="center"/>
    </xf>
    <xf numFmtId="0" fontId="0" fillId="15" borderId="0" xfId="16" applyFont="1" applyFill="1" applyAlignment="1">
      <alignment horizontal="center" vertical="center"/>
    </xf>
    <xf numFmtId="0" fontId="29" fillId="15" borderId="0" xfId="16" applyFont="1" applyFill="1" applyAlignment="1">
      <alignment horizontal="center" vertical="center"/>
    </xf>
    <xf numFmtId="38" fontId="0" fillId="15" borderId="0" xfId="16" applyNumberFormat="1" applyFont="1" applyFill="1" applyAlignment="1">
      <alignment horizontal="center" vertical="center"/>
    </xf>
    <xf numFmtId="0" fontId="23" fillId="14" borderId="26" xfId="18" applyFont="1" applyFill="1" applyBorder="1" applyAlignment="1">
      <alignment horizontal="center" vertical="center" wrapText="1"/>
    </xf>
    <xf numFmtId="0" fontId="23" fillId="14" borderId="27" xfId="18" applyFont="1" applyFill="1" applyBorder="1" applyAlignment="1">
      <alignment horizontal="center" vertical="center" wrapText="1"/>
    </xf>
    <xf numFmtId="0" fontId="23" fillId="14" borderId="28" xfId="18" applyFont="1" applyFill="1" applyBorder="1" applyAlignment="1">
      <alignment horizontal="center" vertical="center" wrapText="1"/>
    </xf>
    <xf numFmtId="0" fontId="23" fillId="14" borderId="29" xfId="18" applyFont="1" applyFill="1" applyBorder="1" applyAlignment="1">
      <alignment horizontal="center" vertical="center" wrapText="1"/>
    </xf>
    <xf numFmtId="3" fontId="0" fillId="15" borderId="0" xfId="16" applyNumberFormat="1" applyFont="1" applyFill="1" applyAlignment="1">
      <alignment horizontal="center" vertical="center"/>
    </xf>
    <xf numFmtId="0" fontId="23" fillId="14" borderId="30" xfId="18" applyFont="1" applyFill="1" applyBorder="1" applyAlignment="1">
      <alignment horizontal="center" vertical="center" wrapText="1"/>
    </xf>
    <xf numFmtId="0" fontId="23" fillId="14" borderId="31" xfId="18" applyFont="1" applyFill="1" applyBorder="1" applyAlignment="1">
      <alignment horizontal="center" vertical="center" wrapText="1"/>
    </xf>
    <xf numFmtId="0" fontId="23" fillId="14" borderId="32" xfId="18" applyFont="1" applyFill="1" applyBorder="1" applyAlignment="1">
      <alignment horizontal="center" vertical="center" wrapText="1"/>
    </xf>
    <xf numFmtId="0" fontId="24" fillId="0" borderId="56" xfId="18" applyFont="1" applyBorder="1" applyAlignment="1">
      <alignment horizontal="center" vertical="center"/>
    </xf>
    <xf numFmtId="0" fontId="24" fillId="0" borderId="63" xfId="18" applyFont="1" applyBorder="1" applyAlignment="1">
      <alignment horizontal="center" vertical="center"/>
    </xf>
    <xf numFmtId="0" fontId="24" fillId="0" borderId="64" xfId="18" applyFont="1" applyBorder="1" applyAlignment="1">
      <alignment horizontal="center" vertical="center"/>
    </xf>
    <xf numFmtId="179" fontId="24" fillId="0" borderId="56" xfId="18" applyNumberFormat="1" applyFont="1" applyBorder="1" applyAlignment="1">
      <alignment horizontal="center" vertical="center"/>
    </xf>
    <xf numFmtId="38" fontId="24" fillId="0" borderId="57" xfId="18" applyNumberFormat="1" applyFont="1" applyBorder="1" applyAlignment="1">
      <alignment horizontal="center" vertical="center"/>
    </xf>
    <xf numFmtId="3" fontId="24" fillId="0" borderId="57" xfId="18" applyNumberFormat="1" applyFont="1" applyBorder="1" applyAlignment="1">
      <alignment horizontal="center" vertical="center"/>
    </xf>
    <xf numFmtId="3" fontId="24" fillId="0" borderId="64" xfId="18" applyNumberFormat="1" applyFont="1" applyBorder="1" applyAlignment="1">
      <alignment horizontal="center" vertical="center"/>
    </xf>
    <xf numFmtId="3" fontId="24" fillId="0" borderId="56" xfId="18" applyNumberFormat="1" applyFont="1" applyBorder="1" applyAlignment="1">
      <alignment horizontal="center" vertical="center"/>
    </xf>
    <xf numFmtId="2" fontId="24" fillId="0" borderId="57" xfId="18" applyNumberFormat="1" applyFont="1" applyBorder="1" applyAlignment="1">
      <alignment horizontal="center" vertical="center"/>
    </xf>
    <xf numFmtId="177" fontId="24" fillId="0" borderId="57" xfId="5" applyNumberFormat="1" applyFont="1" applyBorder="1" applyAlignment="1">
      <alignment horizontal="center" vertical="center"/>
    </xf>
    <xf numFmtId="181" fontId="24" fillId="0" borderId="57" xfId="18" applyNumberFormat="1" applyFont="1" applyBorder="1" applyAlignment="1">
      <alignment horizontal="center" vertical="center"/>
    </xf>
    <xf numFmtId="179" fontId="24" fillId="0" borderId="57" xfId="18" applyNumberFormat="1" applyFont="1" applyBorder="1" applyAlignment="1">
      <alignment horizontal="center" vertical="center"/>
    </xf>
    <xf numFmtId="38" fontId="24" fillId="0" borderId="64" xfId="18" applyNumberFormat="1" applyFont="1" applyBorder="1" applyAlignment="1">
      <alignment horizontal="center" vertical="center"/>
    </xf>
    <xf numFmtId="0" fontId="35" fillId="10" borderId="0" xfId="18" applyFont="1" applyFill="1" applyAlignment="1"/>
    <xf numFmtId="0" fontId="23" fillId="10" borderId="0" xfId="18" applyFont="1" applyFill="1" applyAlignment="1"/>
    <xf numFmtId="0" fontId="23" fillId="7" borderId="66" xfId="18" applyFont="1" applyFill="1" applyBorder="1" applyAlignment="1">
      <alignment horizontal="center" vertical="center"/>
    </xf>
    <xf numFmtId="0" fontId="23" fillId="7" borderId="67" xfId="18" applyFont="1" applyFill="1" applyBorder="1" applyAlignment="1">
      <alignment horizontal="center" vertical="center"/>
    </xf>
    <xf numFmtId="0" fontId="23" fillId="7" borderId="68" xfId="18" applyFont="1" applyFill="1" applyBorder="1" applyAlignment="1">
      <alignment horizontal="center" vertical="center"/>
    </xf>
    <xf numFmtId="38" fontId="23" fillId="7" borderId="66" xfId="18" applyNumberFormat="1" applyFont="1" applyFill="1" applyBorder="1" applyAlignment="1">
      <alignment horizontal="center" vertical="center"/>
    </xf>
    <xf numFmtId="38" fontId="23" fillId="7" borderId="69" xfId="18" applyNumberFormat="1" applyFont="1" applyFill="1" applyBorder="1" applyAlignment="1">
      <alignment horizontal="center" vertical="center"/>
    </xf>
    <xf numFmtId="38" fontId="23" fillId="7" borderId="68" xfId="18" applyNumberFormat="1" applyFont="1" applyFill="1" applyBorder="1" applyAlignment="1">
      <alignment horizontal="center" vertical="center"/>
    </xf>
    <xf numFmtId="3" fontId="23" fillId="7" borderId="66" xfId="18" applyNumberFormat="1" applyFont="1" applyFill="1" applyBorder="1" applyAlignment="1">
      <alignment horizontal="center" vertical="center"/>
    </xf>
    <xf numFmtId="2" fontId="23" fillId="7" borderId="69" xfId="18" applyNumberFormat="1" applyFont="1" applyFill="1" applyBorder="1" applyAlignment="1">
      <alignment horizontal="center" vertical="center"/>
    </xf>
    <xf numFmtId="177" fontId="23" fillId="7" borderId="69" xfId="5" applyNumberFormat="1" applyFont="1" applyFill="1" applyBorder="1" applyAlignment="1">
      <alignment horizontal="center" vertical="center"/>
    </xf>
    <xf numFmtId="179" fontId="23" fillId="7" borderId="69" xfId="18" applyNumberFormat="1" applyFont="1" applyFill="1" applyBorder="1" applyAlignment="1">
      <alignment horizontal="center" vertical="center"/>
    </xf>
    <xf numFmtId="40" fontId="23" fillId="7" borderId="69" xfId="18" applyNumberFormat="1" applyFont="1" applyFill="1" applyBorder="1" applyAlignment="1">
      <alignment horizontal="center" vertical="center"/>
    </xf>
    <xf numFmtId="179" fontId="23" fillId="7" borderId="66" xfId="18" applyNumberFormat="1" applyFont="1" applyFill="1" applyBorder="1" applyAlignment="1">
      <alignment horizontal="center" vertical="center"/>
    </xf>
    <xf numFmtId="181" fontId="23" fillId="7" borderId="69" xfId="18" applyNumberFormat="1" applyFont="1" applyFill="1" applyBorder="1" applyAlignment="1">
      <alignment horizontal="center" vertical="center"/>
    </xf>
    <xf numFmtId="38" fontId="23" fillId="0" borderId="0" xfId="16" applyNumberFormat="1" applyFont="1">
      <alignment vertical="center"/>
    </xf>
    <xf numFmtId="178" fontId="23" fillId="0" borderId="0" xfId="16" applyNumberFormat="1" applyFont="1">
      <alignment vertical="center"/>
    </xf>
    <xf numFmtId="0" fontId="36" fillId="0" borderId="0" xfId="16" applyFont="1">
      <alignment vertical="center"/>
    </xf>
    <xf numFmtId="38" fontId="23" fillId="0" borderId="0" xfId="16" applyNumberFormat="1" applyFont="1" applyAlignment="1">
      <alignment horizontal="center" vertical="center"/>
    </xf>
    <xf numFmtId="0" fontId="23" fillId="0" borderId="0" xfId="16" applyFont="1">
      <alignment vertical="center"/>
    </xf>
    <xf numFmtId="0" fontId="8" fillId="13" borderId="0" xfId="16" applyFont="1" applyFill="1" applyAlignment="1">
      <alignment horizontal="center" vertical="center"/>
    </xf>
    <xf numFmtId="38" fontId="8" fillId="13" borderId="0" xfId="16" applyNumberFormat="1" applyFont="1" applyFill="1" applyAlignment="1">
      <alignment horizontal="center" vertical="center"/>
    </xf>
    <xf numFmtId="2" fontId="8" fillId="13" borderId="0" xfId="16" applyNumberFormat="1" applyFont="1" applyFill="1" applyAlignment="1">
      <alignment horizontal="center" vertical="center"/>
    </xf>
    <xf numFmtId="177" fontId="8" fillId="13" borderId="0" xfId="5" applyNumberFormat="1" applyFont="1" applyFill="1" applyAlignment="1">
      <alignment horizontal="center" vertical="center"/>
    </xf>
    <xf numFmtId="179" fontId="8" fillId="13" borderId="0" xfId="16" applyNumberFormat="1" applyFont="1" applyFill="1" applyAlignment="1">
      <alignment horizontal="center" vertical="center"/>
    </xf>
    <xf numFmtId="40" fontId="8" fillId="13" borderId="0" xfId="16" applyNumberFormat="1" applyFont="1" applyFill="1" applyAlignment="1">
      <alignment horizontal="center" vertical="center"/>
    </xf>
    <xf numFmtId="177" fontId="8" fillId="13" borderId="0" xfId="5" applyNumberFormat="1" applyFont="1" applyFill="1" applyAlignment="1">
      <alignment vertical="center"/>
    </xf>
    <xf numFmtId="38" fontId="8" fillId="13" borderId="0" xfId="16" applyNumberFormat="1" applyFont="1" applyFill="1">
      <alignment vertical="center"/>
    </xf>
    <xf numFmtId="178" fontId="8" fillId="13" borderId="0" xfId="16" applyNumberFormat="1" applyFont="1" applyFill="1">
      <alignment vertical="center"/>
    </xf>
    <xf numFmtId="177" fontId="8" fillId="0" borderId="0" xfId="5" applyNumberFormat="1" applyFont="1" applyAlignment="1">
      <alignment vertical="center"/>
    </xf>
    <xf numFmtId="178" fontId="8" fillId="0" borderId="0" xfId="16" applyNumberFormat="1" applyFont="1">
      <alignment vertical="center"/>
    </xf>
    <xf numFmtId="38" fontId="8" fillId="0" borderId="0" xfId="16" applyNumberFormat="1" applyFont="1">
      <alignment vertical="center"/>
    </xf>
    <xf numFmtId="0" fontId="37" fillId="0" borderId="0" xfId="16" applyFont="1">
      <alignment vertical="center"/>
    </xf>
    <xf numFmtId="38" fontId="38" fillId="0" borderId="0" xfId="16" applyNumberFormat="1" applyFont="1" applyAlignment="1">
      <alignment horizontal="center" vertical="center"/>
    </xf>
    <xf numFmtId="179" fontId="24" fillId="16" borderId="56" xfId="18" applyNumberFormat="1" applyFont="1" applyFill="1" applyBorder="1" applyAlignment="1">
      <alignment horizontal="center" vertical="center"/>
    </xf>
    <xf numFmtId="179" fontId="24" fillId="16" borderId="57" xfId="18" applyNumberFormat="1" applyFont="1" applyFill="1" applyBorder="1" applyAlignment="1">
      <alignment horizontal="center" vertical="center"/>
    </xf>
    <xf numFmtId="177" fontId="24" fillId="16" borderId="57" xfId="5" applyNumberFormat="1" applyFont="1" applyFill="1" applyBorder="1" applyAlignment="1">
      <alignment horizontal="center" vertical="center"/>
    </xf>
    <xf numFmtId="181" fontId="24" fillId="16" borderId="57" xfId="18" applyNumberFormat="1" applyFont="1" applyFill="1" applyBorder="1" applyAlignment="1">
      <alignment horizontal="center" vertical="center"/>
    </xf>
    <xf numFmtId="38" fontId="24" fillId="16" borderId="64" xfId="18" applyNumberFormat="1" applyFont="1" applyFill="1" applyBorder="1" applyAlignment="1">
      <alignment horizontal="center" vertical="center"/>
    </xf>
    <xf numFmtId="0" fontId="24" fillId="0" borderId="70" xfId="18" applyFont="1" applyBorder="1" applyAlignment="1">
      <alignment horizontal="center" vertical="center"/>
    </xf>
    <xf numFmtId="3" fontId="24" fillId="0" borderId="52" xfId="18" applyNumberFormat="1" applyFont="1" applyBorder="1" applyAlignment="1">
      <alignment horizontal="center" vertical="center"/>
    </xf>
    <xf numFmtId="38" fontId="24" fillId="0" borderId="12" xfId="18" applyNumberFormat="1" applyFont="1" applyBorder="1" applyAlignment="1">
      <alignment horizontal="center" vertical="center"/>
    </xf>
    <xf numFmtId="179" fontId="24" fillId="0" borderId="52" xfId="18" applyNumberFormat="1" applyFont="1" applyBorder="1" applyAlignment="1">
      <alignment horizontal="center" vertical="center"/>
    </xf>
    <xf numFmtId="179" fontId="24" fillId="0" borderId="12" xfId="18" applyNumberFormat="1" applyFont="1" applyBorder="1" applyAlignment="1">
      <alignment horizontal="center" vertical="center"/>
    </xf>
    <xf numFmtId="38" fontId="24" fillId="0" borderId="70" xfId="18" applyNumberFormat="1" applyFont="1" applyBorder="1" applyAlignment="1">
      <alignment horizontal="center" vertical="center"/>
    </xf>
    <xf numFmtId="0" fontId="24" fillId="0" borderId="27" xfId="18" applyFont="1" applyBorder="1" applyAlignment="1">
      <alignment horizontal="center" vertical="center"/>
    </xf>
    <xf numFmtId="179" fontId="24" fillId="0" borderId="35" xfId="18" applyNumberFormat="1" applyFont="1" applyBorder="1" applyAlignment="1">
      <alignment horizontal="center" vertical="center"/>
    </xf>
    <xf numFmtId="38" fontId="24" fillId="0" borderId="26" xfId="18" applyNumberFormat="1" applyFont="1" applyBorder="1" applyAlignment="1">
      <alignment horizontal="center" vertical="center"/>
    </xf>
    <xf numFmtId="3" fontId="24" fillId="0" borderId="26" xfId="18" applyNumberFormat="1" applyFont="1" applyBorder="1" applyAlignment="1">
      <alignment horizontal="center" vertical="center"/>
    </xf>
    <xf numFmtId="3" fontId="24" fillId="0" borderId="27" xfId="18" applyNumberFormat="1" applyFont="1" applyBorder="1" applyAlignment="1">
      <alignment horizontal="center" vertical="center"/>
    </xf>
    <xf numFmtId="3" fontId="24" fillId="0" borderId="35" xfId="18" applyNumberFormat="1" applyFont="1" applyBorder="1" applyAlignment="1">
      <alignment horizontal="center" vertical="center"/>
    </xf>
    <xf numFmtId="179" fontId="24" fillId="0" borderId="26" xfId="18" applyNumberFormat="1" applyFont="1" applyBorder="1" applyAlignment="1">
      <alignment horizontal="center" vertical="center"/>
    </xf>
    <xf numFmtId="38" fontId="24" fillId="0" borderId="27" xfId="18" applyNumberFormat="1" applyFont="1" applyBorder="1" applyAlignment="1">
      <alignment horizontal="center" vertical="center"/>
    </xf>
    <xf numFmtId="0" fontId="24" fillId="0" borderId="52" xfId="18" applyFont="1" applyBorder="1" applyAlignment="1">
      <alignment horizontal="center" vertical="center"/>
    </xf>
    <xf numFmtId="0" fontId="24" fillId="0" borderId="35" xfId="18" applyFont="1" applyBorder="1" applyAlignment="1">
      <alignment horizontal="center" vertical="center"/>
    </xf>
    <xf numFmtId="181" fontId="24" fillId="0" borderId="12" xfId="18" applyNumberFormat="1" applyFont="1" applyBorder="1" applyAlignment="1">
      <alignment horizontal="center" vertical="center"/>
    </xf>
    <xf numFmtId="0" fontId="39" fillId="10" borderId="0" xfId="18" applyFont="1" applyFill="1">
      <alignment vertical="center"/>
    </xf>
    <xf numFmtId="0" fontId="39" fillId="10" borderId="0" xfId="18" applyFont="1" applyFill="1" applyAlignment="1">
      <alignment horizontal="center" vertical="center"/>
    </xf>
    <xf numFmtId="0" fontId="40" fillId="10" borderId="0" xfId="18" applyFont="1" applyFill="1" applyAlignment="1">
      <alignment horizontal="center" vertical="center"/>
    </xf>
    <xf numFmtId="0" fontId="41" fillId="10" borderId="0" xfId="18" applyFont="1" applyFill="1" applyAlignment="1">
      <alignment horizontal="center" vertical="center"/>
    </xf>
    <xf numFmtId="0" fontId="18" fillId="0" borderId="0" xfId="18" applyAlignment="1">
      <alignment horizontal="center" vertical="center"/>
    </xf>
    <xf numFmtId="0" fontId="18" fillId="0" borderId="0" xfId="18">
      <alignment vertical="center"/>
    </xf>
    <xf numFmtId="40" fontId="9" fillId="0" borderId="0" xfId="16" applyNumberFormat="1" applyFont="1" applyAlignment="1">
      <alignment horizontal="center" vertical="center"/>
    </xf>
    <xf numFmtId="177" fontId="9" fillId="0" borderId="0" xfId="5" applyNumberFormat="1" applyFont="1" applyAlignment="1">
      <alignment horizontal="center" vertical="center"/>
    </xf>
    <xf numFmtId="178" fontId="9" fillId="0" borderId="0" xfId="16" applyNumberFormat="1" applyFont="1" applyAlignment="1">
      <alignment horizontal="center" vertical="center"/>
    </xf>
    <xf numFmtId="0" fontId="7" fillId="0" borderId="0" xfId="18" applyFont="1" applyAlignment="1">
      <alignment horizontal="center" vertical="center"/>
    </xf>
    <xf numFmtId="0" fontId="42" fillId="0" borderId="0" xfId="18" applyFont="1" applyAlignment="1">
      <alignment horizontal="center" vertical="center"/>
    </xf>
    <xf numFmtId="0" fontId="43" fillId="0" borderId="0" xfId="18" applyFont="1" applyAlignment="1">
      <alignment horizontal="center" vertical="center"/>
    </xf>
    <xf numFmtId="0" fontId="44" fillId="17" borderId="0" xfId="18" applyFont="1" applyFill="1" applyAlignment="1">
      <alignment horizontal="left" vertical="center" wrapText="1"/>
    </xf>
    <xf numFmtId="0" fontId="7" fillId="17" borderId="0" xfId="18" applyFont="1" applyFill="1" applyAlignment="1">
      <alignment horizontal="left" vertical="center" wrapText="1"/>
    </xf>
    <xf numFmtId="0" fontId="41" fillId="10" borderId="0" xfId="18" applyFont="1" applyFill="1">
      <alignment vertical="center"/>
    </xf>
    <xf numFmtId="0" fontId="7" fillId="0" borderId="0" xfId="18" applyFont="1" applyAlignment="1">
      <alignment horizontal="center" vertical="center" wrapText="1"/>
    </xf>
    <xf numFmtId="0" fontId="40" fillId="0" borderId="0" xfId="18" applyFont="1" applyAlignment="1">
      <alignment horizontal="center" vertical="center"/>
    </xf>
    <xf numFmtId="0" fontId="46" fillId="0" borderId="0" xfId="18" applyFont="1" applyAlignment="1">
      <alignment horizontal="center" vertical="center" wrapText="1"/>
    </xf>
    <xf numFmtId="0" fontId="41" fillId="0" borderId="0" xfId="18" applyFont="1" applyAlignment="1">
      <alignment horizontal="center" vertical="center"/>
    </xf>
    <xf numFmtId="0" fontId="8" fillId="0" borderId="0" xfId="16" applyFont="1" applyAlignment="1">
      <alignment horizontal="center" vertical="center"/>
    </xf>
    <xf numFmtId="181" fontId="8" fillId="13" borderId="0" xfId="16" applyNumberFormat="1" applyFont="1" applyFill="1" applyAlignment="1">
      <alignment horizontal="center" vertical="center"/>
    </xf>
    <xf numFmtId="38" fontId="8" fillId="0" borderId="0" xfId="16" applyNumberFormat="1" applyFont="1" applyAlignment="1">
      <alignment horizontal="center" vertical="center"/>
    </xf>
    <xf numFmtId="2" fontId="8" fillId="0" borderId="0" xfId="16" applyNumberFormat="1" applyFont="1" applyAlignment="1">
      <alignment horizontal="center" vertical="center"/>
    </xf>
    <xf numFmtId="177" fontId="8" fillId="0" borderId="0" xfId="5" applyNumberFormat="1" applyFont="1" applyFill="1" applyAlignment="1">
      <alignment horizontal="center" vertical="center"/>
    </xf>
    <xf numFmtId="179" fontId="8" fillId="0" borderId="0" xfId="16" applyNumberFormat="1" applyFont="1" applyAlignment="1">
      <alignment horizontal="center" vertical="center"/>
    </xf>
    <xf numFmtId="40" fontId="8" fillId="0" borderId="0" xfId="16" applyNumberFormat="1" applyFont="1" applyAlignment="1">
      <alignment horizontal="center" vertical="center"/>
    </xf>
    <xf numFmtId="178" fontId="8" fillId="0" borderId="0" xfId="16" applyNumberFormat="1" applyFont="1" applyAlignment="1">
      <alignment horizontal="center" vertical="center"/>
    </xf>
    <xf numFmtId="181" fontId="8" fillId="0" borderId="0" xfId="16" applyNumberFormat="1" applyFont="1" applyAlignment="1">
      <alignment horizontal="center" vertical="center"/>
    </xf>
    <xf numFmtId="0" fontId="47" fillId="0" borderId="0" xfId="18" applyFont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44" fillId="17" borderId="0" xfId="18" applyFont="1" applyFill="1" applyAlignment="1">
      <alignment vertical="center" wrapText="1"/>
    </xf>
    <xf numFmtId="0" fontId="45" fillId="17" borderId="0" xfId="18" applyFont="1" applyFill="1" applyAlignment="1">
      <alignment vertical="center" wrapText="1"/>
    </xf>
    <xf numFmtId="0" fontId="46" fillId="10" borderId="0" xfId="18" applyFont="1" applyFill="1" applyAlignment="1">
      <alignment horizontal="center" vertical="center" wrapText="1"/>
    </xf>
    <xf numFmtId="0" fontId="40" fillId="0" borderId="0" xfId="18" applyFont="1">
      <alignment vertical="center"/>
    </xf>
    <xf numFmtId="0" fontId="24" fillId="0" borderId="0" xfId="18" applyFont="1" applyAlignment="1"/>
    <xf numFmtId="0" fontId="48" fillId="0" borderId="0" xfId="18" applyFont="1" applyAlignment="1">
      <alignment horizontal="center" vertical="center"/>
    </xf>
    <xf numFmtId="0" fontId="45" fillId="0" borderId="0" xfId="18" applyFont="1" applyAlignment="1">
      <alignment horizontal="center" vertical="center" wrapText="1"/>
    </xf>
    <xf numFmtId="0" fontId="7" fillId="0" borderId="0" xfId="18" applyFont="1">
      <alignment vertical="center"/>
    </xf>
    <xf numFmtId="0" fontId="23" fillId="0" borderId="0" xfId="18" applyFont="1" applyAlignment="1">
      <alignment horizontal="center" vertical="center"/>
    </xf>
    <xf numFmtId="0" fontId="23" fillId="14" borderId="29" xfId="18" applyFont="1" applyFill="1" applyBorder="1" applyAlignment="1">
      <alignment horizontal="center" vertical="center"/>
    </xf>
    <xf numFmtId="0" fontId="23" fillId="14" borderId="32" xfId="18" applyFont="1" applyFill="1" applyBorder="1" applyAlignment="1">
      <alignment horizontal="center" vertical="center"/>
    </xf>
    <xf numFmtId="0" fontId="23" fillId="14" borderId="26" xfId="18" applyFont="1" applyFill="1" applyBorder="1" applyAlignment="1">
      <alignment horizontal="center" vertical="center"/>
    </xf>
    <xf numFmtId="0" fontId="23" fillId="14" borderId="27" xfId="18" applyFont="1" applyFill="1" applyBorder="1" applyAlignment="1">
      <alignment horizontal="center" vertical="center"/>
    </xf>
    <xf numFmtId="0" fontId="23" fillId="14" borderId="28" xfId="18" applyFont="1" applyFill="1" applyBorder="1" applyAlignment="1">
      <alignment horizontal="center" vertical="center"/>
    </xf>
    <xf numFmtId="0" fontId="23" fillId="14" borderId="30" xfId="18" applyFont="1" applyFill="1" applyBorder="1" applyAlignment="1">
      <alignment horizontal="center" vertical="center"/>
    </xf>
    <xf numFmtId="0" fontId="23" fillId="14" borderId="31" xfId="18" applyFont="1" applyFill="1" applyBorder="1" applyAlignment="1">
      <alignment horizontal="center" vertical="center"/>
    </xf>
    <xf numFmtId="0" fontId="24" fillId="0" borderId="47" xfId="18" applyFont="1" applyBorder="1" applyAlignment="1">
      <alignment horizontal="center" vertical="center"/>
    </xf>
    <xf numFmtId="9" fontId="24" fillId="0" borderId="57" xfId="5" applyFont="1" applyBorder="1" applyAlignment="1">
      <alignment horizontal="center" vertical="center"/>
    </xf>
    <xf numFmtId="9" fontId="23" fillId="7" borderId="69" xfId="5" applyFont="1" applyFill="1" applyBorder="1" applyAlignment="1">
      <alignment horizontal="center" vertical="center"/>
    </xf>
    <xf numFmtId="9" fontId="24" fillId="0" borderId="46" xfId="5" applyFont="1" applyBorder="1" applyAlignment="1">
      <alignment horizontal="center" vertical="center"/>
    </xf>
    <xf numFmtId="179" fontId="24" fillId="0" borderId="0" xfId="18" applyNumberFormat="1" applyFont="1" applyAlignment="1">
      <alignment horizontal="center" vertical="center"/>
    </xf>
    <xf numFmtId="38" fontId="24" fillId="0" borderId="0" xfId="18" applyNumberFormat="1" applyFont="1" applyAlignment="1">
      <alignment horizontal="center" vertical="center"/>
    </xf>
    <xf numFmtId="3" fontId="24" fillId="0" borderId="0" xfId="18" applyNumberFormat="1" applyFont="1" applyAlignment="1">
      <alignment horizontal="center" vertical="center"/>
    </xf>
    <xf numFmtId="2" fontId="24" fillId="0" borderId="0" xfId="18" applyNumberFormat="1" applyFont="1" applyAlignment="1">
      <alignment horizontal="center" vertical="center"/>
    </xf>
    <xf numFmtId="177" fontId="24" fillId="0" borderId="0" xfId="5" applyNumberFormat="1" applyFont="1" applyBorder="1" applyAlignment="1">
      <alignment horizontal="center" vertical="center"/>
    </xf>
    <xf numFmtId="9" fontId="24" fillId="0" borderId="0" xfId="5" applyFont="1" applyBorder="1" applyAlignment="1">
      <alignment horizontal="center" vertical="center"/>
    </xf>
    <xf numFmtId="181" fontId="24" fillId="0" borderId="0" xfId="18" applyNumberFormat="1" applyFont="1" applyAlignment="1">
      <alignment horizontal="center" vertical="center"/>
    </xf>
    <xf numFmtId="183" fontId="24" fillId="0" borderId="57" xfId="18" applyNumberFormat="1" applyFont="1" applyBorder="1" applyAlignment="1">
      <alignment horizontal="center" vertical="center"/>
    </xf>
    <xf numFmtId="183" fontId="23" fillId="7" borderId="69" xfId="18" applyNumberFormat="1" applyFont="1" applyFill="1" applyBorder="1" applyAlignment="1">
      <alignment horizontal="center" vertical="center"/>
    </xf>
    <xf numFmtId="183" fontId="24" fillId="0" borderId="46" xfId="18" applyNumberFormat="1" applyFont="1" applyBorder="1" applyAlignment="1">
      <alignment horizontal="center" vertical="center"/>
    </xf>
    <xf numFmtId="10" fontId="24" fillId="0" borderId="46" xfId="5" applyNumberFormat="1" applyFont="1" applyBorder="1" applyAlignment="1">
      <alignment horizontal="center" vertical="center"/>
    </xf>
    <xf numFmtId="0" fontId="23" fillId="14" borderId="50" xfId="18" applyFont="1" applyFill="1" applyBorder="1" applyAlignment="1">
      <alignment horizontal="center" vertical="center" wrapText="1"/>
    </xf>
    <xf numFmtId="0" fontId="23" fillId="14" borderId="54" xfId="18" applyFont="1" applyFill="1" applyBorder="1" applyAlignment="1">
      <alignment horizontal="center" vertical="center" wrapText="1"/>
    </xf>
    <xf numFmtId="0" fontId="23" fillId="14" borderId="51" xfId="18" applyFont="1" applyFill="1" applyBorder="1" applyAlignment="1">
      <alignment horizontal="center" vertical="center" wrapText="1"/>
    </xf>
    <xf numFmtId="0" fontId="23" fillId="14" borderId="55" xfId="18" applyFont="1" applyFill="1" applyBorder="1" applyAlignment="1">
      <alignment horizontal="center" vertical="center" wrapText="1"/>
    </xf>
    <xf numFmtId="0" fontId="24" fillId="10" borderId="0" xfId="18" applyFont="1" applyFill="1" applyAlignment="1"/>
    <xf numFmtId="3" fontId="24" fillId="0" borderId="33" xfId="18" applyNumberFormat="1" applyFont="1" applyBorder="1" applyAlignment="1">
      <alignment horizontal="center" vertical="center"/>
    </xf>
    <xf numFmtId="3" fontId="24" fillId="0" borderId="65" xfId="18" applyNumberFormat="1" applyFont="1" applyBorder="1" applyAlignment="1">
      <alignment horizontal="center" vertical="center"/>
    </xf>
    <xf numFmtId="3" fontId="24" fillId="0" borderId="34" xfId="18" applyNumberFormat="1" applyFont="1" applyBorder="1" applyAlignment="1">
      <alignment horizontal="center" vertical="center"/>
    </xf>
    <xf numFmtId="0" fontId="23" fillId="14" borderId="57" xfId="18" applyFont="1" applyFill="1" applyBorder="1" applyAlignment="1">
      <alignment horizontal="center" vertical="center" wrapText="1"/>
    </xf>
    <xf numFmtId="0" fontId="23" fillId="14" borderId="58" xfId="18" applyFont="1" applyFill="1" applyBorder="1" applyAlignment="1">
      <alignment horizontal="center" vertical="center" wrapText="1"/>
    </xf>
    <xf numFmtId="0" fontId="23" fillId="14" borderId="59" xfId="18" applyFont="1" applyFill="1" applyBorder="1" applyAlignment="1">
      <alignment horizontal="center" vertical="center" wrapText="1"/>
    </xf>
    <xf numFmtId="0" fontId="23" fillId="14" borderId="49" xfId="18" applyFont="1" applyFill="1" applyBorder="1" applyAlignment="1">
      <alignment horizontal="center" vertical="center" wrapText="1"/>
    </xf>
    <xf numFmtId="0" fontId="23" fillId="14" borderId="53" xfId="18" applyFont="1" applyFill="1" applyBorder="1" applyAlignment="1">
      <alignment horizontal="center" vertical="center" wrapText="1"/>
    </xf>
    <xf numFmtId="0" fontId="23" fillId="14" borderId="28" xfId="18" applyFont="1" applyFill="1" applyBorder="1" applyAlignment="1">
      <alignment horizontal="center" vertical="center" wrapText="1"/>
    </xf>
    <xf numFmtId="0" fontId="23" fillId="14" borderId="30" xfId="18" applyFont="1" applyFill="1" applyBorder="1" applyAlignment="1">
      <alignment horizontal="center" vertical="center" wrapText="1"/>
    </xf>
    <xf numFmtId="0" fontId="23" fillId="14" borderId="23" xfId="18" applyFont="1" applyFill="1" applyBorder="1" applyAlignment="1">
      <alignment horizontal="center" vertical="center"/>
    </xf>
    <xf numFmtId="0" fontId="23" fillId="14" borderId="24" xfId="18" applyFont="1" applyFill="1" applyBorder="1" applyAlignment="1">
      <alignment horizontal="center" vertical="center"/>
    </xf>
    <xf numFmtId="0" fontId="23" fillId="14" borderId="25" xfId="18" applyFont="1" applyFill="1" applyBorder="1" applyAlignment="1">
      <alignment horizontal="center" vertical="center"/>
    </xf>
    <xf numFmtId="0" fontId="23" fillId="14" borderId="56" xfId="18" applyFont="1" applyFill="1" applyBorder="1" applyAlignment="1">
      <alignment horizontal="center" vertical="center" wrapText="1"/>
    </xf>
    <xf numFmtId="0" fontId="23" fillId="14" borderId="49" xfId="18" applyFont="1" applyFill="1" applyBorder="1" applyAlignment="1">
      <alignment horizontal="center" vertical="center"/>
    </xf>
    <xf numFmtId="0" fontId="23" fillId="14" borderId="52" xfId="18" applyFont="1" applyFill="1" applyBorder="1" applyAlignment="1">
      <alignment horizontal="center" vertical="center"/>
    </xf>
    <xf numFmtId="0" fontId="23" fillId="14" borderId="53" xfId="18" applyFont="1" applyFill="1" applyBorder="1" applyAlignment="1">
      <alignment horizontal="center" vertical="center"/>
    </xf>
    <xf numFmtId="0" fontId="23" fillId="14" borderId="60" xfId="18" applyFont="1" applyFill="1" applyBorder="1" applyAlignment="1">
      <alignment horizontal="center" vertical="center"/>
    </xf>
    <xf numFmtId="0" fontId="23" fillId="14" borderId="61" xfId="18" applyFont="1" applyFill="1" applyBorder="1" applyAlignment="1">
      <alignment horizontal="center" vertical="center"/>
    </xf>
    <xf numFmtId="0" fontId="23" fillId="14" borderId="62" xfId="18" applyFont="1" applyFill="1" applyBorder="1" applyAlignment="1">
      <alignment horizontal="center" vertical="center"/>
    </xf>
    <xf numFmtId="0" fontId="23" fillId="14" borderId="20" xfId="18" applyFont="1" applyFill="1" applyBorder="1" applyAlignment="1">
      <alignment horizontal="center" vertical="center"/>
    </xf>
    <xf numFmtId="0" fontId="23" fillId="14" borderId="21" xfId="18" applyFont="1" applyFill="1" applyBorder="1" applyAlignment="1">
      <alignment horizontal="center" vertical="center"/>
    </xf>
    <xf numFmtId="0" fontId="23" fillId="14" borderId="22" xfId="18" applyFont="1" applyFill="1" applyBorder="1" applyAlignment="1">
      <alignment horizontal="center" vertical="center"/>
    </xf>
    <xf numFmtId="0" fontId="23" fillId="14" borderId="50" xfId="18" applyFont="1" applyFill="1" applyBorder="1" applyAlignment="1">
      <alignment horizontal="center" vertical="center"/>
    </xf>
    <xf numFmtId="0" fontId="23" fillId="14" borderId="51" xfId="18" applyFont="1" applyFill="1" applyBorder="1" applyAlignment="1">
      <alignment horizontal="center" vertical="center"/>
    </xf>
    <xf numFmtId="0" fontId="23" fillId="14" borderId="54" xfId="18" applyFont="1" applyFill="1" applyBorder="1" applyAlignment="1">
      <alignment horizontal="center" vertical="center"/>
    </xf>
    <xf numFmtId="0" fontId="23" fillId="14" borderId="55" xfId="18" applyFont="1" applyFill="1" applyBorder="1" applyAlignment="1">
      <alignment horizontal="center" vertical="center"/>
    </xf>
    <xf numFmtId="0" fontId="23" fillId="14" borderId="39" xfId="18" applyFont="1" applyFill="1" applyBorder="1" applyAlignment="1">
      <alignment horizontal="center" vertical="center"/>
    </xf>
    <xf numFmtId="0" fontId="23" fillId="14" borderId="29" xfId="18" applyFont="1" applyFill="1" applyBorder="1" applyAlignment="1">
      <alignment horizontal="center" vertical="center"/>
    </xf>
    <xf numFmtId="0" fontId="23" fillId="14" borderId="32" xfId="18" applyFont="1" applyFill="1" applyBorder="1" applyAlignment="1">
      <alignment horizontal="center" vertical="center"/>
    </xf>
    <xf numFmtId="0" fontId="23" fillId="14" borderId="0" xfId="18" applyFont="1" applyFill="1" applyAlignment="1">
      <alignment horizontal="center" vertical="center"/>
    </xf>
    <xf numFmtId="0" fontId="23" fillId="14" borderId="36" xfId="18" applyFont="1" applyFill="1" applyBorder="1" applyAlignment="1">
      <alignment horizontal="center" vertical="center"/>
    </xf>
    <xf numFmtId="0" fontId="23" fillId="14" borderId="37" xfId="18" applyFont="1" applyFill="1" applyBorder="1" applyAlignment="1">
      <alignment horizontal="center" vertical="center"/>
    </xf>
    <xf numFmtId="0" fontId="23" fillId="14" borderId="38" xfId="18" applyFont="1" applyFill="1" applyBorder="1" applyAlignment="1">
      <alignment horizontal="center" vertical="center"/>
    </xf>
    <xf numFmtId="0" fontId="23" fillId="12" borderId="21" xfId="18" applyFont="1" applyFill="1" applyBorder="1" applyAlignment="1">
      <alignment horizontal="center" vertical="center"/>
    </xf>
    <xf numFmtId="0" fontId="23" fillId="12" borderId="0" xfId="18" applyFont="1" applyFill="1" applyAlignment="1">
      <alignment horizontal="center" vertical="center"/>
    </xf>
    <xf numFmtId="0" fontId="23" fillId="12" borderId="24" xfId="18" applyFont="1" applyFill="1" applyBorder="1" applyAlignment="1">
      <alignment horizontal="center" vertical="center"/>
    </xf>
    <xf numFmtId="0" fontId="23" fillId="12" borderId="36" xfId="18" applyFont="1" applyFill="1" applyBorder="1" applyAlignment="1">
      <alignment horizontal="center" vertical="center"/>
    </xf>
    <xf numFmtId="0" fontId="23" fillId="12" borderId="37" xfId="18" applyFont="1" applyFill="1" applyBorder="1" applyAlignment="1">
      <alignment horizontal="center" vertical="center"/>
    </xf>
    <xf numFmtId="0" fontId="23" fillId="12" borderId="38" xfId="18" applyFont="1" applyFill="1" applyBorder="1" applyAlignment="1">
      <alignment horizontal="center" vertical="center"/>
    </xf>
    <xf numFmtId="0" fontId="23" fillId="14" borderId="28" xfId="18" applyFont="1" applyFill="1" applyBorder="1" applyAlignment="1">
      <alignment horizontal="center" vertical="center"/>
    </xf>
    <xf numFmtId="0" fontId="23" fillId="14" borderId="30" xfId="18" applyFont="1" applyFill="1" applyBorder="1" applyAlignment="1">
      <alignment horizontal="center" vertical="center"/>
    </xf>
    <xf numFmtId="0" fontId="23" fillId="14" borderId="56" xfId="18" applyFont="1" applyFill="1" applyBorder="1" applyAlignment="1">
      <alignment horizontal="center" vertical="center"/>
    </xf>
    <xf numFmtId="0" fontId="23" fillId="14" borderId="57" xfId="18" applyFont="1" applyFill="1" applyBorder="1" applyAlignment="1">
      <alignment horizontal="center" vertical="center"/>
    </xf>
    <xf numFmtId="0" fontId="23" fillId="14" borderId="58" xfId="18" applyFont="1" applyFill="1" applyBorder="1" applyAlignment="1">
      <alignment horizontal="center" vertical="center"/>
    </xf>
    <xf numFmtId="0" fontId="23" fillId="14" borderId="59" xfId="18" applyFont="1" applyFill="1" applyBorder="1" applyAlignment="1">
      <alignment horizontal="center" vertical="center"/>
    </xf>
    <xf numFmtId="0" fontId="23" fillId="12" borderId="28" xfId="18" applyFont="1" applyFill="1" applyBorder="1" applyAlignment="1">
      <alignment horizontal="center" vertical="center" wrapText="1"/>
    </xf>
    <xf numFmtId="0" fontId="23" fillId="12" borderId="30" xfId="18" applyFont="1" applyFill="1" applyBorder="1" applyAlignment="1">
      <alignment horizontal="center" vertical="center" wrapText="1"/>
    </xf>
    <xf numFmtId="0" fontId="23" fillId="12" borderId="20" xfId="18" applyFont="1" applyFill="1" applyBorder="1" applyAlignment="1">
      <alignment horizontal="center" vertical="center"/>
    </xf>
    <xf numFmtId="0" fontId="23" fillId="12" borderId="22" xfId="18" applyFont="1" applyFill="1" applyBorder="1" applyAlignment="1">
      <alignment horizontal="center" vertical="center"/>
    </xf>
    <xf numFmtId="0" fontId="23" fillId="12" borderId="23" xfId="18" applyFont="1" applyFill="1" applyBorder="1" applyAlignment="1">
      <alignment horizontal="center" vertical="center"/>
    </xf>
    <xf numFmtId="0" fontId="23" fillId="12" borderId="25" xfId="18" applyFont="1" applyFill="1" applyBorder="1" applyAlignment="1">
      <alignment horizontal="center" vertical="center"/>
    </xf>
    <xf numFmtId="0" fontId="23" fillId="12" borderId="33" xfId="18" applyFont="1" applyFill="1" applyBorder="1" applyAlignment="1">
      <alignment horizontal="center" vertical="center" wrapText="1"/>
    </xf>
    <xf numFmtId="0" fontId="23" fillId="12" borderId="34" xfId="18" applyFont="1" applyFill="1" applyBorder="1" applyAlignment="1">
      <alignment horizontal="center" vertical="center" wrapText="1"/>
    </xf>
    <xf numFmtId="0" fontId="23" fillId="12" borderId="41" xfId="18" applyFont="1" applyFill="1" applyBorder="1" applyAlignment="1">
      <alignment horizontal="center" vertical="center" wrapText="1"/>
    </xf>
    <xf numFmtId="0" fontId="23" fillId="12" borderId="43" xfId="18" applyFont="1" applyFill="1" applyBorder="1" applyAlignment="1">
      <alignment horizontal="center" vertical="center" wrapText="1"/>
    </xf>
    <xf numFmtId="0" fontId="23" fillId="12" borderId="42" xfId="18" applyFont="1" applyFill="1" applyBorder="1" applyAlignment="1">
      <alignment horizontal="center" vertical="center" wrapText="1"/>
    </xf>
    <xf numFmtId="0" fontId="23" fillId="12" borderId="31" xfId="18" applyFont="1" applyFill="1" applyBorder="1" applyAlignment="1">
      <alignment horizontal="center" vertical="center" wrapText="1"/>
    </xf>
    <xf numFmtId="0" fontId="23" fillId="12" borderId="41" xfId="18" applyFont="1" applyFill="1" applyBorder="1" applyAlignment="1">
      <alignment horizontal="center" vertical="center"/>
    </xf>
    <xf numFmtId="0" fontId="23" fillId="12" borderId="35" xfId="18" applyFont="1" applyFill="1" applyBorder="1" applyAlignment="1">
      <alignment horizontal="center" vertical="center"/>
    </xf>
    <xf numFmtId="0" fontId="23" fillId="12" borderId="43" xfId="18" applyFont="1" applyFill="1" applyBorder="1" applyAlignment="1">
      <alignment horizontal="center" vertical="center"/>
    </xf>
    <xf numFmtId="0" fontId="23" fillId="12" borderId="28" xfId="18" applyFont="1" applyFill="1" applyBorder="1" applyAlignment="1">
      <alignment horizontal="center" vertical="center"/>
    </xf>
    <xf numFmtId="0" fontId="23" fillId="12" borderId="26" xfId="18" applyFont="1" applyFill="1" applyBorder="1" applyAlignment="1">
      <alignment horizontal="center" vertical="center"/>
    </xf>
    <xf numFmtId="0" fontId="23" fillId="12" borderId="30" xfId="18" applyFont="1" applyFill="1" applyBorder="1" applyAlignment="1">
      <alignment horizontal="center" vertical="center"/>
    </xf>
    <xf numFmtId="0" fontId="23" fillId="12" borderId="39" xfId="18" applyFont="1" applyFill="1" applyBorder="1" applyAlignment="1">
      <alignment horizontal="center" vertical="center"/>
    </xf>
    <xf numFmtId="0" fontId="23" fillId="12" borderId="29" xfId="18" applyFont="1" applyFill="1" applyBorder="1" applyAlignment="1">
      <alignment horizontal="center" vertical="center"/>
    </xf>
    <xf numFmtId="0" fontId="23" fillId="12" borderId="32" xfId="18" applyFont="1" applyFill="1" applyBorder="1" applyAlignment="1">
      <alignment horizontal="center" vertical="center"/>
    </xf>
    <xf numFmtId="0" fontId="23" fillId="12" borderId="56" xfId="18" applyFont="1" applyFill="1" applyBorder="1" applyAlignment="1">
      <alignment horizontal="center" vertical="center" wrapText="1"/>
    </xf>
    <xf numFmtId="0" fontId="23" fillId="12" borderId="53" xfId="18" applyFont="1" applyFill="1" applyBorder="1" applyAlignment="1">
      <alignment horizontal="center" vertical="center" wrapText="1"/>
    </xf>
    <xf numFmtId="0" fontId="23" fillId="12" borderId="57" xfId="18" applyFont="1" applyFill="1" applyBorder="1" applyAlignment="1">
      <alignment horizontal="center" vertical="center" wrapText="1"/>
    </xf>
    <xf numFmtId="0" fontId="23" fillId="12" borderId="54" xfId="18" applyFont="1" applyFill="1" applyBorder="1" applyAlignment="1">
      <alignment horizontal="center" vertical="center" wrapText="1"/>
    </xf>
    <xf numFmtId="0" fontId="23" fillId="12" borderId="49" xfId="18" applyFont="1" applyFill="1" applyBorder="1" applyAlignment="1">
      <alignment horizontal="center" vertical="center"/>
    </xf>
    <xf numFmtId="0" fontId="23" fillId="12" borderId="52" xfId="18" applyFont="1" applyFill="1" applyBorder="1" applyAlignment="1">
      <alignment horizontal="center" vertical="center"/>
    </xf>
    <xf numFmtId="0" fontId="23" fillId="12" borderId="53" xfId="18" applyFont="1" applyFill="1" applyBorder="1" applyAlignment="1">
      <alignment horizontal="center" vertical="center"/>
    </xf>
    <xf numFmtId="0" fontId="23" fillId="12" borderId="50" xfId="18" applyFont="1" applyFill="1" applyBorder="1" applyAlignment="1">
      <alignment horizontal="center" vertical="center"/>
    </xf>
    <xf numFmtId="0" fontId="23" fillId="12" borderId="51" xfId="18" applyFont="1" applyFill="1" applyBorder="1" applyAlignment="1">
      <alignment horizontal="center" vertical="center"/>
    </xf>
    <xf numFmtId="0" fontId="23" fillId="12" borderId="54" xfId="18" applyFont="1" applyFill="1" applyBorder="1" applyAlignment="1">
      <alignment horizontal="center" vertical="center"/>
    </xf>
    <xf numFmtId="0" fontId="23" fillId="12" borderId="55" xfId="18" applyFont="1" applyFill="1" applyBorder="1" applyAlignment="1">
      <alignment horizontal="center" vertical="center"/>
    </xf>
    <xf numFmtId="0" fontId="23" fillId="12" borderId="50" xfId="18" applyFont="1" applyFill="1" applyBorder="1" applyAlignment="1">
      <alignment horizontal="center" vertical="center" wrapText="1"/>
    </xf>
    <xf numFmtId="0" fontId="23" fillId="12" borderId="51" xfId="18" applyFont="1" applyFill="1" applyBorder="1" applyAlignment="1">
      <alignment horizontal="center" vertical="center" wrapText="1"/>
    </xf>
    <xf numFmtId="0" fontId="23" fillId="12" borderId="55" xfId="18" applyFont="1" applyFill="1" applyBorder="1" applyAlignment="1">
      <alignment horizontal="center" vertical="center" wrapText="1"/>
    </xf>
    <xf numFmtId="0" fontId="23" fillId="12" borderId="49" xfId="18" applyFont="1" applyFill="1" applyBorder="1" applyAlignment="1">
      <alignment horizontal="center" vertical="center" wrapText="1"/>
    </xf>
    <xf numFmtId="0" fontId="23" fillId="12" borderId="58" xfId="18" applyFont="1" applyFill="1" applyBorder="1" applyAlignment="1">
      <alignment horizontal="center" vertical="center" wrapText="1"/>
    </xf>
    <xf numFmtId="0" fontId="23" fillId="12" borderId="59" xfId="18" applyFont="1" applyFill="1" applyBorder="1" applyAlignment="1">
      <alignment horizontal="center" vertical="center" wrapText="1"/>
    </xf>
    <xf numFmtId="0" fontId="41" fillId="10" borderId="0" xfId="18" applyFont="1" applyFill="1" applyAlignment="1">
      <alignment horizontal="center" vertical="center"/>
    </xf>
    <xf numFmtId="0" fontId="41" fillId="10" borderId="72" xfId="18" applyFont="1" applyFill="1" applyBorder="1" applyAlignment="1">
      <alignment horizontal="center" vertical="center"/>
    </xf>
    <xf numFmtId="0" fontId="41" fillId="10" borderId="71" xfId="18" applyFont="1" applyFill="1" applyBorder="1" applyAlignment="1">
      <alignment horizontal="center" vertical="center"/>
    </xf>
    <xf numFmtId="0" fontId="43" fillId="0" borderId="0" xfId="18" applyFont="1" applyAlignment="1">
      <alignment horizontal="center" vertical="center"/>
    </xf>
    <xf numFmtId="0" fontId="7" fillId="17" borderId="0" xfId="18" applyFont="1" applyFill="1" applyAlignment="1">
      <alignment horizontal="left" vertical="center" wrapText="1"/>
    </xf>
    <xf numFmtId="0" fontId="7" fillId="0" borderId="0" xfId="18" applyFont="1" applyAlignment="1">
      <alignment horizontal="center" vertical="center"/>
    </xf>
    <xf numFmtId="0" fontId="42" fillId="0" borderId="0" xfId="18" applyFont="1" applyAlignment="1">
      <alignment horizontal="center" vertical="center"/>
    </xf>
    <xf numFmtId="0" fontId="46" fillId="0" borderId="0" xfId="18" applyFont="1" applyAlignment="1">
      <alignment horizontal="center" vertical="center" wrapText="1"/>
    </xf>
    <xf numFmtId="0" fontId="45" fillId="17" borderId="0" xfId="18" applyFont="1" applyFill="1" applyAlignment="1">
      <alignment horizontal="left" vertical="center" wrapText="1"/>
    </xf>
    <xf numFmtId="0" fontId="45" fillId="17" borderId="0" xfId="8" applyFont="1" applyFill="1" applyAlignment="1">
      <alignment horizontal="left" vertical="center" wrapText="1"/>
    </xf>
  </cellXfs>
  <cellStyles count="21">
    <cellStyle name="百分比 2" xfId="10" xr:uid="{E14A7A20-D6A0-4EC7-A51D-DEBBCEDE2F17}"/>
    <cellStyle name="百分比 2 2" xfId="13" xr:uid="{8B3287FD-A4C6-42D2-ABB8-0BEF72EAAE0D}"/>
    <cellStyle name="百分比 2 2 2 2" xfId="5" xr:uid="{C1FE2271-0091-482B-ACE2-AC2E9F497ABB}"/>
    <cellStyle name="百分比 2 3 2 2" xfId="12" xr:uid="{9AFF3283-E47B-4480-A962-4A81B7F61A94}"/>
    <cellStyle name="百分比 3" xfId="20" xr:uid="{BAFC0D84-37F9-445D-A866-5F6D5CE1350D}"/>
    <cellStyle name="常规" xfId="0" builtinId="0"/>
    <cellStyle name="常规 2" xfId="8" xr:uid="{148D7741-35B6-484F-94AE-9CD08339C3E2}"/>
    <cellStyle name="常规 2 2 3" xfId="9" xr:uid="{5E978CE6-8F27-46EC-BDB8-55E97B5F0ED3}"/>
    <cellStyle name="常规 3" xfId="14" xr:uid="{2659DEC0-783A-4EB9-978C-7C334AC6EFA6}"/>
    <cellStyle name="常规 3 2" xfId="18" xr:uid="{A89003EF-A5AF-49CB-B2C4-6ABEF0F71E1C}"/>
    <cellStyle name="常规 3 2 2" xfId="6" xr:uid="{43455474-1E98-4B4C-BC76-DAE1AD37F4CD}"/>
    <cellStyle name="常规 3 2 2 3" xfId="16" xr:uid="{8A594E89-3158-40A8-AA30-CE3C15D1C619}"/>
    <cellStyle name="常规 3 3" xfId="19" xr:uid="{650E0DE7-6CFC-4484-9AFE-42DB7A7C47D2}"/>
    <cellStyle name="常规 3 3 2" xfId="3" xr:uid="{3D30A507-A9A5-4CE7-A721-A3A4808872A9}"/>
    <cellStyle name="常规 4" xfId="15" xr:uid="{5C701149-0D7B-4206-8F5A-05B6E606C2D8}"/>
    <cellStyle name="常规 5 2 2" xfId="1" xr:uid="{A3DDD6E3-1006-4A1D-9392-3C8BEA365E2B}"/>
    <cellStyle name="常规 5 2 2 2" xfId="17" xr:uid="{4CA19A0F-376A-429A-88B9-728F9D1BBB5C}"/>
    <cellStyle name="常规 5 2 4 6 3 2 2 3" xfId="2" xr:uid="{B710D4DC-1609-44C3-B068-953F83D6857A}"/>
    <cellStyle name="千位分隔 2 2 2 2 2" xfId="4" xr:uid="{7D855E0B-25BC-46AB-95BB-F65FD411FC38}"/>
    <cellStyle name="千位分隔 2 3 2" xfId="11" xr:uid="{6F99E1DC-CA1B-4523-B40D-B363117D679B}"/>
    <cellStyle name="千位分隔 2 4 2" xfId="7" xr:uid="{0C556482-3E93-4F20-93B7-2BF90A676F1B}"/>
  </cellStyles>
  <dxfs count="0"/>
  <tableStyles count="0" defaultTableStyle="TableStyleMedium2" defaultPivotStyle="PivotStyleLight16"/>
  <colors>
    <mruColors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D8EE-5931-4CE6-9DE6-D95AF836EC80}">
  <sheetPr>
    <pageSetUpPr autoPageBreaks="0"/>
  </sheetPr>
  <dimension ref="B2:R86"/>
  <sheetViews>
    <sheetView showGridLines="0" tabSelected="1" zoomScale="70" zoomScaleNormal="70" workbookViewId="0">
      <pane xSplit="2" ySplit="9" topLeftCell="C39" activePane="bottomRight" state="frozen"/>
      <selection pane="topRight" activeCell="C1" sqref="C1"/>
      <selection pane="bottomLeft" activeCell="A10" sqref="A10"/>
      <selection pane="bottomRight" activeCell="H49" sqref="H49"/>
    </sheetView>
  </sheetViews>
  <sheetFormatPr defaultColWidth="8.33203125" defaultRowHeight="16.5" x14ac:dyDescent="0.3"/>
  <cols>
    <col min="1" max="1" width="5.33203125" style="3" customWidth="1"/>
    <col min="2" max="2" width="30.33203125" style="3" customWidth="1"/>
    <col min="3" max="3" width="18.33203125" style="3" customWidth="1"/>
    <col min="4" max="4" width="22.33203125" style="3" customWidth="1"/>
    <col min="5" max="5" width="19" style="3" customWidth="1"/>
    <col min="6" max="6" width="17" style="3" customWidth="1"/>
    <col min="7" max="7" width="17" style="3" hidden="1" customWidth="1"/>
    <col min="8" max="9" width="17" style="3" customWidth="1"/>
    <col min="10" max="10" width="15" style="3" customWidth="1"/>
    <col min="11" max="11" width="14" style="3" customWidth="1"/>
    <col min="12" max="12" width="17" style="3" hidden="1" customWidth="1"/>
    <col min="13" max="13" width="16.33203125" style="3" customWidth="1"/>
    <col min="14" max="14" width="13" style="3" customWidth="1"/>
    <col min="15" max="15" width="15" style="3" customWidth="1"/>
    <col min="16" max="16" width="18" style="3" customWidth="1"/>
    <col min="17" max="17" width="14.33203125" style="3" customWidth="1"/>
    <col min="18" max="16384" width="8.33203125" style="3"/>
  </cols>
  <sheetData>
    <row r="2" spans="2:18" x14ac:dyDescent="0.3">
      <c r="B2" s="1" t="s">
        <v>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3">
      <c r="B3" s="1" t="s">
        <v>0</v>
      </c>
      <c r="C3" s="4" t="s">
        <v>166</v>
      </c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</row>
    <row r="4" spans="2:18" x14ac:dyDescent="0.3">
      <c r="B4" s="1" t="s">
        <v>1</v>
      </c>
      <c r="C4" s="2" t="s">
        <v>76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5" t="s">
        <v>2</v>
      </c>
      <c r="C5" s="6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2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2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B8" s="7" t="s">
        <v>75</v>
      </c>
      <c r="C8" s="2"/>
      <c r="D8" s="2"/>
      <c r="E8" s="2"/>
      <c r="F8" s="1"/>
      <c r="G8" s="1"/>
      <c r="H8" s="1"/>
      <c r="I8" s="1"/>
      <c r="J8" s="2"/>
      <c r="K8" s="1"/>
      <c r="L8" s="1" t="s">
        <v>4</v>
      </c>
      <c r="M8" s="2"/>
      <c r="N8" s="2"/>
      <c r="O8" s="2"/>
      <c r="P8" s="2"/>
      <c r="Q8" s="2"/>
    </row>
    <row r="9" spans="2:18" ht="49.5" x14ac:dyDescent="0.3">
      <c r="B9" s="8" t="s">
        <v>5</v>
      </c>
      <c r="C9" s="33" t="s">
        <v>6</v>
      </c>
      <c r="D9" s="9" t="s">
        <v>7</v>
      </c>
      <c r="E9" s="10" t="s">
        <v>8</v>
      </c>
      <c r="F9" s="9" t="s">
        <v>9</v>
      </c>
      <c r="G9" s="9" t="s">
        <v>10</v>
      </c>
      <c r="H9" s="9" t="s">
        <v>11</v>
      </c>
      <c r="I9" s="9" t="s">
        <v>12</v>
      </c>
      <c r="J9" s="10" t="s">
        <v>13</v>
      </c>
      <c r="K9" s="9" t="s">
        <v>14</v>
      </c>
      <c r="L9" s="9" t="s">
        <v>15</v>
      </c>
      <c r="M9" s="9" t="s">
        <v>16</v>
      </c>
      <c r="N9" s="9" t="s">
        <v>17</v>
      </c>
      <c r="O9" s="9" t="s">
        <v>18</v>
      </c>
      <c r="P9" s="9" t="s">
        <v>19</v>
      </c>
      <c r="Q9" s="11" t="s">
        <v>20</v>
      </c>
    </row>
    <row r="10" spans="2:18" x14ac:dyDescent="0.3">
      <c r="B10" s="34" t="s">
        <v>184</v>
      </c>
      <c r="C10" s="35" t="s">
        <v>21</v>
      </c>
      <c r="D10" s="47">
        <v>16024225.77</v>
      </c>
      <c r="E10" s="48">
        <v>116349658</v>
      </c>
      <c r="F10" s="49">
        <v>1888751</v>
      </c>
      <c r="G10" s="50"/>
      <c r="H10" s="40">
        <f>IFERROR(F10/E10,"-")</f>
        <v>1.6233403969266501E-2</v>
      </c>
      <c r="I10" s="40">
        <f>IFERROR(J10/F10,"-")</f>
        <v>6.1914990382533217E-2</v>
      </c>
      <c r="J10" s="48">
        <v>116942</v>
      </c>
      <c r="K10" s="49">
        <v>104553</v>
      </c>
      <c r="L10" s="50" t="e">
        <v>#REF!</v>
      </c>
      <c r="M10" s="51">
        <f>IFERROR(K10/J10,"-")</f>
        <v>0.89405859314874037</v>
      </c>
      <c r="N10" s="52">
        <f>IFERROR(D10/K10,"-")</f>
        <v>153.26414134458122</v>
      </c>
      <c r="O10" s="53">
        <f>IFERROR(K10*$Q10,"-")</f>
        <v>103612023</v>
      </c>
      <c r="P10" s="54">
        <f t="shared" ref="P10" si="0">IFERROR(O10/D10,"-")</f>
        <v>6.4659612568601501</v>
      </c>
      <c r="Q10" s="55">
        <v>991</v>
      </c>
    </row>
    <row r="11" spans="2:18" x14ac:dyDescent="0.3">
      <c r="B11" s="45" t="s">
        <v>185</v>
      </c>
      <c r="C11" s="46" t="s">
        <v>167</v>
      </c>
      <c r="D11" s="47">
        <v>16323186.359999999</v>
      </c>
      <c r="E11" s="48">
        <v>207031082</v>
      </c>
      <c r="F11" s="49">
        <v>946466</v>
      </c>
      <c r="G11" s="50"/>
      <c r="H11" s="40">
        <v>4.5716130682251855E-3</v>
      </c>
      <c r="I11" s="40">
        <v>2.6013612744673342E-2</v>
      </c>
      <c r="J11" s="48">
        <v>24621</v>
      </c>
      <c r="K11" s="49">
        <v>20123</v>
      </c>
      <c r="L11" s="50"/>
      <c r="M11" s="51">
        <v>0.81731042605905524</v>
      </c>
      <c r="N11" s="93">
        <v>811.17061869502561</v>
      </c>
      <c r="O11" s="53">
        <v>66808360</v>
      </c>
      <c r="P11" s="94">
        <v>4.0928504108556902</v>
      </c>
      <c r="Q11" s="55">
        <v>3320</v>
      </c>
    </row>
    <row r="12" spans="2:18" x14ac:dyDescent="0.3">
      <c r="B12" s="45" t="s">
        <v>186</v>
      </c>
      <c r="C12" s="46" t="s">
        <v>74</v>
      </c>
      <c r="D12" s="47">
        <v>226734.06</v>
      </c>
      <c r="E12" s="48">
        <v>2482262</v>
      </c>
      <c r="F12" s="49">
        <v>35112</v>
      </c>
      <c r="G12" s="50"/>
      <c r="H12" s="40">
        <f>IFERROR(F12/E12,"-")</f>
        <v>1.4145162758806283E-2</v>
      </c>
      <c r="I12" s="40">
        <f t="shared" ref="I12" si="1">IFERROR(J12/F12,"-")</f>
        <v>2.7483481430849853E-2</v>
      </c>
      <c r="J12" s="48">
        <v>965</v>
      </c>
      <c r="K12" s="49">
        <v>955</v>
      </c>
      <c r="L12" s="50"/>
      <c r="M12" s="51">
        <f>IFERROR(K12/J12,"-")</f>
        <v>0.98963730569948183</v>
      </c>
      <c r="N12" s="93">
        <f>IFERROR(D12/K12,"-")</f>
        <v>237.41786387434556</v>
      </c>
      <c r="O12" s="53">
        <f>IFERROR(K12*$Q12,"-")</f>
        <v>290320</v>
      </c>
      <c r="P12" s="94">
        <f>IFERROR(O12/D12,"-")</f>
        <v>1.2804428236322325</v>
      </c>
      <c r="Q12" s="55">
        <v>304</v>
      </c>
    </row>
    <row r="13" spans="2:18" x14ac:dyDescent="0.3">
      <c r="B13" s="56" t="s">
        <v>187</v>
      </c>
      <c r="C13" s="57" t="s">
        <v>21</v>
      </c>
      <c r="D13" s="58">
        <v>204604.37</v>
      </c>
      <c r="E13" s="59">
        <v>1978148</v>
      </c>
      <c r="F13" s="49">
        <v>29519</v>
      </c>
      <c r="G13" s="50"/>
      <c r="H13" s="40">
        <f>IFERROR(F13/E13,"-")</f>
        <v>1.492254371260391E-2</v>
      </c>
      <c r="I13" s="40">
        <f>IFERROR(J13/F13,"-")</f>
        <v>4.7528710322165386E-2</v>
      </c>
      <c r="J13" s="48">
        <v>1403</v>
      </c>
      <c r="K13" s="49">
        <v>1329</v>
      </c>
      <c r="L13" s="50"/>
      <c r="M13" s="60">
        <f>IFERROR(K13/J13,"-")</f>
        <v>0.94725588025659302</v>
      </c>
      <c r="N13" s="61">
        <f>IFERROR(D13/K13,"-")</f>
        <v>153.95362678705794</v>
      </c>
      <c r="O13" s="53">
        <f>IFERROR(K13*$Q13,"-")</f>
        <v>202008</v>
      </c>
      <c r="P13" s="62">
        <f>IFERROR(O13/D13,"-")</f>
        <v>0.98731029058665754</v>
      </c>
      <c r="Q13" s="55">
        <v>152</v>
      </c>
    </row>
    <row r="14" spans="2:18" x14ac:dyDescent="0.3">
      <c r="B14" s="12" t="s">
        <v>188</v>
      </c>
      <c r="C14" s="13" t="s">
        <v>21</v>
      </c>
      <c r="D14" s="68">
        <v>4355825.2700000005</v>
      </c>
      <c r="E14" s="15">
        <v>41224661</v>
      </c>
      <c r="F14" s="16">
        <v>1173143</v>
      </c>
      <c r="G14" s="17"/>
      <c r="H14" s="18">
        <f>IFERROR(F14/E14,"-")</f>
        <v>2.8457311025553371E-2</v>
      </c>
      <c r="I14" s="18">
        <f t="shared" ref="I14" si="2">IFERROR(J14/F14,"-")</f>
        <v>7.0122738660163345E-2</v>
      </c>
      <c r="J14" s="19">
        <v>82264</v>
      </c>
      <c r="K14" s="20">
        <v>72709</v>
      </c>
      <c r="L14" s="17"/>
      <c r="M14" s="21">
        <f>IFERROR(K14/J14,"-")</f>
        <v>0.88384955752212391</v>
      </c>
      <c r="N14" s="22">
        <f>IFERROR(D14/K14,"-")</f>
        <v>59.907649259376427</v>
      </c>
      <c r="O14" s="23">
        <f>IFERROR(K14*$Q14,"-")</f>
        <v>16699709.497021848</v>
      </c>
      <c r="P14" s="24">
        <f>IFERROR(O14/D14,"-")</f>
        <v>3.8338795662990051</v>
      </c>
      <c r="Q14" s="25">
        <v>229.67871236053099</v>
      </c>
    </row>
    <row r="15" spans="2:18" x14ac:dyDescent="0.3">
      <c r="F15" s="26" t="s">
        <v>255</v>
      </c>
      <c r="G15" s="27"/>
      <c r="H15" s="28">
        <f>SUM(F10:F13)/SUM(E10:E13)</f>
        <v>8.8452837601381042E-3</v>
      </c>
      <c r="I15" s="28">
        <f>SUM(J10:J13)/SUM(F10:G13)</f>
        <v>4.9633980815546194E-2</v>
      </c>
      <c r="J15" s="29"/>
      <c r="K15" s="29"/>
      <c r="L15" s="29"/>
      <c r="M15" s="29"/>
      <c r="N15" s="30">
        <f>SUM(D10:D13)/SUM(K10:K13)</f>
        <v>258.18171518588531</v>
      </c>
    </row>
    <row r="16" spans="2:18" hidden="1" x14ac:dyDescent="0.3">
      <c r="F16" s="26" t="s">
        <v>190</v>
      </c>
      <c r="G16" s="27"/>
      <c r="H16" s="28"/>
      <c r="I16" s="28"/>
      <c r="J16" s="29"/>
      <c r="K16" s="29"/>
      <c r="L16" s="29"/>
      <c r="M16" s="29"/>
      <c r="N16" s="30"/>
    </row>
    <row r="17" spans="2:17" hidden="1" x14ac:dyDescent="0.3">
      <c r="D17" s="31"/>
      <c r="F17" s="26" t="s">
        <v>191</v>
      </c>
      <c r="G17" s="27"/>
      <c r="H17" s="28"/>
      <c r="I17" s="28"/>
      <c r="J17" s="29"/>
      <c r="K17" s="29"/>
      <c r="L17" s="29"/>
      <c r="M17" s="29"/>
      <c r="N17" s="30"/>
    </row>
    <row r="18" spans="2:17" x14ac:dyDescent="0.3">
      <c r="E18" s="32" t="s">
        <v>192</v>
      </c>
      <c r="F18" s="26" t="s">
        <v>193</v>
      </c>
      <c r="G18" s="27"/>
      <c r="H18" s="28">
        <f>SUM(F14,品牌A!N18)/SUM(E14,品牌A!L18)</f>
        <v>2.4950997754927613E-2</v>
      </c>
      <c r="I18" s="28">
        <f>SUM(J14,品牌A!Q18)/SUM(F14,品牌A!N18)</f>
        <v>6.8589299545177868E-2</v>
      </c>
      <c r="J18" s="29"/>
      <c r="K18" s="29"/>
      <c r="L18" s="29"/>
      <c r="M18" s="29"/>
      <c r="N18" s="30">
        <f>SUM(D14,品牌A!H18)/SUM(K14,品牌A!R18)</f>
        <v>60.338304406114759</v>
      </c>
    </row>
    <row r="19" spans="2:17" x14ac:dyDescent="0.3">
      <c r="F19" s="26" t="s">
        <v>194</v>
      </c>
      <c r="G19" s="27"/>
      <c r="H19" s="28">
        <f>SUM(F10:F14)/SUM(E10:E14)</f>
        <v>1.1035947732367981E-2</v>
      </c>
      <c r="I19" s="28">
        <f>SUM(J10:J14)/SUM(F10:F14)</f>
        <v>5.5535354730712638E-2</v>
      </c>
      <c r="J19" s="29"/>
      <c r="K19" s="29"/>
      <c r="L19" s="29"/>
      <c r="M19" s="29"/>
      <c r="N19" s="30">
        <f>SUM(D10:D14)/SUM(K10:K14)</f>
        <v>185.98067717071754</v>
      </c>
    </row>
    <row r="20" spans="2:17" x14ac:dyDescent="0.3">
      <c r="F20" s="65"/>
      <c r="G20" s="27"/>
      <c r="H20" s="66"/>
      <c r="I20" s="66"/>
      <c r="J20" s="29"/>
      <c r="K20" s="29"/>
      <c r="L20" s="29"/>
      <c r="M20" s="29"/>
      <c r="N20" s="67"/>
    </row>
    <row r="21" spans="2:17" x14ac:dyDescent="0.3">
      <c r="F21" s="65"/>
      <c r="G21" s="27"/>
      <c r="H21" s="66"/>
      <c r="I21" s="66"/>
      <c r="J21" s="29"/>
      <c r="K21" s="29"/>
      <c r="L21" s="29"/>
      <c r="M21" s="29"/>
      <c r="N21" s="67"/>
    </row>
    <row r="22" spans="2:17" x14ac:dyDescent="0.3">
      <c r="F22" s="65"/>
      <c r="G22" s="27"/>
      <c r="H22" s="66"/>
      <c r="I22" s="66"/>
      <c r="J22" s="29"/>
      <c r="K22" s="29"/>
      <c r="L22" s="29"/>
      <c r="M22" s="29"/>
      <c r="N22" s="67"/>
    </row>
    <row r="23" spans="2:17" x14ac:dyDescent="0.3">
      <c r="B23" s="2"/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x14ac:dyDescent="0.3">
      <c r="B24" s="7" t="s">
        <v>36</v>
      </c>
      <c r="F24" s="65"/>
      <c r="G24" s="27"/>
      <c r="H24" s="66"/>
      <c r="I24" s="66"/>
      <c r="J24" s="29"/>
      <c r="K24" s="29"/>
      <c r="L24" s="29"/>
      <c r="M24" s="29"/>
      <c r="N24" s="67"/>
    </row>
    <row r="25" spans="2:17" x14ac:dyDescent="0.3">
      <c r="B25" s="7" t="s">
        <v>77</v>
      </c>
      <c r="C25" s="2"/>
      <c r="D25" s="2"/>
      <c r="E25" s="2"/>
      <c r="F25" s="1"/>
      <c r="G25" s="1"/>
      <c r="H25" s="1"/>
      <c r="I25" s="1"/>
      <c r="J25" s="2"/>
      <c r="K25" s="1"/>
      <c r="L25" s="1" t="s">
        <v>4</v>
      </c>
      <c r="M25" s="2"/>
      <c r="N25" s="2"/>
      <c r="O25" s="2"/>
      <c r="P25" s="2"/>
      <c r="Q25" s="2"/>
    </row>
    <row r="26" spans="2:17" ht="49.5" x14ac:dyDescent="0.3">
      <c r="B26" s="8" t="s">
        <v>5</v>
      </c>
      <c r="C26" s="33" t="s">
        <v>6</v>
      </c>
      <c r="D26" s="9" t="s">
        <v>7</v>
      </c>
      <c r="E26" s="10" t="s">
        <v>8</v>
      </c>
      <c r="F26" s="9" t="s">
        <v>9</v>
      </c>
      <c r="G26" s="9" t="s">
        <v>10</v>
      </c>
      <c r="H26" s="9" t="s">
        <v>11</v>
      </c>
      <c r="I26" s="9" t="s">
        <v>12</v>
      </c>
      <c r="J26" s="10" t="s">
        <v>13</v>
      </c>
      <c r="K26" s="9" t="s">
        <v>14</v>
      </c>
      <c r="L26" s="9" t="s">
        <v>15</v>
      </c>
      <c r="M26" s="9" t="s">
        <v>16</v>
      </c>
      <c r="N26" s="9" t="s">
        <v>17</v>
      </c>
      <c r="O26" s="9" t="s">
        <v>18</v>
      </c>
      <c r="P26" s="9" t="s">
        <v>19</v>
      </c>
      <c r="Q26" s="11" t="s">
        <v>20</v>
      </c>
    </row>
    <row r="27" spans="2:17" x14ac:dyDescent="0.3">
      <c r="B27" s="34" t="s">
        <v>184</v>
      </c>
      <c r="C27" s="35" t="s">
        <v>21</v>
      </c>
      <c r="D27" s="47">
        <v>9424055.4199999999</v>
      </c>
      <c r="E27" s="48">
        <v>59542540</v>
      </c>
      <c r="F27" s="49">
        <v>333565</v>
      </c>
      <c r="G27" s="50"/>
      <c r="H27" s="40">
        <f>IFERROR(F27/D27,"-")</f>
        <v>3.5395059253588303E-2</v>
      </c>
      <c r="I27" s="40">
        <f>IFERROR(J27/F27,"-")</f>
        <v>5.8108614512913527E-2</v>
      </c>
      <c r="J27" s="48">
        <v>19383</v>
      </c>
      <c r="K27" s="49">
        <v>16482</v>
      </c>
      <c r="L27" s="50" t="e">
        <v>#REF!</v>
      </c>
      <c r="M27" s="51">
        <f>IFERROR(K27/J27,"-")</f>
        <v>0.85033276582572359</v>
      </c>
      <c r="N27" s="52">
        <f>IFERROR(D27/K27,"-")</f>
        <v>571.77863244751848</v>
      </c>
      <c r="O27" s="53">
        <v>13778952</v>
      </c>
      <c r="P27" s="54">
        <v>1.4621043049850826</v>
      </c>
      <c r="Q27" s="55">
        <v>836</v>
      </c>
    </row>
    <row r="28" spans="2:17" x14ac:dyDescent="0.3">
      <c r="B28" s="45" t="s">
        <v>185</v>
      </c>
      <c r="C28" s="46" t="s">
        <v>21</v>
      </c>
      <c r="D28" s="47">
        <v>5077775</v>
      </c>
      <c r="E28" s="48">
        <v>60877800</v>
      </c>
      <c r="F28" s="49">
        <v>30200</v>
      </c>
      <c r="G28" s="50"/>
      <c r="H28" s="40">
        <f>IFERROR(F28/E28,"-")</f>
        <v>4.960757451813305E-4</v>
      </c>
      <c r="I28" s="40">
        <f t="shared" ref="I28" si="3">IFERROR(J28/F28,"-")</f>
        <v>3.3112582781456956E-2</v>
      </c>
      <c r="J28" s="48">
        <v>1000</v>
      </c>
      <c r="K28" s="49">
        <v>722</v>
      </c>
      <c r="L28" s="50"/>
      <c r="M28" s="51">
        <f>IFERROR(K28/J28,"-")</f>
        <v>0.72199999999999998</v>
      </c>
      <c r="N28" s="52">
        <f>IFERROR(D28/K28,"-")</f>
        <v>7032.9293628808864</v>
      </c>
      <c r="O28" s="53">
        <f>IFERROR(K28*$Q28,"-")</f>
        <v>2397040</v>
      </c>
      <c r="P28" s="54">
        <f>IFERROR(O28/D28,"-")</f>
        <v>0.47206502848196308</v>
      </c>
      <c r="Q28" s="55">
        <v>3320</v>
      </c>
    </row>
    <row r="29" spans="2:17" x14ac:dyDescent="0.3">
      <c r="B29" s="56" t="s">
        <v>187</v>
      </c>
      <c r="C29" s="57" t="s">
        <v>21</v>
      </c>
      <c r="D29" s="58">
        <v>543853.03</v>
      </c>
      <c r="E29" s="59">
        <v>4662112</v>
      </c>
      <c r="F29" s="49">
        <v>36198</v>
      </c>
      <c r="G29" s="50"/>
      <c r="H29" s="40">
        <f>IFERROR(F29/E29,"-")</f>
        <v>7.764292234935583E-3</v>
      </c>
      <c r="I29" s="40">
        <f>IFERROR(J29/F29,"-")</f>
        <v>5.0638156804243328E-2</v>
      </c>
      <c r="J29" s="48">
        <v>1833</v>
      </c>
      <c r="K29" s="49">
        <v>1762</v>
      </c>
      <c r="L29" s="50"/>
      <c r="M29" s="60">
        <f>IFERROR(K29/J29,"-")</f>
        <v>0.96126568466994</v>
      </c>
      <c r="N29" s="61">
        <f>IFERROR(D29/K29,"-")</f>
        <v>308.65665720771852</v>
      </c>
      <c r="O29" s="53">
        <f>IFERROR(K29*$Q29,"-")</f>
        <v>245693.28</v>
      </c>
      <c r="P29" s="62">
        <f>IFERROR(O29/D29,"-")</f>
        <v>0.45176410987358107</v>
      </c>
      <c r="Q29" s="55">
        <v>139.44</v>
      </c>
    </row>
    <row r="30" spans="2:17" x14ac:dyDescent="0.3">
      <c r="B30" s="12" t="s">
        <v>188</v>
      </c>
      <c r="C30" s="13" t="s">
        <v>21</v>
      </c>
      <c r="D30" s="68">
        <v>2809907</v>
      </c>
      <c r="E30" s="15">
        <v>24504388</v>
      </c>
      <c r="F30" s="16">
        <v>278805</v>
      </c>
      <c r="G30" s="17"/>
      <c r="H30" s="18">
        <f>IFERROR(F30/E30,"-")</f>
        <v>1.1377758138664798E-2</v>
      </c>
      <c r="I30" s="18">
        <f t="shared" ref="I30" si="4">IFERROR(J30/F30,"-")</f>
        <v>7.8520829970768105E-2</v>
      </c>
      <c r="J30" s="19">
        <v>21892</v>
      </c>
      <c r="K30" s="20">
        <v>18736</v>
      </c>
      <c r="L30" s="17"/>
      <c r="M30" s="21">
        <f>IFERROR(K30/J30,"-")</f>
        <v>0.85583774894938791</v>
      </c>
      <c r="N30" s="22">
        <f>IFERROR(D30/K30,"-")</f>
        <v>149.97368701964135</v>
      </c>
      <c r="O30" s="23">
        <f>IFERROR(K30*$Q30,"-")</f>
        <v>4121920</v>
      </c>
      <c r="P30" s="24">
        <f>IFERROR(O30/D30,"-")</f>
        <v>1.4669239942816612</v>
      </c>
      <c r="Q30" s="25">
        <v>220</v>
      </c>
    </row>
    <row r="31" spans="2:17" x14ac:dyDescent="0.3">
      <c r="F31" s="26" t="s">
        <v>189</v>
      </c>
      <c r="G31" s="27"/>
      <c r="H31" s="28">
        <f>SUM(F27:F29)/SUM(E27:E29)</f>
        <v>3.1975948152983122E-3</v>
      </c>
      <c r="I31" s="28">
        <f>SUM(J27:J29)/SUM(F27:G29)</f>
        <v>5.5545137925258087E-2</v>
      </c>
      <c r="J31" s="29"/>
      <c r="K31" s="29"/>
      <c r="L31" s="29"/>
      <c r="M31" s="29"/>
      <c r="N31" s="30">
        <f>SUM(D27:D29)/SUM(K27:K29)</f>
        <v>793.29766160497729</v>
      </c>
    </row>
    <row r="32" spans="2:17" hidden="1" x14ac:dyDescent="0.3">
      <c r="F32" s="26" t="s">
        <v>190</v>
      </c>
      <c r="G32" s="27"/>
      <c r="H32" s="28">
        <f t="shared" ref="H32:H33" si="5">SUM(F28:F30)/SUM(E28:E30)</f>
        <v>3.8337018556421671E-3</v>
      </c>
      <c r="I32" s="28">
        <f t="shared" ref="I32:I33" si="6">SUM(J28:J30)/SUM(F28:G30)</f>
        <v>7.1624522382482195E-2</v>
      </c>
      <c r="J32" s="29"/>
      <c r="K32" s="29"/>
      <c r="L32" s="29"/>
      <c r="M32" s="29"/>
      <c r="N32" s="30">
        <f t="shared" ref="N32:N33" si="7">SUM(D28:D30)/SUM(K28:K30)</f>
        <v>397.33906833176252</v>
      </c>
    </row>
    <row r="33" spans="2:17" hidden="1" x14ac:dyDescent="0.3">
      <c r="D33" s="31"/>
      <c r="F33" s="26" t="s">
        <v>191</v>
      </c>
      <c r="G33" s="27"/>
      <c r="H33" s="28">
        <f t="shared" si="5"/>
        <v>1.0800164572368985E-2</v>
      </c>
      <c r="I33" s="28">
        <f t="shared" si="6"/>
        <v>7.531674301514589E-2</v>
      </c>
      <c r="J33" s="29"/>
      <c r="K33" s="29"/>
      <c r="L33" s="29"/>
      <c r="M33" s="29"/>
      <c r="N33" s="30">
        <f t="shared" si="7"/>
        <v>163.61401258659382</v>
      </c>
    </row>
    <row r="34" spans="2:17" x14ac:dyDescent="0.3">
      <c r="E34" s="32" t="s">
        <v>192</v>
      </c>
      <c r="F34" s="26" t="s">
        <v>193</v>
      </c>
      <c r="G34" s="27"/>
      <c r="H34" s="28">
        <f>SUM(F30)/SUM(E30)</f>
        <v>1.1377758138664798E-2</v>
      </c>
      <c r="I34" s="28">
        <f>SUM(J30)/SUM(F30)</f>
        <v>7.8520829970768105E-2</v>
      </c>
      <c r="J34" s="29"/>
      <c r="K34" s="29"/>
      <c r="L34" s="29"/>
      <c r="M34" s="29"/>
      <c r="N34" s="30">
        <f>SUM(D30)/SUM(K30)</f>
        <v>149.97368701964135</v>
      </c>
    </row>
    <row r="35" spans="2:17" x14ac:dyDescent="0.3">
      <c r="F35" s="26" t="s">
        <v>194</v>
      </c>
      <c r="G35" s="27"/>
      <c r="H35" s="28">
        <f>SUM(F27:F30)/SUM(E27:E30)</f>
        <v>4.537618416165486E-3</v>
      </c>
      <c r="I35" s="28">
        <f>SUM(J27:J30)/SUM(F27:F30)</f>
        <v>6.4982438771421167E-2</v>
      </c>
      <c r="J35" s="29"/>
      <c r="K35" s="29"/>
      <c r="L35" s="29"/>
      <c r="M35" s="29"/>
      <c r="N35" s="30">
        <f>SUM(D27:D30)/SUM(K27:K30)</f>
        <v>473.59796429897614</v>
      </c>
    </row>
    <row r="36" spans="2:17" x14ac:dyDescent="0.3">
      <c r="F36" s="65"/>
      <c r="G36" s="27"/>
      <c r="H36" s="66"/>
      <c r="I36" s="66"/>
      <c r="J36" s="29"/>
      <c r="K36" s="29"/>
      <c r="L36" s="29"/>
      <c r="M36" s="29"/>
      <c r="N36" s="67"/>
    </row>
    <row r="37" spans="2:17" x14ac:dyDescent="0.3">
      <c r="F37" s="65"/>
      <c r="G37" s="27"/>
      <c r="H37" s="66"/>
      <c r="I37" s="66"/>
      <c r="J37" s="29"/>
      <c r="K37" s="29"/>
      <c r="L37" s="29"/>
      <c r="M37" s="29"/>
      <c r="N37" s="67"/>
    </row>
    <row r="38" spans="2:17" x14ac:dyDescent="0.3">
      <c r="F38" s="65"/>
      <c r="G38" s="27"/>
      <c r="H38" s="66"/>
      <c r="I38" s="66"/>
      <c r="J38" s="29"/>
      <c r="K38" s="29"/>
      <c r="L38" s="29"/>
      <c r="M38" s="29"/>
      <c r="N38" s="67"/>
    </row>
    <row r="39" spans="2:17" x14ac:dyDescent="0.3">
      <c r="B39" s="7" t="s">
        <v>22</v>
      </c>
      <c r="C39" s="2"/>
      <c r="D39" s="2"/>
      <c r="E39" s="2"/>
      <c r="F39" s="1"/>
      <c r="G39" s="1"/>
      <c r="H39" s="1"/>
      <c r="I39" s="1"/>
      <c r="J39" s="2"/>
      <c r="K39" s="1"/>
      <c r="L39" s="1" t="s">
        <v>4</v>
      </c>
      <c r="M39" s="2"/>
      <c r="N39" s="2"/>
      <c r="O39" s="2"/>
      <c r="P39" s="2"/>
      <c r="Q39" s="2"/>
    </row>
    <row r="40" spans="2:17" ht="49.5" x14ac:dyDescent="0.3">
      <c r="B40" s="8" t="s">
        <v>5</v>
      </c>
      <c r="C40" s="33" t="s">
        <v>6</v>
      </c>
      <c r="D40" s="9" t="s">
        <v>7</v>
      </c>
      <c r="E40" s="10" t="s">
        <v>8</v>
      </c>
      <c r="F40" s="9" t="s">
        <v>9</v>
      </c>
      <c r="G40" s="9" t="s">
        <v>10</v>
      </c>
      <c r="H40" s="9" t="s">
        <v>11</v>
      </c>
      <c r="I40" s="9" t="s">
        <v>12</v>
      </c>
      <c r="J40" s="10" t="s">
        <v>13</v>
      </c>
      <c r="K40" s="9" t="s">
        <v>14</v>
      </c>
      <c r="L40" s="9" t="s">
        <v>15</v>
      </c>
      <c r="M40" s="9" t="s">
        <v>16</v>
      </c>
      <c r="N40" s="9" t="s">
        <v>17</v>
      </c>
      <c r="O40" s="9" t="s">
        <v>18</v>
      </c>
      <c r="P40" s="9" t="s">
        <v>19</v>
      </c>
      <c r="Q40" s="11" t="s">
        <v>20</v>
      </c>
    </row>
    <row r="41" spans="2:17" x14ac:dyDescent="0.3">
      <c r="B41" s="34" t="s">
        <v>184</v>
      </c>
      <c r="C41" s="35" t="s">
        <v>21</v>
      </c>
      <c r="D41" s="36">
        <v>12069768.299999999</v>
      </c>
      <c r="E41" s="37">
        <v>109029226</v>
      </c>
      <c r="F41" s="38">
        <v>3628155</v>
      </c>
      <c r="G41" s="39">
        <v>3628155</v>
      </c>
      <c r="H41" s="40">
        <f>IFERROR(F41/E41,"-")</f>
        <v>3.3276903203917088E-2</v>
      </c>
      <c r="I41" s="40">
        <f>IFERROR(J41/F41,"-")</f>
        <v>6.0510093973383167E-2</v>
      </c>
      <c r="J41" s="37">
        <v>219540</v>
      </c>
      <c r="K41" s="38">
        <v>206099</v>
      </c>
      <c r="L41" s="39" t="e">
        <v>#REF!</v>
      </c>
      <c r="M41" s="41">
        <f>IFERROR(K41/J41,"-")</f>
        <v>0.93877653275029604</v>
      </c>
      <c r="N41" s="42">
        <f>IFERROR(D41/K41,"-")</f>
        <v>58.562963915399877</v>
      </c>
      <c r="O41" s="37">
        <f>IFERROR(K41*$Q41,"-")</f>
        <v>212075871</v>
      </c>
      <c r="P41" s="43">
        <f>IFERROR(O41/D41,"-")</f>
        <v>17.570831993518883</v>
      </c>
      <c r="Q41" s="44">
        <v>1029</v>
      </c>
    </row>
    <row r="42" spans="2:17" x14ac:dyDescent="0.3">
      <c r="B42" s="45" t="s">
        <v>185</v>
      </c>
      <c r="C42" s="46" t="s">
        <v>21</v>
      </c>
      <c r="D42" s="47">
        <v>17589179</v>
      </c>
      <c r="E42" s="48">
        <v>184948000</v>
      </c>
      <c r="F42" s="49">
        <v>2540200</v>
      </c>
      <c r="G42" s="50"/>
      <c r="H42" s="40">
        <f>IFERROR(F42/E42,"-")</f>
        <v>1.3734671367086965E-2</v>
      </c>
      <c r="I42" s="40">
        <f t="shared" ref="I42" si="8">IFERROR(J42/F42,"-")</f>
        <v>4.9877962365168095E-2</v>
      </c>
      <c r="J42" s="48">
        <v>126700</v>
      </c>
      <c r="K42" s="49">
        <v>110400</v>
      </c>
      <c r="L42" s="50"/>
      <c r="M42" s="51">
        <f>IFERROR(K42/J42,"-")</f>
        <v>0.87134964483030786</v>
      </c>
      <c r="N42" s="52">
        <f>IFERROR(D42/K42,"-")</f>
        <v>159.32227355072465</v>
      </c>
      <c r="O42" s="53">
        <f>IFERROR(K42*$Q42,"-")</f>
        <v>263745600</v>
      </c>
      <c r="P42" s="54">
        <f>IFERROR(O42/D42,"-")</f>
        <v>14.994764678897178</v>
      </c>
      <c r="Q42" s="55">
        <v>2389</v>
      </c>
    </row>
    <row r="43" spans="2:17" x14ac:dyDescent="0.3">
      <c r="B43" s="56" t="s">
        <v>187</v>
      </c>
      <c r="C43" s="57" t="s">
        <v>21</v>
      </c>
      <c r="D43" s="58">
        <v>1066042</v>
      </c>
      <c r="E43" s="59">
        <v>11888953</v>
      </c>
      <c r="F43" s="49">
        <v>67267</v>
      </c>
      <c r="G43" s="50"/>
      <c r="H43" s="40">
        <f>IFERROR(F43/E43,"-")</f>
        <v>5.6579414520353472E-3</v>
      </c>
      <c r="I43" s="40">
        <f>IFERROR(J43/F43,"-")</f>
        <v>0.20784337044910581</v>
      </c>
      <c r="J43" s="48">
        <v>13981</v>
      </c>
      <c r="K43" s="49">
        <v>12660</v>
      </c>
      <c r="L43" s="50"/>
      <c r="M43" s="60">
        <f>IFERROR(K43/J43,"-")</f>
        <v>0.90551462699377727</v>
      </c>
      <c r="N43" s="61">
        <f>IFERROR(D43/K43,"-")</f>
        <v>84.205529225908379</v>
      </c>
      <c r="O43" s="53">
        <f>IFERROR(K43*$Q43,"-")</f>
        <v>1991924.4000000001</v>
      </c>
      <c r="P43" s="62">
        <f>IFERROR(O43/D43,"-")</f>
        <v>1.8685233790038291</v>
      </c>
      <c r="Q43" s="55">
        <v>157.34</v>
      </c>
    </row>
    <row r="44" spans="2:17" x14ac:dyDescent="0.3">
      <c r="B44" s="12" t="s">
        <v>188</v>
      </c>
      <c r="C44" s="13" t="s">
        <v>21</v>
      </c>
      <c r="D44" s="63" t="s">
        <v>35</v>
      </c>
      <c r="E44" s="15">
        <v>32523053</v>
      </c>
      <c r="F44" s="16">
        <v>866414</v>
      </c>
      <c r="G44" s="17"/>
      <c r="H44" s="18">
        <f>IFERROR(F44/E44,"-")</f>
        <v>2.6639995943800232E-2</v>
      </c>
      <c r="I44" s="18">
        <f t="shared" ref="I44" si="9">IFERROR(J44/F44,"-")</f>
        <v>9.0125505820543073E-2</v>
      </c>
      <c r="J44" s="19">
        <v>78086</v>
      </c>
      <c r="K44" s="20">
        <v>68950</v>
      </c>
      <c r="L44" s="17"/>
      <c r="M44" s="21">
        <f>IFERROR(K44/J44,"-")</f>
        <v>0.883000793996363</v>
      </c>
      <c r="N44" s="22" t="str">
        <f>IFERROR(D44/K44,"-")</f>
        <v>-</v>
      </c>
      <c r="O44" s="23">
        <f>IFERROR(K44*$Q44,"-")</f>
        <v>15789550</v>
      </c>
      <c r="P44" s="24" t="str">
        <f>IFERROR(O44/D44,"-")</f>
        <v>-</v>
      </c>
      <c r="Q44" s="25">
        <v>229</v>
      </c>
    </row>
    <row r="45" spans="2:17" x14ac:dyDescent="0.3">
      <c r="F45" s="26" t="s">
        <v>189</v>
      </c>
      <c r="G45" s="27"/>
      <c r="H45" s="28">
        <f>SUM(F41:F43)/SUM(E41:E43)</f>
        <v>2.0386765285350494E-2</v>
      </c>
      <c r="I45" s="28">
        <f>SUM(J41:J43)/SUM(F41:G43)</f>
        <v>3.6519580683950982E-2</v>
      </c>
      <c r="J45" s="29"/>
      <c r="K45" s="29"/>
      <c r="L45" s="29"/>
      <c r="M45" s="29"/>
      <c r="N45" s="30">
        <f>SUM(D41:D43)/SUM(K41:K43)</f>
        <v>93.343913731661587</v>
      </c>
    </row>
    <row r="46" spans="2:17" hidden="1" x14ac:dyDescent="0.3">
      <c r="F46" s="26" t="s">
        <v>190</v>
      </c>
      <c r="G46" s="27"/>
      <c r="H46" s="28" t="s">
        <v>23</v>
      </c>
      <c r="I46" s="28" t="s">
        <v>23</v>
      </c>
      <c r="J46" s="29"/>
      <c r="K46" s="29"/>
      <c r="L46" s="29"/>
      <c r="M46" s="29"/>
      <c r="N46" s="30" t="s">
        <v>23</v>
      </c>
    </row>
    <row r="47" spans="2:17" hidden="1" x14ac:dyDescent="0.3">
      <c r="D47" s="31"/>
      <c r="F47" s="26" t="s">
        <v>191</v>
      </c>
      <c r="G47" s="27"/>
      <c r="H47" s="28" t="s">
        <v>23</v>
      </c>
      <c r="I47" s="28" t="s">
        <v>23</v>
      </c>
      <c r="J47" s="29"/>
      <c r="K47" s="29"/>
      <c r="L47" s="29"/>
      <c r="M47" s="29"/>
      <c r="N47" s="30" t="s">
        <v>23</v>
      </c>
    </row>
    <row r="48" spans="2:17" x14ac:dyDescent="0.3">
      <c r="E48" s="32" t="s">
        <v>192</v>
      </c>
      <c r="F48" s="26" t="s">
        <v>193</v>
      </c>
      <c r="G48" s="27"/>
      <c r="H48" s="28">
        <v>2.797892897384742E-2</v>
      </c>
      <c r="I48" s="28">
        <v>7.9412416314153383E-2</v>
      </c>
      <c r="J48" s="29"/>
      <c r="K48" s="29"/>
      <c r="L48" s="29"/>
      <c r="M48" s="29"/>
      <c r="N48" s="30" t="s">
        <v>37</v>
      </c>
    </row>
    <row r="49" spans="2:18" x14ac:dyDescent="0.3">
      <c r="F49" s="26" t="s">
        <v>194</v>
      </c>
      <c r="G49" s="27"/>
      <c r="H49" s="28">
        <f>SUM(F41:F44)/SUM(E41:E44)</f>
        <v>2.0987771856759319E-2</v>
      </c>
      <c r="I49" s="28">
        <f>SUM(J41:J44)/SUM(F41:F44)</f>
        <v>6.1715682657761804E-2</v>
      </c>
      <c r="J49" s="29"/>
      <c r="K49" s="29"/>
      <c r="L49" s="29"/>
      <c r="M49" s="29"/>
      <c r="N49" s="30">
        <f>SUM(D41:D44)/SUM(K41:K44)</f>
        <v>77.177329073193519</v>
      </c>
    </row>
    <row r="50" spans="2:18" x14ac:dyDescent="0.3">
      <c r="B50" s="2"/>
      <c r="C50" s="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2:18" x14ac:dyDescent="0.3">
      <c r="B51" s="2"/>
      <c r="C51" s="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8" x14ac:dyDescent="0.3">
      <c r="B52" s="2"/>
      <c r="C52" s="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7" t="s">
        <v>24</v>
      </c>
      <c r="C53" s="2"/>
      <c r="D53" s="2"/>
      <c r="E53" s="2"/>
      <c r="F53" s="1"/>
      <c r="G53" s="1"/>
      <c r="H53" s="1"/>
      <c r="I53" s="1"/>
      <c r="J53" s="2"/>
      <c r="K53" s="1"/>
      <c r="L53" s="1" t="s">
        <v>4</v>
      </c>
      <c r="M53" s="2"/>
      <c r="N53" s="2"/>
      <c r="O53" s="2"/>
      <c r="P53" s="2"/>
      <c r="Q53" s="2"/>
    </row>
    <row r="54" spans="2:18" ht="49.5" x14ac:dyDescent="0.3">
      <c r="B54" s="8" t="s">
        <v>5</v>
      </c>
      <c r="C54" s="33" t="s">
        <v>6</v>
      </c>
      <c r="D54" s="9" t="s">
        <v>7</v>
      </c>
      <c r="E54" s="10" t="s">
        <v>8</v>
      </c>
      <c r="F54" s="9" t="s">
        <v>9</v>
      </c>
      <c r="G54" s="9" t="s">
        <v>10</v>
      </c>
      <c r="H54" s="9" t="s">
        <v>11</v>
      </c>
      <c r="I54" s="9" t="s">
        <v>12</v>
      </c>
      <c r="J54" s="10" t="s">
        <v>13</v>
      </c>
      <c r="K54" s="9" t="s">
        <v>14</v>
      </c>
      <c r="L54" s="9" t="s">
        <v>15</v>
      </c>
      <c r="M54" s="9" t="s">
        <v>16</v>
      </c>
      <c r="N54" s="9" t="s">
        <v>17</v>
      </c>
      <c r="O54" s="9" t="s">
        <v>18</v>
      </c>
      <c r="P54" s="9" t="s">
        <v>19</v>
      </c>
      <c r="Q54" s="11" t="s">
        <v>20</v>
      </c>
    </row>
    <row r="55" spans="2:18" x14ac:dyDescent="0.3">
      <c r="B55" s="34" t="s">
        <v>184</v>
      </c>
      <c r="C55" s="35" t="s">
        <v>21</v>
      </c>
      <c r="D55" s="36">
        <v>11193694.369999999</v>
      </c>
      <c r="E55" s="37">
        <v>96513869</v>
      </c>
      <c r="F55" s="38">
        <v>2463619</v>
      </c>
      <c r="G55" s="39"/>
      <c r="H55" s="40">
        <f>IFERROR(F55/E55,"-")</f>
        <v>2.552606195903306E-2</v>
      </c>
      <c r="I55" s="40">
        <f>IFERROR(J55/F55,"-")</f>
        <v>6.3133544594354885E-2</v>
      </c>
      <c r="J55" s="37">
        <v>155537</v>
      </c>
      <c r="K55" s="38">
        <v>145822</v>
      </c>
      <c r="L55" s="39" t="e">
        <v>#REF!</v>
      </c>
      <c r="M55" s="41">
        <f>IFERROR(K55/J55,"-")</f>
        <v>0.93753897786378804</v>
      </c>
      <c r="N55" s="42">
        <f>IFERROR(D55/K55,"-")</f>
        <v>76.762726954780476</v>
      </c>
      <c r="O55" s="37">
        <f>IFERROR(K55*$Q55,"-")</f>
        <v>150050838</v>
      </c>
      <c r="P55" s="43">
        <f>IFERROR(O55/D55,"-")</f>
        <v>13.404943268966527</v>
      </c>
      <c r="Q55" s="44">
        <v>1029</v>
      </c>
    </row>
    <row r="56" spans="2:18" x14ac:dyDescent="0.3">
      <c r="B56" s="45" t="s">
        <v>185</v>
      </c>
      <c r="C56" s="46" t="s">
        <v>21</v>
      </c>
      <c r="D56" s="47">
        <v>17083683</v>
      </c>
      <c r="E56" s="48">
        <v>165434500</v>
      </c>
      <c r="F56" s="49">
        <v>1871454</v>
      </c>
      <c r="G56" s="50"/>
      <c r="H56" s="40">
        <f>IFERROR(F56/E56,"-")</f>
        <v>1.1312356249754435E-2</v>
      </c>
      <c r="I56" s="40">
        <f>IFERROR(J56/F56,"-")</f>
        <v>4.9491999269017567E-2</v>
      </c>
      <c r="J56" s="48">
        <v>92622</v>
      </c>
      <c r="K56" s="49">
        <v>80718</v>
      </c>
      <c r="L56" s="50"/>
      <c r="M56" s="51">
        <f>IFERROR(K56/J56,"-")</f>
        <v>0.87147761870829821</v>
      </c>
      <c r="N56" s="52">
        <f>IFERROR(D56/K56,"-")</f>
        <v>211.64651007210287</v>
      </c>
      <c r="O56" s="53">
        <f>IFERROR(K56*$Q56,"-")</f>
        <v>192835302</v>
      </c>
      <c r="P56" s="54">
        <f>IFERROR(O56/D56,"-")</f>
        <v>11.287689077349421</v>
      </c>
      <c r="Q56" s="55">
        <v>2389</v>
      </c>
    </row>
    <row r="57" spans="2:18" x14ac:dyDescent="0.3">
      <c r="B57" s="56" t="s">
        <v>187</v>
      </c>
      <c r="C57" s="57" t="s">
        <v>21</v>
      </c>
      <c r="D57" s="58">
        <v>835862</v>
      </c>
      <c r="E57" s="59">
        <v>10836892</v>
      </c>
      <c r="F57" s="49">
        <v>49573</v>
      </c>
      <c r="G57" s="50"/>
      <c r="H57" s="40">
        <f>IFERROR(F57/E57,"-")</f>
        <v>4.5744665536945461E-3</v>
      </c>
      <c r="I57" s="40">
        <f>IFERROR(J57/F57,"-")</f>
        <v>0.21009420450648539</v>
      </c>
      <c r="J57" s="48">
        <v>10415</v>
      </c>
      <c r="K57" s="49">
        <v>9468</v>
      </c>
      <c r="L57" s="50"/>
      <c r="M57" s="60">
        <f>IFERROR(K57/J57,"-")</f>
        <v>0.90907345175228038</v>
      </c>
      <c r="N57" s="61">
        <f>IFERROR(D57/K57,"-")</f>
        <v>88.282847486269546</v>
      </c>
      <c r="O57" s="53">
        <f>IFERROR(K57*$Q57,"-")</f>
        <v>1489695.12</v>
      </c>
      <c r="P57" s="62">
        <f>IFERROR(O57/D57,"-")</f>
        <v>1.7822261569493529</v>
      </c>
      <c r="Q57" s="55">
        <v>157.34</v>
      </c>
    </row>
    <row r="58" spans="2:18" x14ac:dyDescent="0.3">
      <c r="B58" s="12" t="s">
        <v>188</v>
      </c>
      <c r="C58" s="13" t="s">
        <v>21</v>
      </c>
      <c r="D58" s="14">
        <v>1656501</v>
      </c>
      <c r="E58" s="15">
        <v>28581003</v>
      </c>
      <c r="F58" s="16">
        <v>588611</v>
      </c>
      <c r="G58" s="17"/>
      <c r="H58" s="18">
        <f>IFERROR(F58/E58,"-")</f>
        <v>2.0594483685544555E-2</v>
      </c>
      <c r="I58" s="18">
        <f>IFERROR(J58/F58,"-")</f>
        <v>8.6065330073681945E-2</v>
      </c>
      <c r="J58" s="19">
        <v>50659</v>
      </c>
      <c r="K58" s="20">
        <v>44610</v>
      </c>
      <c r="L58" s="17"/>
      <c r="M58" s="21">
        <f>IFERROR(K58/J58,"-")</f>
        <v>0.88059377405791661</v>
      </c>
      <c r="N58" s="22">
        <f>IFERROR(D58/K58,"-")</f>
        <v>37.132952252858104</v>
      </c>
      <c r="O58" s="23">
        <f>IFERROR(K58*$Q58,"-")</f>
        <v>10215690</v>
      </c>
      <c r="P58" s="24">
        <f>IFERROR(O58/D58,"-")</f>
        <v>6.1670291777668709</v>
      </c>
      <c r="Q58" s="25">
        <v>229</v>
      </c>
    </row>
    <row r="59" spans="2:18" x14ac:dyDescent="0.3">
      <c r="F59" s="26" t="s">
        <v>189</v>
      </c>
      <c r="G59" s="27"/>
      <c r="H59" s="28">
        <f>SUM(F55:F57)/SUM(E55:E57)</f>
        <v>1.6073617701800977E-2</v>
      </c>
      <c r="I59" s="28">
        <f>SUM(J55:J57)/SUM(F55:G57)</f>
        <v>5.8972605770226373E-2</v>
      </c>
      <c r="J59" s="29"/>
      <c r="K59" s="29"/>
      <c r="L59" s="29"/>
      <c r="M59" s="29"/>
      <c r="N59" s="30">
        <f>SUM(D55:D57)/SUM(K55:K57)</f>
        <v>123.35700217789227</v>
      </c>
    </row>
    <row r="60" spans="2:18" x14ac:dyDescent="0.3">
      <c r="E60" s="64" t="s">
        <v>195</v>
      </c>
      <c r="F60" s="26" t="s">
        <v>193</v>
      </c>
      <c r="G60" s="27"/>
      <c r="H60" s="28">
        <v>2.1334774123850615E-2</v>
      </c>
      <c r="I60" s="28">
        <v>7.6000062414505132E-2</v>
      </c>
      <c r="J60" s="29"/>
      <c r="K60" s="29"/>
      <c r="L60" s="29"/>
      <c r="M60" s="29"/>
      <c r="N60" s="30">
        <v>48.996426955521471</v>
      </c>
    </row>
    <row r="61" spans="2:18" x14ac:dyDescent="0.3">
      <c r="F61" s="26" t="s">
        <v>194</v>
      </c>
      <c r="G61" s="27"/>
      <c r="H61" s="28">
        <f>SUM(F55:F58)/SUM(E55:E58)</f>
        <v>1.6502368028824887E-2</v>
      </c>
      <c r="I61" s="28">
        <f>SUM(J55:J58)/SUM(F55:F58)</f>
        <v>6.2179171516774621E-2</v>
      </c>
      <c r="J61" s="29"/>
      <c r="K61" s="29"/>
      <c r="L61" s="29"/>
      <c r="M61" s="29"/>
      <c r="N61" s="30">
        <f>SUM(D55:D58)/SUM(K55:K58)</f>
        <v>109.64991686206871</v>
      </c>
    </row>
    <row r="62" spans="2:18" x14ac:dyDescent="0.3">
      <c r="F62" s="65"/>
      <c r="G62" s="27"/>
      <c r="H62" s="28"/>
      <c r="I62" s="28"/>
      <c r="J62" s="29"/>
      <c r="K62" s="29"/>
      <c r="L62" s="29"/>
      <c r="M62" s="29"/>
      <c r="N62" s="30"/>
    </row>
    <row r="63" spans="2:18" x14ac:dyDescent="0.3">
      <c r="F63" s="65"/>
      <c r="G63" s="27"/>
      <c r="H63" s="28"/>
      <c r="I63" s="28"/>
      <c r="J63" s="29"/>
      <c r="K63" s="29"/>
      <c r="L63" s="29"/>
      <c r="M63" s="29"/>
      <c r="N63" s="30"/>
    </row>
    <row r="64" spans="2:18" x14ac:dyDescent="0.3">
      <c r="F64" s="65"/>
      <c r="G64" s="27"/>
      <c r="H64" s="28"/>
      <c r="I64" s="28"/>
      <c r="J64" s="29"/>
      <c r="K64" s="29"/>
      <c r="L64" s="29"/>
      <c r="M64" s="29"/>
      <c r="N64" s="30"/>
    </row>
    <row r="65" spans="2:17" x14ac:dyDescent="0.3">
      <c r="B65" s="7" t="s">
        <v>25</v>
      </c>
      <c r="C65" s="2"/>
      <c r="D65" s="2"/>
      <c r="E65" s="2"/>
      <c r="F65" s="1"/>
      <c r="G65" s="1"/>
      <c r="H65" s="1"/>
      <c r="I65" s="1"/>
      <c r="J65" s="2"/>
      <c r="K65" s="1"/>
      <c r="L65" s="1" t="s">
        <v>4</v>
      </c>
      <c r="M65" s="2"/>
      <c r="N65" s="2"/>
      <c r="O65" s="2"/>
      <c r="P65" s="2"/>
      <c r="Q65" s="2"/>
    </row>
    <row r="66" spans="2:17" ht="49.5" x14ac:dyDescent="0.3">
      <c r="B66" s="8" t="s">
        <v>5</v>
      </c>
      <c r="C66" s="33" t="s">
        <v>6</v>
      </c>
      <c r="D66" s="9" t="s">
        <v>7</v>
      </c>
      <c r="E66" s="10" t="s">
        <v>8</v>
      </c>
      <c r="F66" s="9" t="s">
        <v>9</v>
      </c>
      <c r="G66" s="9" t="s">
        <v>10</v>
      </c>
      <c r="H66" s="9" t="s">
        <v>11</v>
      </c>
      <c r="I66" s="9" t="s">
        <v>12</v>
      </c>
      <c r="J66" s="10" t="s">
        <v>13</v>
      </c>
      <c r="K66" s="9" t="s">
        <v>14</v>
      </c>
      <c r="L66" s="9" t="s">
        <v>15</v>
      </c>
      <c r="M66" s="9" t="s">
        <v>16</v>
      </c>
      <c r="N66" s="9" t="s">
        <v>17</v>
      </c>
      <c r="O66" s="9" t="s">
        <v>18</v>
      </c>
      <c r="P66" s="9" t="s">
        <v>19</v>
      </c>
      <c r="Q66" s="11" t="s">
        <v>20</v>
      </c>
    </row>
    <row r="67" spans="2:17" x14ac:dyDescent="0.3">
      <c r="B67" s="34" t="s">
        <v>184</v>
      </c>
      <c r="C67" s="35" t="s">
        <v>21</v>
      </c>
      <c r="D67" s="36">
        <v>10649995</v>
      </c>
      <c r="E67" s="37">
        <v>82835013</v>
      </c>
      <c r="F67" s="38">
        <v>1963740</v>
      </c>
      <c r="G67" s="39"/>
      <c r="H67" s="40">
        <f>IFERROR(F67/E67,"-")</f>
        <v>2.3706642021049721E-2</v>
      </c>
      <c r="I67" s="40">
        <f>IFERROR(J67/F67,"-")</f>
        <v>5.9257844724861744E-2</v>
      </c>
      <c r="J67" s="37">
        <v>116367</v>
      </c>
      <c r="K67" s="38">
        <v>109268</v>
      </c>
      <c r="L67" s="39" t="e">
        <v>#REF!</v>
      </c>
      <c r="M67" s="41">
        <f>IFERROR(K67/J67,"-")</f>
        <v>0.93899473218352281</v>
      </c>
      <c r="N67" s="42">
        <f>IFERROR(D67/K67,"-")</f>
        <v>97.466733169820984</v>
      </c>
      <c r="O67" s="37">
        <f>IFERROR(K67*$Q67,"-")</f>
        <v>112436772</v>
      </c>
      <c r="P67" s="43">
        <f>IFERROR(O67/D67,"-")</f>
        <v>10.557448336830205</v>
      </c>
      <c r="Q67" s="44">
        <v>1029</v>
      </c>
    </row>
    <row r="68" spans="2:17" x14ac:dyDescent="0.3">
      <c r="B68" s="45" t="s">
        <v>185</v>
      </c>
      <c r="C68" s="46" t="s">
        <v>21</v>
      </c>
      <c r="D68" s="47">
        <v>16220305</v>
      </c>
      <c r="E68" s="48">
        <v>154143600</v>
      </c>
      <c r="F68" s="49">
        <v>1718900</v>
      </c>
      <c r="G68" s="50"/>
      <c r="H68" s="40">
        <f>IFERROR(F68/E68,"-")</f>
        <v>1.1151290095728917E-2</v>
      </c>
      <c r="I68" s="40">
        <f>IFERROR(J68/F68,"-")</f>
        <v>4.753039734714061E-2</v>
      </c>
      <c r="J68" s="48">
        <v>81700</v>
      </c>
      <c r="K68" s="49">
        <v>71600</v>
      </c>
      <c r="L68" s="50"/>
      <c r="M68" s="51">
        <f>IFERROR(K68/J68,"-")</f>
        <v>0.87637698898408811</v>
      </c>
      <c r="N68" s="52">
        <f>IFERROR(D68/K68,"-")</f>
        <v>226.54057262569833</v>
      </c>
      <c r="O68" s="53">
        <f>IFERROR(K68*$Q68,"-")</f>
        <v>171052400</v>
      </c>
      <c r="P68" s="54">
        <f>IFERROR(O68/D68,"-")</f>
        <v>10.545572355143754</v>
      </c>
      <c r="Q68" s="55">
        <v>2389</v>
      </c>
    </row>
    <row r="69" spans="2:17" x14ac:dyDescent="0.3">
      <c r="B69" s="56" t="s">
        <v>187</v>
      </c>
      <c r="C69" s="57" t="s">
        <v>21</v>
      </c>
      <c r="D69" s="58">
        <v>691502</v>
      </c>
      <c r="E69" s="59">
        <v>9595117</v>
      </c>
      <c r="F69" s="49">
        <v>42409</v>
      </c>
      <c r="G69" s="50"/>
      <c r="H69" s="40">
        <f>IFERROR(F69/E69,"-")</f>
        <v>4.4198523061261263E-3</v>
      </c>
      <c r="I69" s="40">
        <f>IFERROR(J69/F69,"-")</f>
        <v>0.20606475040675329</v>
      </c>
      <c r="J69" s="48">
        <v>8739</v>
      </c>
      <c r="K69" s="49">
        <v>7966</v>
      </c>
      <c r="L69" s="50"/>
      <c r="M69" s="60">
        <f>IFERROR(K69/J69,"-")</f>
        <v>0.91154594347179307</v>
      </c>
      <c r="N69" s="61">
        <f>IFERROR(D69/K69,"-")</f>
        <v>86.8066783831283</v>
      </c>
      <c r="O69" s="53">
        <f>IFERROR(K69*$Q69,"-")</f>
        <v>1250662</v>
      </c>
      <c r="P69" s="62">
        <f>IFERROR(O69/D69,"-")</f>
        <v>1.8086166055918855</v>
      </c>
      <c r="Q69" s="55">
        <v>157</v>
      </c>
    </row>
    <row r="70" spans="2:17" x14ac:dyDescent="0.3">
      <c r="B70" s="12" t="s">
        <v>188</v>
      </c>
      <c r="C70" s="13" t="s">
        <v>21</v>
      </c>
      <c r="D70" s="14">
        <v>1596471</v>
      </c>
      <c r="E70" s="15">
        <v>25479450</v>
      </c>
      <c r="F70" s="16">
        <v>476966</v>
      </c>
      <c r="G70" s="17"/>
      <c r="H70" s="18">
        <f>IFERROR(F70/E70,"-")</f>
        <v>1.8719634842981305E-2</v>
      </c>
      <c r="I70" s="18">
        <f>IFERROR(J70/F70,"-")</f>
        <v>8.5171689386664876E-2</v>
      </c>
      <c r="J70" s="19">
        <v>40624</v>
      </c>
      <c r="K70" s="20">
        <v>36150</v>
      </c>
      <c r="L70" s="17"/>
      <c r="M70" s="21">
        <f>IFERROR(K70/J70,"-")</f>
        <v>0.88986805829066562</v>
      </c>
      <c r="N70" s="22">
        <f>IFERROR(D70/K70,"-")</f>
        <v>44.162406639004146</v>
      </c>
      <c r="O70" s="23">
        <f>IFERROR(K70*$Q70,"-")</f>
        <v>8242200</v>
      </c>
      <c r="P70" s="24">
        <f>IFERROR(O70/D70,"-")</f>
        <v>5.1627621171947373</v>
      </c>
      <c r="Q70" s="25">
        <v>228</v>
      </c>
    </row>
    <row r="71" spans="2:17" x14ac:dyDescent="0.3">
      <c r="F71" s="26" t="s">
        <v>189</v>
      </c>
      <c r="G71" s="27"/>
      <c r="H71" s="28">
        <f>SUM(F67:F69)/SUM(E67:E69)</f>
        <v>1.5107241959636171E-2</v>
      </c>
      <c r="I71" s="28">
        <f>SUM(J67:J69)/SUM(F67:G69)</f>
        <v>5.5517658962338484E-2</v>
      </c>
      <c r="J71" s="29"/>
      <c r="K71" s="29"/>
      <c r="L71" s="29"/>
      <c r="M71" s="29"/>
      <c r="N71" s="30">
        <f>SUM(D67:D69)/SUM(K67:K69)</f>
        <v>145.95783598292681</v>
      </c>
    </row>
    <row r="72" spans="2:17" x14ac:dyDescent="0.3">
      <c r="E72" s="64" t="s">
        <v>195</v>
      </c>
      <c r="F72" s="26" t="s">
        <v>193</v>
      </c>
      <c r="G72" s="27"/>
      <c r="H72" s="28">
        <v>1.7605119288431382E-2</v>
      </c>
      <c r="I72" s="28">
        <v>8.7155743670280006E-2</v>
      </c>
      <c r="J72" s="29"/>
      <c r="K72" s="29"/>
      <c r="L72" s="29"/>
      <c r="M72" s="29"/>
      <c r="N72" s="30">
        <v>50</v>
      </c>
    </row>
    <row r="73" spans="2:17" x14ac:dyDescent="0.3">
      <c r="F73" s="26" t="s">
        <v>194</v>
      </c>
      <c r="G73" s="27"/>
      <c r="H73" s="28">
        <f>SUM(F67:F70)/SUM(E67:E70)</f>
        <v>1.5445564723779373E-2</v>
      </c>
      <c r="I73" s="28">
        <f>SUM(J67:J70)/SUM(F67:F70)</f>
        <v>5.8883654627601284E-2</v>
      </c>
      <c r="J73" s="29"/>
      <c r="K73" s="29"/>
      <c r="L73" s="29"/>
      <c r="M73" s="29"/>
      <c r="N73" s="30">
        <f>SUM(D67:D70)/SUM(K67:K70)</f>
        <v>129.60154055399494</v>
      </c>
    </row>
    <row r="74" spans="2:17" x14ac:dyDescent="0.3">
      <c r="B74" s="2"/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2:17" x14ac:dyDescent="0.3">
      <c r="B75" s="7" t="s">
        <v>26</v>
      </c>
      <c r="C75" s="2"/>
      <c r="D75" s="2"/>
      <c r="E75" s="2"/>
      <c r="F75" s="1"/>
      <c r="G75" s="1"/>
      <c r="H75" s="1"/>
      <c r="I75" s="1"/>
      <c r="J75" s="2"/>
      <c r="K75" s="1"/>
      <c r="L75" s="1" t="s">
        <v>4</v>
      </c>
      <c r="M75" s="2"/>
      <c r="N75" s="2"/>
      <c r="O75" s="2"/>
      <c r="P75" s="2"/>
      <c r="Q75" s="2"/>
    </row>
    <row r="76" spans="2:17" ht="49.5" x14ac:dyDescent="0.3">
      <c r="B76" s="8" t="s">
        <v>5</v>
      </c>
      <c r="C76" s="33" t="s">
        <v>6</v>
      </c>
      <c r="D76" s="9" t="s">
        <v>7</v>
      </c>
      <c r="E76" s="10" t="s">
        <v>8</v>
      </c>
      <c r="F76" s="9" t="s">
        <v>9</v>
      </c>
      <c r="G76" s="9" t="s">
        <v>10</v>
      </c>
      <c r="H76" s="9" t="s">
        <v>11</v>
      </c>
      <c r="I76" s="9" t="s">
        <v>12</v>
      </c>
      <c r="J76" s="10" t="s">
        <v>13</v>
      </c>
      <c r="K76" s="9" t="s">
        <v>14</v>
      </c>
      <c r="L76" s="9" t="s">
        <v>15</v>
      </c>
      <c r="M76" s="9" t="s">
        <v>16</v>
      </c>
      <c r="N76" s="9" t="s">
        <v>17</v>
      </c>
      <c r="O76" s="9" t="s">
        <v>18</v>
      </c>
      <c r="P76" s="9" t="s">
        <v>19</v>
      </c>
      <c r="Q76" s="11" t="s">
        <v>20</v>
      </c>
    </row>
    <row r="77" spans="2:17" x14ac:dyDescent="0.3">
      <c r="B77" s="34" t="s">
        <v>184</v>
      </c>
      <c r="C77" s="35" t="s">
        <v>21</v>
      </c>
      <c r="D77" s="36">
        <v>2574489</v>
      </c>
      <c r="E77" s="37">
        <v>20034313</v>
      </c>
      <c r="F77" s="38">
        <v>556367</v>
      </c>
      <c r="G77" s="39"/>
      <c r="H77" s="40">
        <f>IFERROR(F77/E77,"-")</f>
        <v>2.7770705189641393E-2</v>
      </c>
      <c r="I77" s="40">
        <f>IFERROR(J77/F77,"-")</f>
        <v>6.9313960029980207E-2</v>
      </c>
      <c r="J77" s="37">
        <v>38564</v>
      </c>
      <c r="K77" s="38">
        <v>37321</v>
      </c>
      <c r="L77" s="39" t="e">
        <v>#REF!</v>
      </c>
      <c r="M77" s="41">
        <f>IFERROR(K77/J77,"-")</f>
        <v>0.9677678664039</v>
      </c>
      <c r="N77" s="42">
        <f>IFERROR(D77/K77,"-")</f>
        <v>68.982315586399082</v>
      </c>
      <c r="O77" s="37">
        <f>IFERROR(K77*$Q77,"-")</f>
        <v>38403309</v>
      </c>
      <c r="P77" s="43">
        <f>IFERROR(O77/D77,"-")</f>
        <v>14.916866609257216</v>
      </c>
      <c r="Q77" s="44">
        <v>1029</v>
      </c>
    </row>
    <row r="78" spans="2:17" x14ac:dyDescent="0.3">
      <c r="B78" s="45" t="s">
        <v>185</v>
      </c>
      <c r="C78" s="46" t="s">
        <v>21</v>
      </c>
      <c r="D78" s="47">
        <v>13899569</v>
      </c>
      <c r="E78" s="48">
        <v>121631879</v>
      </c>
      <c r="F78" s="49">
        <v>908704</v>
      </c>
      <c r="G78" s="50"/>
      <c r="H78" s="40">
        <f>IFERROR(F78/E78,"-")</f>
        <v>7.4709361350900451E-3</v>
      </c>
      <c r="I78" s="40">
        <f>IFERROR(J78/F78,"-")</f>
        <v>5.0887857872310455E-2</v>
      </c>
      <c r="J78" s="48">
        <v>46242</v>
      </c>
      <c r="K78" s="49">
        <v>40856</v>
      </c>
      <c r="L78" s="50"/>
      <c r="M78" s="51">
        <f>IFERROR(K78/J78,"-")</f>
        <v>0.88352579905713424</v>
      </c>
      <c r="N78" s="52">
        <f>IFERROR(D78/K78,"-")</f>
        <v>340.2087575876248</v>
      </c>
      <c r="O78" s="53">
        <f>IFERROR(K78*$Q78,"-")</f>
        <v>97604984</v>
      </c>
      <c r="P78" s="54">
        <f>IFERROR(O78/D78,"-")</f>
        <v>7.0221590324131631</v>
      </c>
      <c r="Q78" s="55">
        <v>2389</v>
      </c>
    </row>
    <row r="79" spans="2:17" x14ac:dyDescent="0.3">
      <c r="B79" s="56" t="s">
        <v>187</v>
      </c>
      <c r="C79" s="57" t="s">
        <v>21</v>
      </c>
      <c r="D79" s="58">
        <v>536311</v>
      </c>
      <c r="E79" s="59">
        <v>8371328</v>
      </c>
      <c r="F79" s="49">
        <v>14214</v>
      </c>
      <c r="G79" s="50"/>
      <c r="H79" s="40">
        <f>IFERROR(F79/E79,"-")</f>
        <v>1.6979384871790952E-3</v>
      </c>
      <c r="I79" s="40">
        <f>IFERROR(J79/F79,"-")</f>
        <v>0.45201913606303645</v>
      </c>
      <c r="J79" s="48">
        <v>6425</v>
      </c>
      <c r="K79" s="49">
        <v>5860</v>
      </c>
      <c r="L79" s="50"/>
      <c r="M79" s="60">
        <f>IFERROR(K79/J79,"-")</f>
        <v>0.9120622568093385</v>
      </c>
      <c r="N79" s="61">
        <f>IFERROR(D79/K79,"-")</f>
        <v>91.520648464163827</v>
      </c>
      <c r="O79" s="53">
        <f>IFERROR(K79*$Q79,"-")</f>
        <v>920020</v>
      </c>
      <c r="P79" s="62">
        <f>IFERROR(O79/D79,"-")</f>
        <v>1.7154598730960209</v>
      </c>
      <c r="Q79" s="55">
        <v>157</v>
      </c>
    </row>
    <row r="80" spans="2:17" x14ac:dyDescent="0.3">
      <c r="B80" s="12" t="s">
        <v>188</v>
      </c>
      <c r="C80" s="13" t="s">
        <v>21</v>
      </c>
      <c r="D80" s="14">
        <v>1511159</v>
      </c>
      <c r="E80" s="15">
        <v>22230757</v>
      </c>
      <c r="F80" s="16">
        <v>347558</v>
      </c>
      <c r="G80" s="17"/>
      <c r="H80" s="18">
        <f>IFERROR(F80/E80,"-")</f>
        <v>1.5634105487276031E-2</v>
      </c>
      <c r="I80" s="18">
        <f>IFERROR(J80/F80,"-")</f>
        <v>8.1241116590612214E-2</v>
      </c>
      <c r="J80" s="19">
        <v>28236</v>
      </c>
      <c r="K80" s="20">
        <v>25296</v>
      </c>
      <c r="L80" s="17"/>
      <c r="M80" s="21">
        <f>IFERROR(K80/J80,"-")</f>
        <v>0.89587760305992348</v>
      </c>
      <c r="N80" s="22">
        <f>IFERROR(D80/K80,"-")</f>
        <v>59.739049652118915</v>
      </c>
      <c r="O80" s="23">
        <f>IFERROR(K80*$Q80,"-")</f>
        <v>5008608</v>
      </c>
      <c r="P80" s="24">
        <f>IFERROR(O80/D80,"-")</f>
        <v>3.3144149622905332</v>
      </c>
      <c r="Q80" s="25">
        <v>198</v>
      </c>
    </row>
    <row r="81" spans="2:17" x14ac:dyDescent="0.3">
      <c r="F81" s="26" t="s">
        <v>189</v>
      </c>
      <c r="G81" s="27"/>
      <c r="H81" s="28">
        <f>SUM(F77:F79)/SUM(E77:E79)</f>
        <v>9.8594338269520857E-3</v>
      </c>
      <c r="I81" s="28">
        <f>SUM(J77:J79)/SUM(F77:G79)</f>
        <v>6.1672361985689032E-2</v>
      </c>
      <c r="J81" s="29"/>
      <c r="K81" s="29"/>
      <c r="L81" s="29"/>
      <c r="M81" s="29"/>
      <c r="N81" s="30">
        <f>SUM(D77:D79)/SUM(K77:K79)</f>
        <v>202.41523376607924</v>
      </c>
    </row>
    <row r="82" spans="2:17" x14ac:dyDescent="0.3">
      <c r="E82" s="64" t="s">
        <v>195</v>
      </c>
      <c r="F82" s="26" t="s">
        <v>193</v>
      </c>
      <c r="G82" s="27"/>
      <c r="H82" s="28">
        <v>1.2219544426554299E-2</v>
      </c>
      <c r="I82" s="28">
        <v>4.4607909299500599E-2</v>
      </c>
      <c r="J82" s="29"/>
      <c r="K82" s="29"/>
      <c r="L82" s="29"/>
      <c r="M82" s="29"/>
      <c r="N82" s="30">
        <v>442.10895465026903</v>
      </c>
    </row>
    <row r="83" spans="2:17" x14ac:dyDescent="0.3">
      <c r="F83" s="26" t="s">
        <v>194</v>
      </c>
      <c r="G83" s="27"/>
      <c r="H83" s="28">
        <f>SUM(F77:F80)/SUM(E77:E80)</f>
        <v>1.0604639645870493E-2</v>
      </c>
      <c r="I83" s="28">
        <f>SUM(J77:J80)/SUM(F77:F80)</f>
        <v>6.5395329538444194E-2</v>
      </c>
      <c r="J83" s="29"/>
      <c r="K83" s="29"/>
      <c r="L83" s="29"/>
      <c r="M83" s="29"/>
      <c r="N83" s="30">
        <f>SUM(D77:D80)/SUM(K77:K80)</f>
        <v>169.40473599004875</v>
      </c>
    </row>
    <row r="84" spans="2:17" x14ac:dyDescent="0.3">
      <c r="B84" s="2"/>
      <c r="C84" s="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2:17" x14ac:dyDescent="0.3">
      <c r="B85" s="2"/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2:17" x14ac:dyDescent="0.3">
      <c r="B86" s="2"/>
      <c r="C86" s="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9810-5123-49EE-92BD-B85873C7817A}">
  <sheetPr>
    <pageSetUpPr autoPageBreaks="0"/>
  </sheetPr>
  <dimension ref="B2:AQ133"/>
  <sheetViews>
    <sheetView showGridLines="0" zoomScale="55" zoomScaleNormal="55" workbookViewId="0">
      <pane xSplit="7" ySplit="17" topLeftCell="H18" activePane="bottomRight" state="frozen"/>
      <selection pane="topRight" activeCell="H1" sqref="H1"/>
      <selection pane="bottomLeft" activeCell="A18" sqref="A18"/>
      <selection pane="bottomRight" activeCell="M65" sqref="M65"/>
    </sheetView>
  </sheetViews>
  <sheetFormatPr defaultColWidth="9.75" defaultRowHeight="16.5" x14ac:dyDescent="0.3"/>
  <cols>
    <col min="1" max="1" width="4.25" style="69" customWidth="1"/>
    <col min="2" max="2" width="15.08203125" style="69" customWidth="1"/>
    <col min="3" max="3" width="28" style="69" customWidth="1"/>
    <col min="4" max="4" width="23.75" style="71" customWidth="1"/>
    <col min="5" max="5" width="29.6640625" style="71" customWidth="1"/>
    <col min="6" max="8" width="22.9140625" style="71" customWidth="1"/>
    <col min="9" max="11" width="26.75" style="72" hidden="1" customWidth="1"/>
    <col min="12" max="12" width="26.75" style="73" customWidth="1"/>
    <col min="13" max="13" width="26.75" style="74" customWidth="1"/>
    <col min="14" max="14" width="26.75" style="73" customWidth="1"/>
    <col min="15" max="15" width="26.75" style="69" customWidth="1"/>
    <col min="16" max="17" width="26.75" style="75" customWidth="1"/>
    <col min="18" max="19" width="26.75" style="73" customWidth="1"/>
    <col min="20" max="20" width="26.75" style="69" hidden="1" customWidth="1"/>
    <col min="21" max="21" width="26.75" style="75" customWidth="1"/>
    <col min="22" max="24" width="26.75" style="73" customWidth="1"/>
    <col min="25" max="25" width="26.75" style="76" customWidth="1"/>
    <col min="26" max="29" width="26.75" style="73" customWidth="1"/>
    <col min="30" max="30" width="26.75" style="75" customWidth="1"/>
    <col min="31" max="33" width="26.75" style="73" customWidth="1"/>
    <col min="34" max="34" width="26.75" style="76" customWidth="1"/>
    <col min="35" max="35" width="26.75" style="73" customWidth="1"/>
    <col min="36" max="36" width="26.75" style="77" customWidth="1"/>
    <col min="37" max="39" width="22.08203125" style="78" customWidth="1"/>
    <col min="40" max="16384" width="9.75" style="69"/>
  </cols>
  <sheetData>
    <row r="2" spans="2:43" x14ac:dyDescent="0.3">
      <c r="C2" s="70" t="s">
        <v>38</v>
      </c>
    </row>
    <row r="3" spans="2:43" x14ac:dyDescent="0.3">
      <c r="C3" s="70" t="s">
        <v>98</v>
      </c>
    </row>
    <row r="4" spans="2:43" x14ac:dyDescent="0.3">
      <c r="C4" s="79" t="s">
        <v>68</v>
      </c>
    </row>
    <row r="5" spans="2:43" x14ac:dyDescent="0.3">
      <c r="C5" s="79" t="s">
        <v>69</v>
      </c>
    </row>
    <row r="6" spans="2:43" x14ac:dyDescent="0.3">
      <c r="C6" s="79"/>
    </row>
    <row r="7" spans="2:43" s="127" customFormat="1" ht="22.5" x14ac:dyDescent="0.3">
      <c r="C7" s="128" t="s">
        <v>196</v>
      </c>
      <c r="D7" s="129"/>
      <c r="E7" s="129"/>
      <c r="F7" s="129"/>
      <c r="G7" s="129"/>
      <c r="H7" s="129"/>
      <c r="I7" s="130"/>
      <c r="J7" s="131"/>
      <c r="K7" s="131"/>
      <c r="L7" s="131"/>
      <c r="M7" s="132"/>
      <c r="N7" s="131"/>
      <c r="O7" s="133"/>
      <c r="P7" s="133"/>
      <c r="Q7" s="133"/>
      <c r="R7" s="131"/>
      <c r="S7" s="131"/>
      <c r="U7" s="133"/>
      <c r="V7" s="131"/>
      <c r="W7" s="131"/>
      <c r="X7" s="131"/>
      <c r="Y7" s="134"/>
      <c r="Z7" s="131"/>
      <c r="AA7" s="131"/>
      <c r="AB7" s="131"/>
      <c r="AC7" s="131"/>
      <c r="AD7" s="133"/>
      <c r="AE7" s="131"/>
      <c r="AF7" s="131"/>
      <c r="AG7" s="131"/>
      <c r="AH7" s="134"/>
      <c r="AI7" s="131"/>
      <c r="AJ7" s="135"/>
      <c r="AK7" s="131"/>
      <c r="AL7" s="131"/>
      <c r="AM7" s="131"/>
    </row>
    <row r="8" spans="2:43" x14ac:dyDescent="0.3">
      <c r="C8" s="80" t="s">
        <v>39</v>
      </c>
      <c r="D8" s="81" t="s">
        <v>99</v>
      </c>
    </row>
    <row r="9" spans="2:43" x14ac:dyDescent="0.3">
      <c r="C9" s="82" t="s">
        <v>1</v>
      </c>
      <c r="D9" s="83" t="s">
        <v>100</v>
      </c>
    </row>
    <row r="10" spans="2:43" x14ac:dyDescent="0.3">
      <c r="C10" s="82"/>
      <c r="D10" s="83"/>
    </row>
    <row r="11" spans="2:43" x14ac:dyDescent="0.3">
      <c r="C11" s="82"/>
      <c r="D11" s="83"/>
    </row>
    <row r="12" spans="2:43" x14ac:dyDescent="0.3">
      <c r="C12" s="84"/>
      <c r="D12" s="85"/>
      <c r="Y12" s="136"/>
      <c r="AD12" s="73"/>
    </row>
    <row r="13" spans="2:43" x14ac:dyDescent="0.3">
      <c r="C13" s="137"/>
      <c r="Q13" s="136"/>
      <c r="R13" s="136"/>
      <c r="Y13" s="136"/>
      <c r="Z13" s="136"/>
      <c r="AC13" s="138" t="s">
        <v>101</v>
      </c>
    </row>
    <row r="14" spans="2:43" s="90" customFormat="1" x14ac:dyDescent="0.3">
      <c r="B14" s="285"/>
      <c r="C14" s="300" t="s">
        <v>40</v>
      </c>
      <c r="D14" s="313" t="s">
        <v>71</v>
      </c>
      <c r="E14" s="320" t="s">
        <v>72</v>
      </c>
      <c r="F14" s="323" t="s">
        <v>73</v>
      </c>
      <c r="G14" s="303" t="s">
        <v>41</v>
      </c>
      <c r="H14" s="306" t="s">
        <v>42</v>
      </c>
      <c r="I14" s="307"/>
      <c r="J14" s="307"/>
      <c r="K14" s="308"/>
      <c r="L14" s="300" t="s">
        <v>66</v>
      </c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10"/>
      <c r="Y14" s="300" t="s">
        <v>43</v>
      </c>
      <c r="Z14" s="309"/>
      <c r="AA14" s="309"/>
      <c r="AB14" s="309"/>
      <c r="AC14" s="309"/>
      <c r="AD14" s="309"/>
      <c r="AE14" s="309"/>
      <c r="AF14" s="310"/>
      <c r="AG14" s="285"/>
      <c r="AH14" s="139" t="s">
        <v>102</v>
      </c>
      <c r="AI14" s="139" t="s">
        <v>103</v>
      </c>
      <c r="AJ14" s="139" t="s">
        <v>104</v>
      </c>
      <c r="AK14" s="86"/>
      <c r="AL14" s="87"/>
      <c r="AM14" s="86"/>
      <c r="AN14" s="88"/>
      <c r="AO14" s="89"/>
      <c r="AP14" s="89"/>
      <c r="AQ14" s="89"/>
    </row>
    <row r="15" spans="2:43" s="90" customFormat="1" x14ac:dyDescent="0.3">
      <c r="B15" s="285"/>
      <c r="C15" s="301"/>
      <c r="D15" s="314"/>
      <c r="E15" s="321"/>
      <c r="F15" s="324"/>
      <c r="G15" s="304"/>
      <c r="H15" s="296" t="s">
        <v>44</v>
      </c>
      <c r="I15" s="297"/>
      <c r="J15" s="297"/>
      <c r="K15" s="298"/>
      <c r="L15" s="302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2"/>
      <c r="Y15" s="302"/>
      <c r="Z15" s="311"/>
      <c r="AA15" s="311"/>
      <c r="AB15" s="311"/>
      <c r="AC15" s="311"/>
      <c r="AD15" s="311"/>
      <c r="AE15" s="311"/>
      <c r="AF15" s="312"/>
      <c r="AG15" s="285"/>
      <c r="AH15" s="140"/>
      <c r="AI15" s="141"/>
      <c r="AJ15" s="142"/>
      <c r="AK15" s="86"/>
      <c r="AL15" s="87"/>
      <c r="AM15" s="86"/>
      <c r="AN15" s="88"/>
      <c r="AO15" s="89"/>
      <c r="AP15" s="89"/>
      <c r="AQ15" s="89"/>
    </row>
    <row r="16" spans="2:43" s="90" customFormat="1" x14ac:dyDescent="0.3">
      <c r="B16" s="285"/>
      <c r="C16" s="301"/>
      <c r="D16" s="314"/>
      <c r="E16" s="321"/>
      <c r="F16" s="324"/>
      <c r="G16" s="304"/>
      <c r="H16" s="299" t="s">
        <v>45</v>
      </c>
      <c r="I16" s="143" t="s">
        <v>46</v>
      </c>
      <c r="J16" s="143" t="s">
        <v>47</v>
      </c>
      <c r="K16" s="144" t="s">
        <v>48</v>
      </c>
      <c r="L16" s="299" t="s">
        <v>49</v>
      </c>
      <c r="M16" s="143" t="s">
        <v>50</v>
      </c>
      <c r="N16" s="289" t="s">
        <v>51</v>
      </c>
      <c r="O16" s="145" t="s">
        <v>52</v>
      </c>
      <c r="P16" s="143" t="s">
        <v>53</v>
      </c>
      <c r="Q16" s="289" t="s">
        <v>13</v>
      </c>
      <c r="R16" s="289" t="s">
        <v>14</v>
      </c>
      <c r="S16" s="143" t="s">
        <v>54</v>
      </c>
      <c r="T16" s="143" t="s">
        <v>31</v>
      </c>
      <c r="U16" s="143" t="s">
        <v>32</v>
      </c>
      <c r="V16" s="143" t="s">
        <v>33</v>
      </c>
      <c r="W16" s="146" t="s">
        <v>55</v>
      </c>
      <c r="X16" s="290" t="s">
        <v>27</v>
      </c>
      <c r="Y16" s="292" t="s">
        <v>28</v>
      </c>
      <c r="Z16" s="281" t="s">
        <v>29</v>
      </c>
      <c r="AA16" s="294" t="s">
        <v>30</v>
      </c>
      <c r="AB16" s="281" t="s">
        <v>31</v>
      </c>
      <c r="AC16" s="281" t="s">
        <v>32</v>
      </c>
      <c r="AD16" s="281" t="s">
        <v>33</v>
      </c>
      <c r="AE16" s="281" t="s">
        <v>34</v>
      </c>
      <c r="AF16" s="283" t="s">
        <v>70</v>
      </c>
      <c r="AG16" s="285"/>
      <c r="AH16" s="147"/>
      <c r="AI16" s="142"/>
      <c r="AJ16" s="147"/>
      <c r="AK16" s="86"/>
      <c r="AL16" s="87"/>
      <c r="AM16" s="86"/>
      <c r="AN16" s="88"/>
      <c r="AO16" s="89"/>
      <c r="AP16" s="89"/>
      <c r="AQ16" s="89"/>
    </row>
    <row r="17" spans="2:43" s="90" customFormat="1" x14ac:dyDescent="0.3">
      <c r="B17" s="285"/>
      <c r="C17" s="302"/>
      <c r="D17" s="315"/>
      <c r="E17" s="322"/>
      <c r="F17" s="325"/>
      <c r="G17" s="305"/>
      <c r="H17" s="293"/>
      <c r="I17" s="148" t="s">
        <v>56</v>
      </c>
      <c r="J17" s="148" t="s">
        <v>56</v>
      </c>
      <c r="K17" s="149" t="s">
        <v>57</v>
      </c>
      <c r="L17" s="293"/>
      <c r="M17" s="148" t="s">
        <v>58</v>
      </c>
      <c r="N17" s="282"/>
      <c r="O17" s="148" t="s">
        <v>59</v>
      </c>
      <c r="P17" s="148" t="s">
        <v>60</v>
      </c>
      <c r="Q17" s="282"/>
      <c r="R17" s="282"/>
      <c r="S17" s="148" t="s">
        <v>61</v>
      </c>
      <c r="T17" s="148" t="s">
        <v>62</v>
      </c>
      <c r="U17" s="148" t="s">
        <v>63</v>
      </c>
      <c r="V17" s="148" t="s">
        <v>64</v>
      </c>
      <c r="W17" s="150" t="s">
        <v>65</v>
      </c>
      <c r="X17" s="291"/>
      <c r="Y17" s="293"/>
      <c r="Z17" s="282"/>
      <c r="AA17" s="295"/>
      <c r="AB17" s="282"/>
      <c r="AC17" s="282"/>
      <c r="AD17" s="282"/>
      <c r="AE17" s="282"/>
      <c r="AF17" s="284"/>
      <c r="AG17" s="285"/>
      <c r="AH17" s="147"/>
      <c r="AI17" s="142"/>
      <c r="AJ17" s="147"/>
      <c r="AK17" s="86"/>
      <c r="AL17" s="87"/>
      <c r="AM17" s="86"/>
      <c r="AN17" s="88"/>
      <c r="AO17" s="89"/>
      <c r="AP17" s="89"/>
      <c r="AQ17" s="89"/>
    </row>
    <row r="18" spans="2:43" s="90" customFormat="1" x14ac:dyDescent="0.45">
      <c r="B18" s="118"/>
      <c r="C18" s="151" t="s">
        <v>105</v>
      </c>
      <c r="D18" s="152" t="s">
        <v>106</v>
      </c>
      <c r="E18" s="152" t="s">
        <v>107</v>
      </c>
      <c r="F18" s="152" t="s">
        <v>108</v>
      </c>
      <c r="G18" s="153" t="s">
        <v>197</v>
      </c>
      <c r="H18" s="154">
        <f>SUM(I18:K18)</f>
        <v>2350234.2199999997</v>
      </c>
      <c r="I18" s="155">
        <v>519374.22</v>
      </c>
      <c r="J18" s="156">
        <v>0</v>
      </c>
      <c r="K18" s="157">
        <v>1830860</v>
      </c>
      <c r="L18" s="158">
        <v>31270997</v>
      </c>
      <c r="M18" s="159">
        <f>H18/L18</f>
        <v>7.5156996753253491E-2</v>
      </c>
      <c r="N18" s="155">
        <v>635696</v>
      </c>
      <c r="O18" s="160">
        <f t="shared" ref="O18:O22" si="0">N18/L18</f>
        <v>2.032861312352785E-2</v>
      </c>
      <c r="P18" s="160">
        <f t="shared" ref="P18" si="1">Q18/N18</f>
        <v>6.5759419596788396E-2</v>
      </c>
      <c r="Q18" s="155">
        <v>41803</v>
      </c>
      <c r="R18" s="155">
        <v>38432</v>
      </c>
      <c r="S18" s="160">
        <f t="shared" ref="S18:S22" si="2">R18/Q18</f>
        <v>0.91935985455589309</v>
      </c>
      <c r="T18" s="161">
        <f>H18/Q18</f>
        <v>56.22166399540702</v>
      </c>
      <c r="U18" s="162">
        <f>H18/R18</f>
        <v>61.153055266444625</v>
      </c>
      <c r="V18" s="155">
        <f>R18*X$18</f>
        <v>38086112</v>
      </c>
      <c r="W18" s="161">
        <f>V18/H18</f>
        <v>16.205241024871132</v>
      </c>
      <c r="X18" s="286">
        <v>991</v>
      </c>
      <c r="Y18" s="154">
        <v>6355</v>
      </c>
      <c r="Z18" s="162">
        <v>5953</v>
      </c>
      <c r="AA18" s="160">
        <f>Z18/Y18</f>
        <v>0.93674272226593236</v>
      </c>
      <c r="AB18" s="162">
        <f>H18/Y18</f>
        <v>369.82442486231309</v>
      </c>
      <c r="AC18" s="162">
        <f>H18/Z18</f>
        <v>394.79828993784645</v>
      </c>
      <c r="AD18" s="162">
        <f>Z18*AF18</f>
        <v>2297858</v>
      </c>
      <c r="AE18" s="161">
        <f>AD18/H18</f>
        <v>0.97771446796481432</v>
      </c>
      <c r="AF18" s="163">
        <v>386</v>
      </c>
      <c r="AG18" s="118"/>
      <c r="AH18" s="147">
        <v>1830860</v>
      </c>
      <c r="AI18" s="142">
        <v>519374.22</v>
      </c>
      <c r="AJ18" s="147">
        <v>0</v>
      </c>
      <c r="AK18" s="86"/>
      <c r="AL18" s="87"/>
      <c r="AM18" s="86"/>
      <c r="AN18" s="88"/>
      <c r="AO18" s="89"/>
      <c r="AP18" s="89"/>
      <c r="AQ18" s="89"/>
    </row>
    <row r="19" spans="2:43" s="90" customFormat="1" x14ac:dyDescent="0.45">
      <c r="B19" s="118"/>
      <c r="C19" s="151" t="s">
        <v>109</v>
      </c>
      <c r="D19" s="152" t="s">
        <v>84</v>
      </c>
      <c r="E19" s="152" t="s">
        <v>198</v>
      </c>
      <c r="F19" s="152" t="s">
        <v>89</v>
      </c>
      <c r="G19" s="153" t="s">
        <v>199</v>
      </c>
      <c r="H19" s="154">
        <f>SUM(I19:K19)</f>
        <v>3861268.55</v>
      </c>
      <c r="I19" s="155">
        <v>681126.55</v>
      </c>
      <c r="J19" s="156">
        <v>0</v>
      </c>
      <c r="K19" s="157">
        <v>3180142</v>
      </c>
      <c r="L19" s="158">
        <v>26170624</v>
      </c>
      <c r="M19" s="159">
        <f>H19/L19</f>
        <v>0.1475420895581244</v>
      </c>
      <c r="N19" s="155">
        <v>459345</v>
      </c>
      <c r="O19" s="160">
        <f t="shared" si="0"/>
        <v>1.7551931509160807E-2</v>
      </c>
      <c r="P19" s="160">
        <f>Q19/N19</f>
        <v>6.6100643307318033E-2</v>
      </c>
      <c r="Q19" s="155">
        <v>30363</v>
      </c>
      <c r="R19" s="155">
        <v>26595</v>
      </c>
      <c r="S19" s="160">
        <f t="shared" si="2"/>
        <v>0.87590159075190199</v>
      </c>
      <c r="T19" s="162">
        <f>H19/Q19</f>
        <v>127.1701923393604</v>
      </c>
      <c r="U19" s="162">
        <f>H19/R19</f>
        <v>145.18776273735665</v>
      </c>
      <c r="V19" s="155">
        <f t="shared" ref="V19:V20" si="3">R19*X$18</f>
        <v>26355645</v>
      </c>
      <c r="W19" s="161">
        <f>V19/H19</f>
        <v>6.8256441267209969</v>
      </c>
      <c r="X19" s="287"/>
      <c r="Y19" s="154">
        <v>614</v>
      </c>
      <c r="Z19" s="162">
        <v>416</v>
      </c>
      <c r="AA19" s="160">
        <f>Z19/Y19</f>
        <v>0.67752442996742668</v>
      </c>
      <c r="AB19" s="162">
        <f>H19/Y19</f>
        <v>6288.7109934853415</v>
      </c>
      <c r="AC19" s="162">
        <f>H19/Z19</f>
        <v>9281.8955528846145</v>
      </c>
      <c r="AD19" s="162">
        <f>Z19*AF19</f>
        <v>923520</v>
      </c>
      <c r="AE19" s="161">
        <f>AD19/H19</f>
        <v>0.23917528346998812</v>
      </c>
      <c r="AF19" s="163">
        <v>2220</v>
      </c>
      <c r="AG19" s="164"/>
      <c r="AH19" s="147">
        <v>3180142</v>
      </c>
      <c r="AI19" s="142">
        <v>681126.55</v>
      </c>
      <c r="AJ19" s="147">
        <v>0</v>
      </c>
      <c r="AK19" s="86"/>
      <c r="AL19" s="87"/>
      <c r="AM19" s="86"/>
      <c r="AN19" s="88"/>
      <c r="AO19" s="89"/>
      <c r="AP19" s="89"/>
      <c r="AQ19" s="89"/>
    </row>
    <row r="20" spans="2:43" s="90" customFormat="1" x14ac:dyDescent="0.45">
      <c r="B20" s="118"/>
      <c r="C20" s="151" t="s">
        <v>110</v>
      </c>
      <c r="D20" s="152" t="s">
        <v>84</v>
      </c>
      <c r="E20" s="152" t="s">
        <v>111</v>
      </c>
      <c r="F20" s="152" t="s">
        <v>89</v>
      </c>
      <c r="G20" s="153" t="s">
        <v>200</v>
      </c>
      <c r="H20" s="154">
        <f>SUM(I20:K20)</f>
        <v>9812723</v>
      </c>
      <c r="I20" s="155">
        <v>1471951</v>
      </c>
      <c r="J20" s="156">
        <v>2756000</v>
      </c>
      <c r="K20" s="157">
        <v>5584772</v>
      </c>
      <c r="L20" s="158">
        <v>58908037</v>
      </c>
      <c r="M20" s="159">
        <f>H20/L20</f>
        <v>0.1665769816773898</v>
      </c>
      <c r="N20" s="155">
        <v>793710</v>
      </c>
      <c r="O20" s="160">
        <f t="shared" si="0"/>
        <v>1.3473713272774647E-2</v>
      </c>
      <c r="P20" s="160">
        <f t="shared" ref="P20:P22" si="4">Q20/N20</f>
        <v>5.641355154905444E-2</v>
      </c>
      <c r="Q20" s="155">
        <v>44776</v>
      </c>
      <c r="R20" s="155">
        <v>39526</v>
      </c>
      <c r="S20" s="160">
        <f t="shared" si="2"/>
        <v>0.88274968733249959</v>
      </c>
      <c r="T20" s="162">
        <f>H20/Q20</f>
        <v>219.15139807039486</v>
      </c>
      <c r="U20" s="162">
        <f>H20/R20</f>
        <v>248.25995547234731</v>
      </c>
      <c r="V20" s="155">
        <f t="shared" si="3"/>
        <v>39170266</v>
      </c>
      <c r="W20" s="161">
        <f>V20/H20</f>
        <v>3.9917835243081865</v>
      </c>
      <c r="X20" s="287"/>
      <c r="Y20" s="154">
        <v>4561</v>
      </c>
      <c r="Z20" s="162">
        <v>3959</v>
      </c>
      <c r="AA20" s="160">
        <f>Z20/Y20</f>
        <v>0.86801140100855079</v>
      </c>
      <c r="AB20" s="162">
        <f>H20/Y20</f>
        <v>2151.4411313308483</v>
      </c>
      <c r="AC20" s="162">
        <f>H20/Z20</f>
        <v>2478.5862591563528</v>
      </c>
      <c r="AD20" s="162">
        <f>Z20*AF20</f>
        <v>5495092</v>
      </c>
      <c r="AE20" s="161">
        <f>AD20/H20</f>
        <v>0.55999664924812409</v>
      </c>
      <c r="AF20" s="163">
        <v>1388</v>
      </c>
      <c r="AG20" s="164"/>
      <c r="AH20" s="147">
        <v>5584772</v>
      </c>
      <c r="AI20" s="142">
        <v>1471951</v>
      </c>
      <c r="AJ20" s="147">
        <v>2756000</v>
      </c>
      <c r="AK20" s="86"/>
      <c r="AL20" s="87"/>
      <c r="AM20" s="86"/>
      <c r="AN20" s="88"/>
      <c r="AO20" s="89"/>
      <c r="AP20" s="89"/>
      <c r="AQ20" s="89"/>
    </row>
    <row r="21" spans="2:43" s="183" customFormat="1" x14ac:dyDescent="0.45">
      <c r="B21" s="165"/>
      <c r="C21" s="166"/>
      <c r="D21" s="167"/>
      <c r="E21" s="167"/>
      <c r="F21" s="167"/>
      <c r="G21" s="168" t="s">
        <v>112</v>
      </c>
      <c r="H21" s="169">
        <f>SUM(H18:H20)</f>
        <v>16024225.77</v>
      </c>
      <c r="I21" s="170">
        <f>SUM(I18:I20)</f>
        <v>2672451.77</v>
      </c>
      <c r="J21" s="170">
        <f>SUM(J18:J20)</f>
        <v>2756000</v>
      </c>
      <c r="K21" s="171">
        <f>SUM(K18:K20)</f>
        <v>10595774</v>
      </c>
      <c r="L21" s="172">
        <f>SUM(L18:L20)</f>
        <v>116349658</v>
      </c>
      <c r="M21" s="173">
        <f>H21/L21</f>
        <v>0.13772473460987741</v>
      </c>
      <c r="N21" s="170">
        <f>SUM(N18:N20)</f>
        <v>1888751</v>
      </c>
      <c r="O21" s="174">
        <f t="shared" si="0"/>
        <v>1.6233403969266501E-2</v>
      </c>
      <c r="P21" s="174">
        <f t="shared" si="4"/>
        <v>6.1914990382533217E-2</v>
      </c>
      <c r="Q21" s="170">
        <f>SUM(Q18:Q20)</f>
        <v>116942</v>
      </c>
      <c r="R21" s="170">
        <f>SUM(R18:R20)</f>
        <v>104553</v>
      </c>
      <c r="S21" s="174">
        <f t="shared" si="2"/>
        <v>0.89405859314874037</v>
      </c>
      <c r="T21" s="175">
        <f>H21/Q21</f>
        <v>137.02712259068599</v>
      </c>
      <c r="U21" s="175">
        <f>H21/R21</f>
        <v>153.26414134458122</v>
      </c>
      <c r="V21" s="170">
        <f>R21*X$18</f>
        <v>103612023</v>
      </c>
      <c r="W21" s="176">
        <f>V21/H21</f>
        <v>6.4659612568601501</v>
      </c>
      <c r="X21" s="288"/>
      <c r="Y21" s="177">
        <f>SUM(Y18:Y20)</f>
        <v>11530</v>
      </c>
      <c r="Z21" s="175">
        <f>SUM(Z18:Z20)</f>
        <v>10328</v>
      </c>
      <c r="AA21" s="174">
        <f>Z21/Y21</f>
        <v>0.89575021682567213</v>
      </c>
      <c r="AB21" s="175">
        <f>H21/Y21</f>
        <v>1389.7854093668691</v>
      </c>
      <c r="AC21" s="175">
        <f>H21/Z21</f>
        <v>1551.5323170023237</v>
      </c>
      <c r="AD21" s="175">
        <f>Z21*AF21</f>
        <v>10235048</v>
      </c>
      <c r="AE21" s="178">
        <f>AD21/H21</f>
        <v>0.63872340211042844</v>
      </c>
      <c r="AF21" s="171">
        <f>X18</f>
        <v>991</v>
      </c>
      <c r="AG21" s="165"/>
      <c r="AH21" s="165"/>
      <c r="AI21" s="165"/>
      <c r="AJ21" s="165"/>
      <c r="AK21" s="179"/>
      <c r="AL21" s="180"/>
      <c r="AM21" s="179"/>
      <c r="AN21" s="181"/>
      <c r="AO21" s="182"/>
      <c r="AP21" s="182"/>
      <c r="AQ21" s="182"/>
    </row>
    <row r="22" spans="2:43" s="91" customFormat="1" x14ac:dyDescent="0.3">
      <c r="G22" s="184" t="s">
        <v>113</v>
      </c>
      <c r="H22" s="184"/>
      <c r="I22" s="184"/>
      <c r="J22" s="184"/>
      <c r="K22" s="184"/>
      <c r="L22" s="185">
        <v>91689542</v>
      </c>
      <c r="M22" s="186">
        <f>H21/L22</f>
        <v>0.17476612294562449</v>
      </c>
      <c r="N22" s="185">
        <v>1207065</v>
      </c>
      <c r="O22" s="187">
        <f t="shared" si="0"/>
        <v>1.3164696580118155E-2</v>
      </c>
      <c r="P22" s="187">
        <f t="shared" si="4"/>
        <v>6.6728800851652559E-2</v>
      </c>
      <c r="Q22" s="185">
        <v>80546</v>
      </c>
      <c r="R22" s="185">
        <v>70527</v>
      </c>
      <c r="S22" s="187">
        <f t="shared" si="2"/>
        <v>0.87561145184118394</v>
      </c>
      <c r="T22" s="188">
        <f>H21/Q22</f>
        <v>198.94502234747844</v>
      </c>
      <c r="U22" s="188">
        <f>H21/R22</f>
        <v>227.20696711897571</v>
      </c>
      <c r="V22" s="185">
        <f>R22*X$18</f>
        <v>69892257</v>
      </c>
      <c r="W22" s="189">
        <f>V22/H21</f>
        <v>4.3616620236872761</v>
      </c>
      <c r="X22" s="190"/>
      <c r="Y22" s="191"/>
      <c r="Z22" s="191"/>
      <c r="AA22" s="191"/>
      <c r="AB22" s="192"/>
      <c r="AC22" s="191"/>
      <c r="AD22" s="191"/>
      <c r="AE22" s="191"/>
      <c r="AF22" s="191"/>
      <c r="AG22" s="193"/>
      <c r="AH22" s="193"/>
      <c r="AI22" s="193"/>
      <c r="AJ22" s="193"/>
      <c r="AK22" s="194"/>
      <c r="AL22" s="195"/>
      <c r="AM22" s="196"/>
      <c r="AN22" s="197"/>
      <c r="AO22" s="197"/>
      <c r="AP22" s="197"/>
    </row>
    <row r="23" spans="2:43" s="91" customFormat="1" x14ac:dyDescent="0.3">
      <c r="D23" s="71"/>
      <c r="E23" s="71"/>
      <c r="F23" s="71"/>
      <c r="G23" s="71"/>
      <c r="H23" s="71"/>
      <c r="I23" s="72"/>
      <c r="J23" s="72"/>
      <c r="K23" s="72"/>
      <c r="L23" s="73"/>
      <c r="M23" s="74"/>
      <c r="N23" s="73"/>
      <c r="O23" s="92"/>
      <c r="P23" s="75"/>
      <c r="Q23" s="75"/>
      <c r="R23" s="73"/>
      <c r="S23" s="73"/>
      <c r="T23" s="69"/>
      <c r="U23" s="75"/>
      <c r="V23" s="73"/>
      <c r="W23" s="73"/>
      <c r="X23" s="73"/>
      <c r="Y23" s="76"/>
      <c r="Z23" s="73"/>
      <c r="AA23" s="73"/>
      <c r="AB23" s="73"/>
      <c r="AC23" s="73"/>
      <c r="AD23" s="75"/>
      <c r="AE23" s="75"/>
      <c r="AF23" s="75"/>
      <c r="AG23" s="75"/>
      <c r="AH23" s="76"/>
      <c r="AI23" s="73"/>
      <c r="AJ23" s="77"/>
      <c r="AK23" s="78"/>
      <c r="AL23" s="78"/>
      <c r="AM23" s="78"/>
    </row>
    <row r="24" spans="2:43" s="91" customFormat="1" x14ac:dyDescent="0.3">
      <c r="D24" s="71"/>
      <c r="E24" s="71"/>
      <c r="F24" s="71"/>
      <c r="G24" s="71"/>
      <c r="H24" s="71"/>
      <c r="I24" s="72"/>
      <c r="J24" s="72"/>
      <c r="K24" s="72"/>
      <c r="L24" s="73"/>
      <c r="M24" s="74"/>
      <c r="N24" s="73"/>
      <c r="O24" s="69"/>
      <c r="P24" s="75"/>
      <c r="Q24" s="75"/>
      <c r="R24" s="73"/>
      <c r="S24" s="73"/>
      <c r="T24" s="69"/>
      <c r="U24" s="75"/>
      <c r="V24" s="73"/>
      <c r="W24" s="73"/>
      <c r="X24" s="73"/>
      <c r="Y24" s="76"/>
      <c r="Z24" s="73"/>
      <c r="AA24" s="73"/>
      <c r="AB24" s="73"/>
      <c r="AC24" s="73"/>
      <c r="AD24" s="75"/>
      <c r="AE24" s="75"/>
      <c r="AF24" s="75"/>
      <c r="AG24" s="75"/>
      <c r="AH24" s="76"/>
      <c r="AI24" s="73"/>
      <c r="AJ24" s="77"/>
      <c r="AK24" s="78"/>
      <c r="AL24" s="78"/>
      <c r="AM24" s="78"/>
    </row>
    <row r="25" spans="2:43" s="91" customFormat="1" x14ac:dyDescent="0.3">
      <c r="D25" s="71"/>
      <c r="E25" s="71"/>
      <c r="F25" s="71"/>
      <c r="G25" s="71"/>
      <c r="H25" s="71"/>
      <c r="I25" s="72"/>
      <c r="J25" s="72"/>
      <c r="K25" s="72"/>
      <c r="L25" s="73"/>
      <c r="M25" s="74"/>
      <c r="N25" s="73"/>
      <c r="O25" s="69"/>
      <c r="P25" s="75"/>
      <c r="Q25" s="75"/>
      <c r="R25" s="73"/>
      <c r="S25" s="73"/>
      <c r="T25" s="69"/>
      <c r="U25" s="75"/>
      <c r="V25" s="73"/>
      <c r="W25" s="73"/>
      <c r="X25" s="73"/>
      <c r="Y25" s="76"/>
      <c r="Z25" s="73"/>
      <c r="AA25" s="73"/>
      <c r="AB25" s="73"/>
      <c r="AC25" s="73"/>
      <c r="AD25" s="75"/>
      <c r="AE25" s="75"/>
      <c r="AF25" s="75"/>
      <c r="AG25" s="75"/>
      <c r="AH25" s="76"/>
      <c r="AI25" s="73"/>
      <c r="AJ25" s="77"/>
      <c r="AK25" s="78"/>
      <c r="AL25" s="78"/>
      <c r="AM25" s="78"/>
    </row>
    <row r="26" spans="2:43" s="91" customFormat="1" x14ac:dyDescent="0.3">
      <c r="D26" s="71"/>
      <c r="E26" s="71"/>
      <c r="F26" s="71"/>
      <c r="G26" s="71"/>
      <c r="H26" s="71"/>
      <c r="I26" s="72"/>
      <c r="J26" s="72"/>
      <c r="K26" s="72"/>
      <c r="L26" s="73"/>
      <c r="M26" s="74"/>
      <c r="N26" s="73"/>
      <c r="O26" s="69"/>
      <c r="P26" s="75"/>
      <c r="Q26" s="75"/>
      <c r="R26" s="73"/>
      <c r="S26" s="73"/>
      <c r="T26" s="69"/>
      <c r="U26" s="75"/>
      <c r="V26" s="73"/>
      <c r="W26" s="73"/>
      <c r="X26" s="73"/>
      <c r="Y26" s="76"/>
      <c r="Z26" s="73"/>
      <c r="AA26" s="73"/>
      <c r="AB26" s="73"/>
      <c r="AC26" s="73"/>
      <c r="AD26" s="75"/>
      <c r="AE26" s="73"/>
      <c r="AF26" s="73"/>
      <c r="AG26" s="73"/>
      <c r="AH26" s="76"/>
      <c r="AI26" s="73"/>
      <c r="AJ26" s="77"/>
      <c r="AK26" s="78"/>
      <c r="AL26" s="78"/>
      <c r="AM26" s="78"/>
    </row>
    <row r="27" spans="2:43" s="91" customFormat="1" x14ac:dyDescent="0.3">
      <c r="C27" s="79"/>
      <c r="D27" s="71"/>
      <c r="E27" s="71"/>
      <c r="F27" s="71"/>
      <c r="G27" s="71"/>
      <c r="H27" s="71"/>
      <c r="I27" s="72"/>
      <c r="J27" s="72"/>
      <c r="K27" s="72"/>
      <c r="L27" s="73"/>
      <c r="M27" s="74"/>
      <c r="N27" s="73"/>
      <c r="O27" s="69"/>
      <c r="P27" s="75"/>
      <c r="Q27" s="75"/>
      <c r="R27" s="73"/>
      <c r="S27" s="73"/>
      <c r="T27" s="69"/>
      <c r="U27" s="75"/>
      <c r="V27" s="73"/>
      <c r="W27" s="73"/>
      <c r="X27" s="73"/>
      <c r="Y27" s="76"/>
      <c r="Z27" s="73"/>
      <c r="AA27" s="73"/>
      <c r="AB27" s="73"/>
      <c r="AC27" s="73"/>
      <c r="AD27" s="75"/>
      <c r="AE27" s="73"/>
      <c r="AF27" s="73"/>
      <c r="AG27" s="73"/>
      <c r="AH27" s="76"/>
      <c r="AI27" s="73"/>
      <c r="AJ27" s="77"/>
      <c r="AK27" s="78"/>
      <c r="AL27" s="78"/>
      <c r="AM27" s="78"/>
    </row>
    <row r="28" spans="2:43" x14ac:dyDescent="0.3">
      <c r="C28" s="79"/>
    </row>
    <row r="29" spans="2:43" s="127" customFormat="1" ht="22.5" x14ac:dyDescent="0.3">
      <c r="C29" s="128" t="s">
        <v>201</v>
      </c>
      <c r="D29" s="129"/>
      <c r="E29" s="129"/>
      <c r="F29" s="129"/>
      <c r="G29" s="129"/>
      <c r="H29" s="129"/>
      <c r="I29" s="130"/>
      <c r="J29" s="131"/>
      <c r="K29" s="131"/>
      <c r="L29" s="131"/>
      <c r="M29" s="132"/>
      <c r="N29" s="131"/>
      <c r="O29" s="133"/>
      <c r="P29" s="133"/>
      <c r="Q29" s="133"/>
      <c r="R29" s="131"/>
      <c r="S29" s="131"/>
      <c r="U29" s="133"/>
      <c r="V29" s="131"/>
      <c r="W29" s="131"/>
      <c r="X29" s="131"/>
      <c r="Y29" s="134"/>
      <c r="Z29" s="131"/>
      <c r="AA29" s="131"/>
      <c r="AB29" s="131"/>
      <c r="AC29" s="131"/>
      <c r="AD29" s="133"/>
      <c r="AE29" s="131"/>
      <c r="AF29" s="131"/>
      <c r="AG29" s="131"/>
      <c r="AH29" s="134"/>
      <c r="AI29" s="131"/>
      <c r="AJ29" s="135"/>
      <c r="AK29" s="131"/>
      <c r="AL29" s="131"/>
      <c r="AM29" s="131"/>
    </row>
    <row r="30" spans="2:43" x14ac:dyDescent="0.3">
      <c r="C30" s="80" t="s">
        <v>39</v>
      </c>
      <c r="D30" s="81" t="s">
        <v>114</v>
      </c>
    </row>
    <row r="31" spans="2:43" x14ac:dyDescent="0.3">
      <c r="C31" s="82" t="s">
        <v>1</v>
      </c>
      <c r="D31" s="83" t="s">
        <v>202</v>
      </c>
    </row>
    <row r="32" spans="2:43" x14ac:dyDescent="0.3">
      <c r="C32" s="82"/>
      <c r="D32" s="83"/>
    </row>
    <row r="33" spans="2:43" x14ac:dyDescent="0.3">
      <c r="C33" s="82"/>
      <c r="D33" s="83"/>
    </row>
    <row r="34" spans="2:43" x14ac:dyDescent="0.3">
      <c r="C34" s="84"/>
      <c r="D34" s="85"/>
      <c r="AD34" s="73"/>
    </row>
    <row r="35" spans="2:43" x14ac:dyDescent="0.3">
      <c r="C35" s="137" t="s">
        <v>203</v>
      </c>
      <c r="AC35" s="138" t="s">
        <v>101</v>
      </c>
    </row>
    <row r="36" spans="2:43" s="90" customFormat="1" x14ac:dyDescent="0.3">
      <c r="B36" s="285"/>
      <c r="C36" s="300" t="s">
        <v>40</v>
      </c>
      <c r="D36" s="313" t="s">
        <v>71</v>
      </c>
      <c r="E36" s="307" t="s">
        <v>72</v>
      </c>
      <c r="F36" s="317" t="s">
        <v>73</v>
      </c>
      <c r="G36" s="303" t="s">
        <v>41</v>
      </c>
      <c r="H36" s="306" t="s">
        <v>42</v>
      </c>
      <c r="I36" s="307"/>
      <c r="J36" s="307"/>
      <c r="K36" s="308"/>
      <c r="L36" s="300" t="s">
        <v>66</v>
      </c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10"/>
      <c r="Y36" s="300" t="s">
        <v>43</v>
      </c>
      <c r="Z36" s="309"/>
      <c r="AA36" s="309"/>
      <c r="AB36" s="309"/>
      <c r="AC36" s="309"/>
      <c r="AD36" s="309"/>
      <c r="AE36" s="309"/>
      <c r="AF36" s="310"/>
      <c r="AG36" s="285"/>
      <c r="AH36" s="139" t="s">
        <v>102</v>
      </c>
      <c r="AI36" s="139" t="s">
        <v>103</v>
      </c>
      <c r="AJ36" s="139" t="s">
        <v>104</v>
      </c>
      <c r="AK36" s="86"/>
      <c r="AL36" s="87"/>
      <c r="AM36" s="86"/>
      <c r="AN36" s="88"/>
      <c r="AO36" s="89"/>
      <c r="AP36" s="89"/>
      <c r="AQ36" s="89"/>
    </row>
    <row r="37" spans="2:43" s="90" customFormat="1" x14ac:dyDescent="0.3">
      <c r="B37" s="285"/>
      <c r="C37" s="301"/>
      <c r="D37" s="314"/>
      <c r="E37" s="316"/>
      <c r="F37" s="318"/>
      <c r="G37" s="304"/>
      <c r="H37" s="296" t="s">
        <v>44</v>
      </c>
      <c r="I37" s="297"/>
      <c r="J37" s="297"/>
      <c r="K37" s="298"/>
      <c r="L37" s="302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2"/>
      <c r="Y37" s="302"/>
      <c r="Z37" s="311"/>
      <c r="AA37" s="311"/>
      <c r="AB37" s="311"/>
      <c r="AC37" s="311"/>
      <c r="AD37" s="311"/>
      <c r="AE37" s="311"/>
      <c r="AF37" s="312"/>
      <c r="AG37" s="285"/>
      <c r="AH37" s="140"/>
      <c r="AI37" s="141"/>
      <c r="AJ37" s="142"/>
      <c r="AK37" s="86"/>
      <c r="AL37" s="87"/>
      <c r="AM37" s="86"/>
      <c r="AN37" s="88"/>
      <c r="AO37" s="89"/>
      <c r="AP37" s="89"/>
      <c r="AQ37" s="89"/>
    </row>
    <row r="38" spans="2:43" s="90" customFormat="1" x14ac:dyDescent="0.3">
      <c r="B38" s="285"/>
      <c r="C38" s="301"/>
      <c r="D38" s="314"/>
      <c r="E38" s="316"/>
      <c r="F38" s="318"/>
      <c r="G38" s="304"/>
      <c r="H38" s="299" t="s">
        <v>45</v>
      </c>
      <c r="I38" s="143" t="s">
        <v>46</v>
      </c>
      <c r="J38" s="143" t="s">
        <v>47</v>
      </c>
      <c r="K38" s="144" t="s">
        <v>48</v>
      </c>
      <c r="L38" s="299" t="s">
        <v>49</v>
      </c>
      <c r="M38" s="143" t="s">
        <v>50</v>
      </c>
      <c r="N38" s="289" t="s">
        <v>51</v>
      </c>
      <c r="O38" s="145" t="s">
        <v>52</v>
      </c>
      <c r="P38" s="143" t="s">
        <v>53</v>
      </c>
      <c r="Q38" s="289" t="s">
        <v>13</v>
      </c>
      <c r="R38" s="289" t="s">
        <v>14</v>
      </c>
      <c r="S38" s="143" t="s">
        <v>54</v>
      </c>
      <c r="T38" s="143" t="s">
        <v>31</v>
      </c>
      <c r="U38" s="143" t="s">
        <v>32</v>
      </c>
      <c r="V38" s="143" t="s">
        <v>33</v>
      </c>
      <c r="W38" s="146" t="s">
        <v>55</v>
      </c>
      <c r="X38" s="290" t="s">
        <v>27</v>
      </c>
      <c r="Y38" s="292" t="s">
        <v>28</v>
      </c>
      <c r="Z38" s="281" t="s">
        <v>29</v>
      </c>
      <c r="AA38" s="294" t="s">
        <v>30</v>
      </c>
      <c r="AB38" s="281" t="s">
        <v>31</v>
      </c>
      <c r="AC38" s="281" t="s">
        <v>32</v>
      </c>
      <c r="AD38" s="281" t="s">
        <v>33</v>
      </c>
      <c r="AE38" s="281" t="s">
        <v>34</v>
      </c>
      <c r="AF38" s="283" t="s">
        <v>70</v>
      </c>
      <c r="AG38" s="285"/>
      <c r="AH38" s="147"/>
      <c r="AI38" s="142"/>
      <c r="AJ38" s="147"/>
      <c r="AK38" s="86"/>
      <c r="AL38" s="87"/>
      <c r="AM38" s="86"/>
      <c r="AN38" s="88"/>
      <c r="AO38" s="89"/>
      <c r="AP38" s="89"/>
      <c r="AQ38" s="89"/>
    </row>
    <row r="39" spans="2:43" s="90" customFormat="1" x14ac:dyDescent="0.3">
      <c r="B39" s="285"/>
      <c r="C39" s="302"/>
      <c r="D39" s="315"/>
      <c r="E39" s="297"/>
      <c r="F39" s="319"/>
      <c r="G39" s="305"/>
      <c r="H39" s="293"/>
      <c r="I39" s="148" t="s">
        <v>56</v>
      </c>
      <c r="J39" s="148" t="s">
        <v>56</v>
      </c>
      <c r="K39" s="149" t="s">
        <v>57</v>
      </c>
      <c r="L39" s="293"/>
      <c r="M39" s="148" t="s">
        <v>58</v>
      </c>
      <c r="N39" s="282"/>
      <c r="O39" s="148" t="s">
        <v>59</v>
      </c>
      <c r="P39" s="148" t="s">
        <v>60</v>
      </c>
      <c r="Q39" s="282"/>
      <c r="R39" s="282"/>
      <c r="S39" s="148" t="s">
        <v>61</v>
      </c>
      <c r="T39" s="148" t="s">
        <v>62</v>
      </c>
      <c r="U39" s="148" t="s">
        <v>63</v>
      </c>
      <c r="V39" s="148" t="s">
        <v>64</v>
      </c>
      <c r="W39" s="150" t="s">
        <v>65</v>
      </c>
      <c r="X39" s="291"/>
      <c r="Y39" s="293"/>
      <c r="Z39" s="282"/>
      <c r="AA39" s="295"/>
      <c r="AB39" s="282"/>
      <c r="AC39" s="282"/>
      <c r="AD39" s="282"/>
      <c r="AE39" s="282"/>
      <c r="AF39" s="284"/>
      <c r="AG39" s="285"/>
      <c r="AH39" s="147"/>
      <c r="AI39" s="142"/>
      <c r="AJ39" s="147"/>
      <c r="AK39" s="86"/>
      <c r="AL39" s="87"/>
      <c r="AM39" s="86"/>
      <c r="AN39" s="88"/>
      <c r="AO39" s="89"/>
      <c r="AP39" s="89"/>
      <c r="AQ39" s="89"/>
    </row>
    <row r="40" spans="2:43" s="90" customFormat="1" x14ac:dyDescent="0.45">
      <c r="B40" s="118"/>
      <c r="C40" s="151" t="s">
        <v>115</v>
      </c>
      <c r="D40" s="152" t="s">
        <v>116</v>
      </c>
      <c r="E40" s="152" t="s">
        <v>107</v>
      </c>
      <c r="F40" s="152" t="s">
        <v>108</v>
      </c>
      <c r="G40" s="153" t="s">
        <v>197</v>
      </c>
      <c r="H40" s="154">
        <f>SUM(I40:K40)</f>
        <v>1433255.42</v>
      </c>
      <c r="I40" s="155">
        <v>165947.42000000001</v>
      </c>
      <c r="J40" s="156"/>
      <c r="K40" s="157">
        <v>1267308</v>
      </c>
      <c r="L40" s="158">
        <v>19265514</v>
      </c>
      <c r="M40" s="159">
        <f>H40/L40</f>
        <v>7.4394870544331179E-2</v>
      </c>
      <c r="N40" s="155">
        <v>149491</v>
      </c>
      <c r="O40" s="160">
        <f t="shared" ref="O40:O44" si="5">N40/L40</f>
        <v>7.7595126711906054E-3</v>
      </c>
      <c r="P40" s="160">
        <f t="shared" ref="P40:P44" si="6">Q40/N40</f>
        <v>5.7575372430447316E-2</v>
      </c>
      <c r="Q40" s="155">
        <v>8607</v>
      </c>
      <c r="R40" s="155">
        <v>7568</v>
      </c>
      <c r="S40" s="160">
        <f t="shared" ref="S40:S44" si="7">R40/Q40</f>
        <v>0.87928430347391662</v>
      </c>
      <c r="T40" s="161">
        <f>H40/Q40</f>
        <v>166.52206576042755</v>
      </c>
      <c r="U40" s="162">
        <f>H40/R40</f>
        <v>189.38364429175473</v>
      </c>
      <c r="V40" s="155">
        <f t="shared" ref="V40:V44" si="8">R40*X$40</f>
        <v>6326848</v>
      </c>
      <c r="W40" s="161">
        <f>V40/H40</f>
        <v>4.4143199542200238</v>
      </c>
      <c r="X40" s="286">
        <v>836</v>
      </c>
      <c r="Y40" s="154">
        <v>2087</v>
      </c>
      <c r="Z40" s="162">
        <v>1948</v>
      </c>
      <c r="AA40" s="160">
        <f>Z40/Y40</f>
        <v>0.93339722089123145</v>
      </c>
      <c r="AB40" s="162">
        <f>H40/Y40</f>
        <v>686.75391471011017</v>
      </c>
      <c r="AC40" s="162">
        <f>H40/Z40</f>
        <v>735.75740246406565</v>
      </c>
      <c r="AD40" s="162">
        <f>Z40*AF40</f>
        <v>740240</v>
      </c>
      <c r="AE40" s="161">
        <f>AD40/H40</f>
        <v>0.51647458622553122</v>
      </c>
      <c r="AF40" s="163">
        <v>380</v>
      </c>
      <c r="AG40" s="118"/>
      <c r="AH40" s="147"/>
      <c r="AI40" s="142"/>
      <c r="AJ40" s="147"/>
      <c r="AK40" s="86"/>
      <c r="AL40" s="87"/>
      <c r="AM40" s="86"/>
      <c r="AN40" s="88"/>
      <c r="AO40" s="89"/>
      <c r="AP40" s="89"/>
      <c r="AQ40" s="89"/>
    </row>
    <row r="41" spans="2:43" s="90" customFormat="1" x14ac:dyDescent="0.45">
      <c r="B41" s="118"/>
      <c r="C41" s="151" t="s">
        <v>115</v>
      </c>
      <c r="D41" s="152" t="s">
        <v>84</v>
      </c>
      <c r="E41" s="152" t="s">
        <v>198</v>
      </c>
      <c r="F41" s="152" t="s">
        <v>89</v>
      </c>
      <c r="G41" s="153" t="s">
        <v>199</v>
      </c>
      <c r="H41" s="154">
        <f>SUM(I41:K41)</f>
        <v>1629237</v>
      </c>
      <c r="I41" s="155">
        <v>0</v>
      </c>
      <c r="J41" s="156">
        <v>0</v>
      </c>
      <c r="K41" s="157">
        <v>1629237</v>
      </c>
      <c r="L41" s="158">
        <v>6213324</v>
      </c>
      <c r="M41" s="159">
        <f>H41/L41</f>
        <v>0.2622166492524774</v>
      </c>
      <c r="N41" s="155">
        <v>22560</v>
      </c>
      <c r="O41" s="160">
        <f t="shared" si="5"/>
        <v>3.630906741705406E-3</v>
      </c>
      <c r="P41" s="160">
        <f>Q41/N41</f>
        <v>0.10022163120567376</v>
      </c>
      <c r="Q41" s="155">
        <v>2261</v>
      </c>
      <c r="R41" s="155">
        <v>1440</v>
      </c>
      <c r="S41" s="160">
        <f t="shared" si="7"/>
        <v>0.63688633348076074</v>
      </c>
      <c r="T41" s="162">
        <f>H41/Q41</f>
        <v>720.58248562582924</v>
      </c>
      <c r="U41" s="162">
        <f>H41/R41</f>
        <v>1131.4145833333334</v>
      </c>
      <c r="V41" s="155">
        <f t="shared" si="8"/>
        <v>1203840</v>
      </c>
      <c r="W41" s="161">
        <f>V41/H41</f>
        <v>0.73889802404438398</v>
      </c>
      <c r="X41" s="287"/>
      <c r="Y41" s="198" t="s">
        <v>117</v>
      </c>
      <c r="Z41" s="199" t="s">
        <v>118</v>
      </c>
      <c r="AA41" s="200" t="s">
        <v>118</v>
      </c>
      <c r="AB41" s="199" t="s">
        <v>118</v>
      </c>
      <c r="AC41" s="199" t="s">
        <v>118</v>
      </c>
      <c r="AD41" s="199" t="s">
        <v>118</v>
      </c>
      <c r="AE41" s="201" t="s">
        <v>118</v>
      </c>
      <c r="AF41" s="202" t="s">
        <v>118</v>
      </c>
      <c r="AG41" s="164"/>
      <c r="AH41" s="147"/>
      <c r="AI41" s="142"/>
      <c r="AJ41" s="147"/>
      <c r="AK41" s="86"/>
      <c r="AL41" s="87"/>
      <c r="AM41" s="86"/>
      <c r="AN41" s="88"/>
      <c r="AO41" s="89"/>
      <c r="AP41" s="89"/>
      <c r="AQ41" s="89"/>
    </row>
    <row r="42" spans="2:43" s="90" customFormat="1" x14ac:dyDescent="0.45">
      <c r="B42" s="118"/>
      <c r="C42" s="151" t="s">
        <v>115</v>
      </c>
      <c r="D42" s="152" t="s">
        <v>84</v>
      </c>
      <c r="E42" s="152" t="s">
        <v>111</v>
      </c>
      <c r="F42" s="152" t="s">
        <v>89</v>
      </c>
      <c r="G42" s="153" t="s">
        <v>200</v>
      </c>
      <c r="H42" s="154">
        <f>SUM(I42:K42)</f>
        <v>6361563</v>
      </c>
      <c r="I42" s="155">
        <v>803951</v>
      </c>
      <c r="J42" s="156">
        <v>1756000</v>
      </c>
      <c r="K42" s="157">
        <v>3801612</v>
      </c>
      <c r="L42" s="158">
        <v>34063702</v>
      </c>
      <c r="M42" s="159">
        <f>H42/L42</f>
        <v>0.18675489234845938</v>
      </c>
      <c r="N42" s="155">
        <v>161514</v>
      </c>
      <c r="O42" s="160">
        <f t="shared" si="5"/>
        <v>4.7415280934526727E-3</v>
      </c>
      <c r="P42" s="160">
        <f t="shared" si="6"/>
        <v>5.2719888059239446E-2</v>
      </c>
      <c r="Q42" s="155">
        <v>8515</v>
      </c>
      <c r="R42" s="155">
        <v>7474</v>
      </c>
      <c r="S42" s="160">
        <f t="shared" si="7"/>
        <v>0.87774515560775102</v>
      </c>
      <c r="T42" s="162">
        <f>H42/Q42</f>
        <v>747.10076335877864</v>
      </c>
      <c r="U42" s="162">
        <f>H42/R42</f>
        <v>851.15908482740167</v>
      </c>
      <c r="V42" s="155">
        <f t="shared" si="8"/>
        <v>6248264</v>
      </c>
      <c r="W42" s="161">
        <f>V42/H42</f>
        <v>0.98219006869852576</v>
      </c>
      <c r="X42" s="287"/>
      <c r="Y42" s="154">
        <v>2056</v>
      </c>
      <c r="Z42" s="162">
        <v>1755</v>
      </c>
      <c r="AA42" s="160">
        <f>Z42/Y42</f>
        <v>0.85359922178988323</v>
      </c>
      <c r="AB42" s="162">
        <f>H42/Y42</f>
        <v>3094.145428015564</v>
      </c>
      <c r="AC42" s="162">
        <f>H42/Z42</f>
        <v>3624.8222222222221</v>
      </c>
      <c r="AD42" s="162">
        <f>Z42*AF42</f>
        <v>1869075</v>
      </c>
      <c r="AE42" s="161">
        <f>AD42/H42</f>
        <v>0.29380751239907549</v>
      </c>
      <c r="AF42" s="163">
        <v>1065</v>
      </c>
      <c r="AG42" s="164"/>
      <c r="AH42" s="147"/>
      <c r="AI42" s="142"/>
      <c r="AJ42" s="147"/>
      <c r="AK42" s="86"/>
      <c r="AL42" s="87"/>
      <c r="AM42" s="86"/>
      <c r="AN42" s="88"/>
      <c r="AO42" s="89"/>
      <c r="AP42" s="89"/>
      <c r="AQ42" s="89"/>
    </row>
    <row r="43" spans="2:43" s="183" customFormat="1" x14ac:dyDescent="0.45">
      <c r="B43" s="165"/>
      <c r="C43" s="166"/>
      <c r="D43" s="167"/>
      <c r="E43" s="167"/>
      <c r="F43" s="167"/>
      <c r="G43" s="168" t="s">
        <v>112</v>
      </c>
      <c r="H43" s="169">
        <f>SUM(H40:H42)</f>
        <v>9424055.4199999999</v>
      </c>
      <c r="I43" s="170">
        <f>SUM(I40:I42)</f>
        <v>969898.42</v>
      </c>
      <c r="J43" s="170">
        <f>SUM(J40:J42)</f>
        <v>1756000</v>
      </c>
      <c r="K43" s="171">
        <f>SUM(K40:K42)</f>
        <v>6698157</v>
      </c>
      <c r="L43" s="172">
        <f>SUM(L40:L42)</f>
        <v>59542540</v>
      </c>
      <c r="M43" s="173">
        <f>H43/L43</f>
        <v>0.15827432655711363</v>
      </c>
      <c r="N43" s="170">
        <f>SUM(N40:N42)</f>
        <v>333565</v>
      </c>
      <c r="O43" s="174">
        <f t="shared" si="5"/>
        <v>5.6021291668108212E-3</v>
      </c>
      <c r="P43" s="174">
        <f t="shared" si="6"/>
        <v>5.8108614512913527E-2</v>
      </c>
      <c r="Q43" s="170">
        <f>SUM(Q40:Q42)</f>
        <v>19383</v>
      </c>
      <c r="R43" s="170">
        <f>SUM(R40:R42)</f>
        <v>16482</v>
      </c>
      <c r="S43" s="174">
        <f t="shared" si="7"/>
        <v>0.85033276582572359</v>
      </c>
      <c r="T43" s="175">
        <f>H43/Q43</f>
        <v>486.20210596914819</v>
      </c>
      <c r="U43" s="175">
        <f>H43/R43</f>
        <v>571.77863244751848</v>
      </c>
      <c r="V43" s="170">
        <f t="shared" si="8"/>
        <v>13778952</v>
      </c>
      <c r="W43" s="176">
        <f>V43/H43</f>
        <v>1.4621043049850826</v>
      </c>
      <c r="X43" s="288"/>
      <c r="Y43" s="177">
        <f>SUM(Y40:Y42)</f>
        <v>4143</v>
      </c>
      <c r="Z43" s="175">
        <f>SUM(Z40:Z42)</f>
        <v>3703</v>
      </c>
      <c r="AA43" s="174">
        <f>Z43/Y43</f>
        <v>0.89379676562877142</v>
      </c>
      <c r="AB43" s="175">
        <f>H43/Y43</f>
        <v>2274.6935602220615</v>
      </c>
      <c r="AC43" s="175">
        <f>H43/Z43</f>
        <v>2544.9785093167702</v>
      </c>
      <c r="AD43" s="175">
        <f>Z43*AF43</f>
        <v>3095708</v>
      </c>
      <c r="AE43" s="178">
        <f>AD43/H43</f>
        <v>0.32849000372283466</v>
      </c>
      <c r="AF43" s="171">
        <f>X40</f>
        <v>836</v>
      </c>
      <c r="AG43" s="165"/>
      <c r="AH43" s="165"/>
      <c r="AI43" s="165"/>
      <c r="AJ43" s="165"/>
      <c r="AK43" s="179"/>
      <c r="AL43" s="180"/>
      <c r="AM43" s="179"/>
      <c r="AN43" s="181"/>
      <c r="AO43" s="182"/>
      <c r="AP43" s="182"/>
      <c r="AQ43" s="182"/>
    </row>
    <row r="44" spans="2:43" s="91" customFormat="1" x14ac:dyDescent="0.3">
      <c r="G44" s="184" t="s">
        <v>113</v>
      </c>
      <c r="H44" s="184"/>
      <c r="I44" s="184"/>
      <c r="J44" s="184"/>
      <c r="K44" s="184"/>
      <c r="L44" s="185">
        <v>51033208</v>
      </c>
      <c r="M44" s="186">
        <f>H43/L44</f>
        <v>0.18466515802808242</v>
      </c>
      <c r="N44" s="185">
        <v>252394</v>
      </c>
      <c r="O44" s="187">
        <f t="shared" si="5"/>
        <v>4.9456816432155316E-3</v>
      </c>
      <c r="P44" s="187">
        <f t="shared" si="6"/>
        <v>6.0068781349794369E-2</v>
      </c>
      <c r="Q44" s="185">
        <v>15161</v>
      </c>
      <c r="R44" s="185">
        <v>12692</v>
      </c>
      <c r="S44" s="187">
        <f t="shared" si="7"/>
        <v>0.8371479453861882</v>
      </c>
      <c r="T44" s="188">
        <f>H43/Q44</f>
        <v>621.59853703581553</v>
      </c>
      <c r="U44" s="188">
        <f>H43/R44</f>
        <v>742.51933658997791</v>
      </c>
      <c r="V44" s="185">
        <f t="shared" si="8"/>
        <v>10610512</v>
      </c>
      <c r="W44" s="189">
        <f>V44/H43</f>
        <v>1.1258966047124541</v>
      </c>
      <c r="X44" s="190"/>
      <c r="Y44" s="191"/>
      <c r="Z44" s="191"/>
      <c r="AA44" s="191"/>
      <c r="AB44" s="192"/>
      <c r="AC44" s="191"/>
      <c r="AD44" s="191"/>
      <c r="AE44" s="191"/>
      <c r="AF44" s="191"/>
      <c r="AG44" s="193"/>
      <c r="AH44" s="193"/>
      <c r="AI44" s="193"/>
      <c r="AJ44" s="193"/>
      <c r="AK44" s="194"/>
      <c r="AL44" s="195"/>
      <c r="AM44" s="196"/>
      <c r="AN44" s="197"/>
      <c r="AO44" s="197"/>
      <c r="AP44" s="197"/>
    </row>
    <row r="45" spans="2:43" s="91" customFormat="1" x14ac:dyDescent="0.3">
      <c r="D45" s="71"/>
      <c r="E45" s="71"/>
      <c r="F45" s="71"/>
      <c r="G45" s="71"/>
      <c r="H45" s="71"/>
      <c r="I45" s="72"/>
      <c r="J45" s="72"/>
      <c r="K45" s="72"/>
      <c r="L45" s="73"/>
      <c r="M45" s="74"/>
      <c r="N45" s="73"/>
      <c r="O45" s="92"/>
      <c r="P45" s="75"/>
      <c r="Q45" s="75"/>
      <c r="R45" s="73"/>
      <c r="S45" s="73"/>
      <c r="T45" s="69"/>
      <c r="U45" s="75"/>
      <c r="V45" s="73"/>
      <c r="W45" s="73"/>
      <c r="X45" s="73"/>
      <c r="Y45" s="76"/>
      <c r="Z45" s="73"/>
      <c r="AA45" s="73"/>
      <c r="AB45" s="73"/>
      <c r="AC45" s="73"/>
      <c r="AD45" s="75"/>
      <c r="AE45" s="75"/>
      <c r="AF45" s="75"/>
      <c r="AG45" s="75"/>
      <c r="AH45" s="76"/>
      <c r="AI45" s="73"/>
      <c r="AJ45" s="77"/>
      <c r="AK45" s="78"/>
      <c r="AL45" s="78"/>
      <c r="AM45" s="78"/>
    </row>
    <row r="46" spans="2:43" s="91" customFormat="1" x14ac:dyDescent="0.3">
      <c r="D46" s="71"/>
      <c r="E46" s="71"/>
      <c r="F46" s="71"/>
      <c r="G46" s="71"/>
      <c r="H46" s="71"/>
      <c r="I46" s="72"/>
      <c r="J46" s="72"/>
      <c r="K46" s="72"/>
      <c r="L46" s="73"/>
      <c r="M46" s="74"/>
      <c r="N46" s="73"/>
      <c r="O46" s="69"/>
      <c r="P46" s="75"/>
      <c r="Q46" s="75"/>
      <c r="R46" s="73"/>
      <c r="S46" s="73"/>
      <c r="T46" s="69"/>
      <c r="U46" s="75"/>
      <c r="V46" s="73"/>
      <c r="W46" s="73"/>
      <c r="X46" s="73"/>
      <c r="Y46" s="76"/>
      <c r="Z46" s="73"/>
      <c r="AA46" s="73"/>
      <c r="AB46" s="73"/>
      <c r="AC46" s="73"/>
      <c r="AD46" s="75"/>
      <c r="AE46" s="75"/>
      <c r="AF46" s="75"/>
      <c r="AG46" s="75"/>
      <c r="AH46" s="76"/>
      <c r="AI46" s="73"/>
      <c r="AJ46" s="77"/>
      <c r="AK46" s="78"/>
      <c r="AL46" s="78"/>
      <c r="AM46" s="78"/>
    </row>
    <row r="47" spans="2:43" s="91" customFormat="1" x14ac:dyDescent="0.3">
      <c r="D47" s="71"/>
      <c r="E47" s="71"/>
      <c r="F47" s="71"/>
      <c r="G47" s="71"/>
      <c r="H47" s="71"/>
      <c r="I47" s="72"/>
      <c r="J47" s="72"/>
      <c r="K47" s="72"/>
      <c r="L47" s="73"/>
      <c r="M47" s="74"/>
      <c r="N47" s="73"/>
      <c r="O47" s="69"/>
      <c r="P47" s="75"/>
      <c r="Q47" s="75"/>
      <c r="R47" s="73"/>
      <c r="S47" s="73"/>
      <c r="T47" s="69"/>
      <c r="U47" s="75"/>
      <c r="V47" s="73"/>
      <c r="W47" s="73"/>
      <c r="X47" s="73"/>
      <c r="Y47" s="76"/>
      <c r="Z47" s="73"/>
      <c r="AA47" s="73"/>
      <c r="AB47" s="73"/>
      <c r="AC47" s="73"/>
      <c r="AD47" s="75"/>
      <c r="AE47" s="75"/>
      <c r="AF47" s="75"/>
      <c r="AG47" s="75"/>
      <c r="AH47" s="76"/>
      <c r="AI47" s="73"/>
      <c r="AJ47" s="77"/>
      <c r="AK47" s="78"/>
      <c r="AL47" s="78"/>
      <c r="AM47" s="78"/>
    </row>
    <row r="48" spans="2:43" s="91" customFormat="1" x14ac:dyDescent="0.3">
      <c r="D48" s="71"/>
      <c r="E48" s="71"/>
      <c r="F48" s="71"/>
      <c r="G48" s="71"/>
      <c r="H48" s="71"/>
      <c r="I48" s="72"/>
      <c r="J48" s="72"/>
      <c r="K48" s="72"/>
      <c r="L48" s="73"/>
      <c r="M48" s="74"/>
      <c r="N48" s="73"/>
      <c r="O48" s="69"/>
      <c r="P48" s="75"/>
      <c r="Q48" s="75"/>
      <c r="R48" s="73"/>
      <c r="S48" s="73"/>
      <c r="T48" s="69"/>
      <c r="U48" s="75"/>
      <c r="V48" s="73"/>
      <c r="W48" s="73"/>
      <c r="X48" s="73"/>
      <c r="Y48" s="76"/>
      <c r="Z48" s="73"/>
      <c r="AA48" s="73"/>
      <c r="AB48" s="73"/>
      <c r="AC48" s="73"/>
      <c r="AD48" s="75"/>
      <c r="AE48" s="73"/>
      <c r="AF48" s="73"/>
      <c r="AG48" s="73"/>
      <c r="AH48" s="76"/>
      <c r="AI48" s="73"/>
      <c r="AJ48" s="77"/>
      <c r="AK48" s="78"/>
      <c r="AL48" s="78"/>
      <c r="AM48" s="78"/>
    </row>
    <row r="49" spans="2:40" s="91" customFormat="1" x14ac:dyDescent="0.3">
      <c r="C49" s="79"/>
      <c r="D49" s="71"/>
      <c r="E49" s="71"/>
      <c r="F49" s="71"/>
      <c r="G49" s="71"/>
      <c r="H49" s="71"/>
      <c r="I49" s="72"/>
      <c r="J49" s="72"/>
      <c r="K49" s="72"/>
      <c r="L49" s="73"/>
      <c r="M49" s="74"/>
      <c r="N49" s="73"/>
      <c r="O49" s="69"/>
      <c r="P49" s="75"/>
      <c r="Q49" s="75"/>
      <c r="R49" s="73"/>
      <c r="S49" s="73"/>
      <c r="T49" s="69"/>
      <c r="U49" s="75"/>
      <c r="V49" s="73"/>
      <c r="W49" s="73"/>
      <c r="X49" s="73"/>
      <c r="Y49" s="76"/>
      <c r="Z49" s="73"/>
      <c r="AA49" s="73"/>
      <c r="AB49" s="73"/>
      <c r="AC49" s="73"/>
      <c r="AD49" s="75"/>
      <c r="AE49" s="73"/>
      <c r="AF49" s="73"/>
      <c r="AG49" s="73"/>
      <c r="AH49" s="76"/>
      <c r="AI49" s="73"/>
      <c r="AJ49" s="77"/>
      <c r="AK49" s="78"/>
      <c r="AL49" s="78"/>
      <c r="AM49" s="78"/>
    </row>
    <row r="50" spans="2:40" x14ac:dyDescent="0.3">
      <c r="C50" s="79"/>
    </row>
    <row r="51" spans="2:40" s="127" customFormat="1" ht="22.5" x14ac:dyDescent="0.3">
      <c r="C51" s="128" t="s">
        <v>204</v>
      </c>
      <c r="D51" s="129"/>
      <c r="E51" s="129"/>
      <c r="F51" s="129"/>
      <c r="G51" s="129"/>
      <c r="H51" s="129"/>
      <c r="I51" s="130"/>
      <c r="J51" s="131"/>
      <c r="K51" s="131"/>
      <c r="L51" s="131"/>
      <c r="M51" s="132"/>
      <c r="N51" s="131"/>
      <c r="O51" s="133"/>
      <c r="P51" s="133"/>
      <c r="Q51" s="133"/>
      <c r="R51" s="131"/>
      <c r="S51" s="131"/>
      <c r="U51" s="133"/>
      <c r="V51" s="131"/>
      <c r="W51" s="131"/>
      <c r="X51" s="131"/>
      <c r="Y51" s="134"/>
      <c r="Z51" s="131"/>
      <c r="AA51" s="131"/>
      <c r="AB51" s="131"/>
      <c r="AC51" s="131"/>
      <c r="AD51" s="133"/>
      <c r="AE51" s="131"/>
      <c r="AF51" s="131"/>
      <c r="AG51" s="131"/>
      <c r="AH51" s="134"/>
      <c r="AI51" s="131"/>
      <c r="AJ51" s="135"/>
      <c r="AK51" s="131"/>
      <c r="AL51" s="131"/>
      <c r="AM51" s="131"/>
    </row>
    <row r="52" spans="2:40" x14ac:dyDescent="0.3">
      <c r="C52" s="80" t="s">
        <v>39</v>
      </c>
      <c r="D52" s="81" t="s">
        <v>119</v>
      </c>
    </row>
    <row r="53" spans="2:40" x14ac:dyDescent="0.3">
      <c r="C53" s="82" t="s">
        <v>1</v>
      </c>
      <c r="D53" s="83" t="s">
        <v>205</v>
      </c>
    </row>
    <row r="54" spans="2:40" x14ac:dyDescent="0.3">
      <c r="C54" s="82"/>
      <c r="D54" s="83"/>
    </row>
    <row r="55" spans="2:40" x14ac:dyDescent="0.3">
      <c r="C55" s="84"/>
      <c r="D55" s="85"/>
      <c r="AD55" s="73"/>
    </row>
    <row r="56" spans="2:40" x14ac:dyDescent="0.3">
      <c r="C56" s="79"/>
    </row>
    <row r="57" spans="2:40" s="90" customFormat="1" x14ac:dyDescent="0.3">
      <c r="B57" s="285"/>
      <c r="C57" s="300" t="s">
        <v>40</v>
      </c>
      <c r="D57" s="303" t="s">
        <v>41</v>
      </c>
      <c r="E57" s="306" t="s">
        <v>42</v>
      </c>
      <c r="F57" s="307"/>
      <c r="G57" s="307"/>
      <c r="H57" s="308"/>
      <c r="I57" s="300" t="s">
        <v>66</v>
      </c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10"/>
      <c r="V57" s="300" t="s">
        <v>43</v>
      </c>
      <c r="W57" s="309"/>
      <c r="X57" s="309"/>
      <c r="Y57" s="309"/>
      <c r="Z57" s="309"/>
      <c r="AA57" s="309"/>
      <c r="AB57" s="309"/>
      <c r="AC57" s="310"/>
      <c r="AD57" s="285"/>
      <c r="AE57" s="139" t="s">
        <v>102</v>
      </c>
      <c r="AF57" s="139" t="s">
        <v>103</v>
      </c>
      <c r="AG57" s="139" t="s">
        <v>104</v>
      </c>
      <c r="AH57" s="86"/>
      <c r="AI57" s="87"/>
      <c r="AJ57" s="86"/>
      <c r="AK57" s="88"/>
      <c r="AL57" s="89"/>
      <c r="AM57" s="89"/>
      <c r="AN57" s="89"/>
    </row>
    <row r="58" spans="2:40" s="90" customFormat="1" x14ac:dyDescent="0.3">
      <c r="B58" s="285"/>
      <c r="C58" s="301"/>
      <c r="D58" s="304"/>
      <c r="E58" s="296" t="s">
        <v>44</v>
      </c>
      <c r="F58" s="297"/>
      <c r="G58" s="297"/>
      <c r="H58" s="298"/>
      <c r="I58" s="302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2"/>
      <c r="V58" s="302"/>
      <c r="W58" s="311"/>
      <c r="X58" s="311"/>
      <c r="Y58" s="311"/>
      <c r="Z58" s="311"/>
      <c r="AA58" s="311"/>
      <c r="AB58" s="311"/>
      <c r="AC58" s="312"/>
      <c r="AD58" s="285"/>
      <c r="AE58" s="140"/>
      <c r="AF58" s="141"/>
      <c r="AG58" s="142"/>
      <c r="AH58" s="86"/>
      <c r="AI58" s="87"/>
      <c r="AJ58" s="86"/>
      <c r="AK58" s="88"/>
      <c r="AL58" s="89"/>
      <c r="AM58" s="89"/>
      <c r="AN58" s="89"/>
    </row>
    <row r="59" spans="2:40" s="90" customFormat="1" x14ac:dyDescent="0.3">
      <c r="B59" s="285"/>
      <c r="C59" s="301"/>
      <c r="D59" s="304"/>
      <c r="E59" s="299" t="s">
        <v>45</v>
      </c>
      <c r="F59" s="143" t="s">
        <v>46</v>
      </c>
      <c r="G59" s="143" t="s">
        <v>47</v>
      </c>
      <c r="H59" s="144" t="s">
        <v>48</v>
      </c>
      <c r="I59" s="299" t="s">
        <v>49</v>
      </c>
      <c r="J59" s="143" t="s">
        <v>50</v>
      </c>
      <c r="K59" s="289" t="s">
        <v>51</v>
      </c>
      <c r="L59" s="145" t="s">
        <v>52</v>
      </c>
      <c r="M59" s="143" t="s">
        <v>53</v>
      </c>
      <c r="N59" s="289" t="s">
        <v>13</v>
      </c>
      <c r="O59" s="289" t="s">
        <v>14</v>
      </c>
      <c r="P59" s="143" t="s">
        <v>54</v>
      </c>
      <c r="Q59" s="143" t="s">
        <v>31</v>
      </c>
      <c r="R59" s="143" t="s">
        <v>32</v>
      </c>
      <c r="S59" s="143" t="s">
        <v>33</v>
      </c>
      <c r="T59" s="146" t="s">
        <v>55</v>
      </c>
      <c r="U59" s="290" t="s">
        <v>27</v>
      </c>
      <c r="V59" s="292" t="s">
        <v>28</v>
      </c>
      <c r="W59" s="281" t="s">
        <v>29</v>
      </c>
      <c r="X59" s="294" t="s">
        <v>30</v>
      </c>
      <c r="Y59" s="281" t="s">
        <v>31</v>
      </c>
      <c r="Z59" s="281" t="s">
        <v>32</v>
      </c>
      <c r="AA59" s="281" t="s">
        <v>33</v>
      </c>
      <c r="AB59" s="281" t="s">
        <v>34</v>
      </c>
      <c r="AC59" s="283" t="s">
        <v>120</v>
      </c>
      <c r="AD59" s="285"/>
      <c r="AE59" s="147"/>
      <c r="AF59" s="142"/>
      <c r="AG59" s="147"/>
      <c r="AH59" s="86"/>
      <c r="AI59" s="87"/>
      <c r="AJ59" s="86"/>
      <c r="AK59" s="88"/>
      <c r="AL59" s="89"/>
      <c r="AM59" s="89"/>
      <c r="AN59" s="89"/>
    </row>
    <row r="60" spans="2:40" s="90" customFormat="1" x14ac:dyDescent="0.3">
      <c r="B60" s="285"/>
      <c r="C60" s="302"/>
      <c r="D60" s="305"/>
      <c r="E60" s="293"/>
      <c r="F60" s="148" t="s">
        <v>56</v>
      </c>
      <c r="G60" s="148" t="s">
        <v>56</v>
      </c>
      <c r="H60" s="149" t="s">
        <v>57</v>
      </c>
      <c r="I60" s="293"/>
      <c r="J60" s="148" t="s">
        <v>58</v>
      </c>
      <c r="K60" s="282"/>
      <c r="L60" s="148" t="s">
        <v>59</v>
      </c>
      <c r="M60" s="148" t="s">
        <v>60</v>
      </c>
      <c r="N60" s="282"/>
      <c r="O60" s="282"/>
      <c r="P60" s="148" t="s">
        <v>61</v>
      </c>
      <c r="Q60" s="148" t="s">
        <v>62</v>
      </c>
      <c r="R60" s="148" t="s">
        <v>63</v>
      </c>
      <c r="S60" s="148" t="s">
        <v>64</v>
      </c>
      <c r="T60" s="150" t="s">
        <v>65</v>
      </c>
      <c r="U60" s="291"/>
      <c r="V60" s="293"/>
      <c r="W60" s="282"/>
      <c r="X60" s="295"/>
      <c r="Y60" s="282"/>
      <c r="Z60" s="282"/>
      <c r="AA60" s="282"/>
      <c r="AB60" s="282"/>
      <c r="AC60" s="284"/>
      <c r="AD60" s="285"/>
      <c r="AE60" s="147"/>
      <c r="AF60" s="142"/>
      <c r="AG60" s="147"/>
      <c r="AH60" s="86"/>
      <c r="AI60" s="87"/>
      <c r="AJ60" s="86"/>
      <c r="AK60" s="88"/>
      <c r="AL60" s="89"/>
      <c r="AM60" s="89"/>
      <c r="AN60" s="89"/>
    </row>
    <row r="61" spans="2:40" s="90" customFormat="1" x14ac:dyDescent="0.45">
      <c r="B61" s="118"/>
      <c r="C61" s="151" t="s">
        <v>121</v>
      </c>
      <c r="D61" s="153" t="s">
        <v>206</v>
      </c>
      <c r="E61" s="154">
        <f>SUM(F61:H61)</f>
        <v>2301779.4</v>
      </c>
      <c r="F61" s="155">
        <v>848000</v>
      </c>
      <c r="G61" s="156">
        <v>106000</v>
      </c>
      <c r="H61" s="157">
        <v>1347779.4</v>
      </c>
      <c r="I61" s="158">
        <v>20987495</v>
      </c>
      <c r="J61" s="159">
        <f>E61/I61</f>
        <v>0.10967385102414556</v>
      </c>
      <c r="K61" s="155">
        <v>983722</v>
      </c>
      <c r="L61" s="160">
        <f>K61/I61</f>
        <v>4.6871815812225326E-2</v>
      </c>
      <c r="M61" s="160">
        <f>N61/K61</f>
        <v>6.6094892662764484E-2</v>
      </c>
      <c r="N61" s="155">
        <v>65019</v>
      </c>
      <c r="O61" s="155">
        <v>61541</v>
      </c>
      <c r="P61" s="160">
        <f>O61/N61</f>
        <v>0.94650794383180303</v>
      </c>
      <c r="Q61" s="161">
        <f>E61/N61</f>
        <v>35.401642596779404</v>
      </c>
      <c r="R61" s="161">
        <f>E61/O61</f>
        <v>37.402372402138411</v>
      </c>
      <c r="S61" s="155">
        <f>O61*U$85</f>
        <v>63325689</v>
      </c>
      <c r="T61" s="161">
        <f>S61/E61</f>
        <v>27.511623833283068</v>
      </c>
      <c r="U61" s="286">
        <v>1029</v>
      </c>
      <c r="V61" s="154">
        <v>7378</v>
      </c>
      <c r="W61" s="162">
        <v>6896</v>
      </c>
      <c r="X61" s="160">
        <f>W61/V61</f>
        <v>0.93467064245052855</v>
      </c>
      <c r="Y61" s="162">
        <f>E61/V61</f>
        <v>311.97877473570071</v>
      </c>
      <c r="Z61" s="162">
        <f>E61/W61</f>
        <v>333.78471577726219</v>
      </c>
      <c r="AA61" s="162">
        <f>W61*AC61</f>
        <v>16274560</v>
      </c>
      <c r="AB61" s="161">
        <f>AA61/E61</f>
        <v>7.0704256020364076</v>
      </c>
      <c r="AC61" s="163">
        <v>2360</v>
      </c>
      <c r="AD61" s="118"/>
      <c r="AE61" s="147">
        <v>1347779.4</v>
      </c>
      <c r="AF61" s="142">
        <v>848000</v>
      </c>
      <c r="AG61" s="147">
        <v>106000</v>
      </c>
      <c r="AH61" s="86"/>
      <c r="AI61" s="87"/>
      <c r="AJ61" s="86"/>
      <c r="AK61" s="88"/>
      <c r="AL61" s="89"/>
      <c r="AM61" s="89"/>
      <c r="AN61" s="89"/>
    </row>
    <row r="62" spans="2:40" s="90" customFormat="1" x14ac:dyDescent="0.45">
      <c r="B62" s="118"/>
      <c r="C62" s="151" t="s">
        <v>121</v>
      </c>
      <c r="D62" s="153" t="s">
        <v>207</v>
      </c>
      <c r="E62" s="154">
        <f t="shared" ref="E62:E66" si="9">SUM(F62:H62)</f>
        <v>979196.2</v>
      </c>
      <c r="F62" s="155">
        <v>979196.2</v>
      </c>
      <c r="G62" s="156">
        <v>0</v>
      </c>
      <c r="H62" s="157">
        <v>0</v>
      </c>
      <c r="I62" s="158">
        <v>17107816</v>
      </c>
      <c r="J62" s="159">
        <f t="shared" ref="J62:J67" si="10">E62/I62</f>
        <v>5.7236774115410172E-2</v>
      </c>
      <c r="K62" s="155">
        <v>858090</v>
      </c>
      <c r="L62" s="160">
        <f t="shared" ref="L62:L68" si="11">K62/I62</f>
        <v>5.0157775837663905E-2</v>
      </c>
      <c r="M62" s="160">
        <f t="shared" ref="M62:M68" si="12">N62/K62</f>
        <v>6.7880991504387658E-2</v>
      </c>
      <c r="N62" s="155">
        <v>58248</v>
      </c>
      <c r="O62" s="155">
        <v>56500</v>
      </c>
      <c r="P62" s="160">
        <f t="shared" ref="P62:P68" si="13">O62/N62</f>
        <v>0.96999038593599785</v>
      </c>
      <c r="Q62" s="161">
        <f t="shared" ref="Q62:Q67" si="14">E62/N62</f>
        <v>16.810812388408184</v>
      </c>
      <c r="R62" s="161">
        <f t="shared" ref="R62:R67" si="15">E62/O62</f>
        <v>17.330906194690264</v>
      </c>
      <c r="S62" s="155">
        <f t="shared" ref="S62:S68" si="16">O62*U$85</f>
        <v>58138500</v>
      </c>
      <c r="T62" s="161">
        <f t="shared" ref="T62:T67" si="17">S62/E62</f>
        <v>59.373698549892254</v>
      </c>
      <c r="U62" s="287"/>
      <c r="V62" s="154">
        <v>1253</v>
      </c>
      <c r="W62" s="162">
        <v>1200</v>
      </c>
      <c r="X62" s="160">
        <f t="shared" ref="X62:X67" si="18">W62/V62</f>
        <v>0.9577015163607342</v>
      </c>
      <c r="Y62" s="162">
        <f t="shared" ref="Y62:Y67" si="19">E62/V62</f>
        <v>781.48140462889057</v>
      </c>
      <c r="Z62" s="162">
        <f t="shared" ref="Z62:Z67" si="20">E62/W62</f>
        <v>815.99683333333326</v>
      </c>
      <c r="AA62" s="162">
        <f t="shared" ref="AA62:AA67" si="21">W62*AC62</f>
        <v>1980000</v>
      </c>
      <c r="AB62" s="161">
        <f t="shared" ref="AB62:AB67" si="22">AA62/E62</f>
        <v>2.0220666706018671</v>
      </c>
      <c r="AC62" s="163">
        <v>1650</v>
      </c>
      <c r="AD62" s="118"/>
      <c r="AE62" s="147">
        <v>0</v>
      </c>
      <c r="AF62" s="142">
        <v>979196.2</v>
      </c>
      <c r="AG62" s="147">
        <v>0</v>
      </c>
      <c r="AH62" s="86"/>
      <c r="AI62" s="87"/>
      <c r="AJ62" s="86"/>
      <c r="AK62" s="88"/>
      <c r="AL62" s="89"/>
      <c r="AM62" s="89"/>
      <c r="AN62" s="89"/>
    </row>
    <row r="63" spans="2:40" s="90" customFormat="1" x14ac:dyDescent="0.45">
      <c r="B63" s="118"/>
      <c r="C63" s="151" t="s">
        <v>121</v>
      </c>
      <c r="D63" s="153" t="s">
        <v>208</v>
      </c>
      <c r="E63" s="154">
        <f t="shared" si="9"/>
        <v>3587513</v>
      </c>
      <c r="F63" s="155">
        <v>0</v>
      </c>
      <c r="G63" s="156">
        <v>497800</v>
      </c>
      <c r="H63" s="157">
        <v>3089713</v>
      </c>
      <c r="I63" s="158">
        <v>21701675</v>
      </c>
      <c r="J63" s="159">
        <f t="shared" si="10"/>
        <v>0.16531041958742815</v>
      </c>
      <c r="K63" s="155">
        <v>437547</v>
      </c>
      <c r="L63" s="160">
        <f t="shared" si="11"/>
        <v>2.0161899945511118E-2</v>
      </c>
      <c r="M63" s="160">
        <f t="shared" si="12"/>
        <v>5.8460005439415652E-2</v>
      </c>
      <c r="N63" s="155">
        <v>25579</v>
      </c>
      <c r="O63" s="155">
        <v>22955</v>
      </c>
      <c r="P63" s="160">
        <f t="shared" si="13"/>
        <v>0.89741584893858239</v>
      </c>
      <c r="Q63" s="161">
        <f t="shared" si="14"/>
        <v>140.25227725868876</v>
      </c>
      <c r="R63" s="161">
        <f t="shared" si="15"/>
        <v>156.28460030494446</v>
      </c>
      <c r="S63" s="155">
        <f t="shared" si="16"/>
        <v>23620695</v>
      </c>
      <c r="T63" s="161">
        <f t="shared" si="17"/>
        <v>6.584141994746779</v>
      </c>
      <c r="U63" s="287"/>
      <c r="V63" s="154">
        <v>270</v>
      </c>
      <c r="W63" s="162">
        <v>243</v>
      </c>
      <c r="X63" s="160">
        <f t="shared" si="18"/>
        <v>0.9</v>
      </c>
      <c r="Y63" s="162">
        <f t="shared" si="19"/>
        <v>13287.085185185186</v>
      </c>
      <c r="Z63" s="162">
        <f t="shared" si="20"/>
        <v>14763.427983539095</v>
      </c>
      <c r="AA63" s="162">
        <f t="shared" si="21"/>
        <v>494262</v>
      </c>
      <c r="AB63" s="161">
        <f t="shared" si="22"/>
        <v>0.13777288054426562</v>
      </c>
      <c r="AC63" s="163">
        <v>2034</v>
      </c>
      <c r="AD63" s="118"/>
      <c r="AE63" s="147">
        <v>3089713</v>
      </c>
      <c r="AF63" s="142">
        <v>0</v>
      </c>
      <c r="AG63" s="147">
        <v>497800</v>
      </c>
      <c r="AH63" s="86"/>
      <c r="AI63" s="87"/>
      <c r="AJ63" s="86"/>
      <c r="AK63" s="88"/>
      <c r="AL63" s="89"/>
      <c r="AM63" s="89"/>
      <c r="AN63" s="89"/>
    </row>
    <row r="64" spans="2:40" s="90" customFormat="1" x14ac:dyDescent="0.45">
      <c r="B64" s="118"/>
      <c r="C64" s="151" t="s">
        <v>121</v>
      </c>
      <c r="D64" s="153" t="s">
        <v>209</v>
      </c>
      <c r="E64" s="154">
        <f t="shared" si="9"/>
        <v>2389173</v>
      </c>
      <c r="F64" s="155">
        <v>0</v>
      </c>
      <c r="G64" s="156">
        <v>795000</v>
      </c>
      <c r="H64" s="157">
        <v>1594173</v>
      </c>
      <c r="I64" s="158">
        <v>19988182</v>
      </c>
      <c r="J64" s="159">
        <f t="shared" si="10"/>
        <v>0.11952927985146423</v>
      </c>
      <c r="K64" s="155">
        <v>438016</v>
      </c>
      <c r="L64" s="160">
        <f t="shared" si="11"/>
        <v>2.191374883418612E-2</v>
      </c>
      <c r="M64" s="160">
        <f t="shared" si="12"/>
        <v>5.2393063267095266E-2</v>
      </c>
      <c r="N64" s="155">
        <v>22949</v>
      </c>
      <c r="O64" s="155">
        <v>20646</v>
      </c>
      <c r="P64" s="160">
        <f t="shared" si="13"/>
        <v>0.8996470434441588</v>
      </c>
      <c r="Q64" s="161">
        <f t="shared" si="14"/>
        <v>104.10793498627392</v>
      </c>
      <c r="R64" s="161">
        <f t="shared" si="15"/>
        <v>115.72086602731764</v>
      </c>
      <c r="S64" s="155">
        <f t="shared" si="16"/>
        <v>21244734</v>
      </c>
      <c r="T64" s="161">
        <f t="shared" si="17"/>
        <v>8.8920869271501051</v>
      </c>
      <c r="U64" s="287"/>
      <c r="V64" s="154">
        <v>291</v>
      </c>
      <c r="W64" s="162">
        <v>246</v>
      </c>
      <c r="X64" s="160">
        <f t="shared" si="18"/>
        <v>0.84536082474226804</v>
      </c>
      <c r="Y64" s="162">
        <f t="shared" si="19"/>
        <v>8210.216494845361</v>
      </c>
      <c r="Z64" s="162">
        <f t="shared" si="20"/>
        <v>9712.085365853658</v>
      </c>
      <c r="AA64" s="162">
        <f t="shared" si="21"/>
        <v>827790</v>
      </c>
      <c r="AB64" s="161">
        <f t="shared" si="22"/>
        <v>0.34647553776976386</v>
      </c>
      <c r="AC64" s="163">
        <v>3365</v>
      </c>
      <c r="AD64" s="118"/>
      <c r="AE64" s="147">
        <v>1594173</v>
      </c>
      <c r="AF64" s="142">
        <v>0</v>
      </c>
      <c r="AG64" s="147">
        <v>795000</v>
      </c>
      <c r="AH64" s="86"/>
      <c r="AI64" s="87"/>
      <c r="AJ64" s="86"/>
      <c r="AK64" s="88"/>
      <c r="AL64" s="89"/>
      <c r="AM64" s="89"/>
      <c r="AN64" s="89"/>
    </row>
    <row r="65" spans="2:40" s="90" customFormat="1" x14ac:dyDescent="0.45">
      <c r="B65" s="118"/>
      <c r="C65" s="151" t="s">
        <v>121</v>
      </c>
      <c r="D65" s="203" t="s">
        <v>210</v>
      </c>
      <c r="E65" s="154">
        <f t="shared" si="9"/>
        <v>932721.7</v>
      </c>
      <c r="F65" s="155">
        <v>321702.7</v>
      </c>
      <c r="G65" s="156">
        <v>200000</v>
      </c>
      <c r="H65" s="157">
        <v>411019</v>
      </c>
      <c r="I65" s="204">
        <v>8776312</v>
      </c>
      <c r="J65" s="159">
        <f t="shared" si="10"/>
        <v>0.10627718112118165</v>
      </c>
      <c r="K65" s="205">
        <v>289098</v>
      </c>
      <c r="L65" s="160">
        <f t="shared" si="11"/>
        <v>3.2940715872453029E-2</v>
      </c>
      <c r="M65" s="160">
        <f t="shared" si="12"/>
        <v>4.7305757909082737E-2</v>
      </c>
      <c r="N65" s="205">
        <v>13676</v>
      </c>
      <c r="O65" s="205">
        <v>13315</v>
      </c>
      <c r="P65" s="160">
        <f t="shared" si="13"/>
        <v>0.9736033928049137</v>
      </c>
      <c r="Q65" s="161">
        <f t="shared" si="14"/>
        <v>68.201352734717744</v>
      </c>
      <c r="R65" s="161">
        <f t="shared" si="15"/>
        <v>70.050446864438598</v>
      </c>
      <c r="S65" s="155">
        <f t="shared" si="16"/>
        <v>13701135</v>
      </c>
      <c r="T65" s="161">
        <f t="shared" si="17"/>
        <v>14.689413787628187</v>
      </c>
      <c r="U65" s="287"/>
      <c r="V65" s="206">
        <v>3094</v>
      </c>
      <c r="W65" s="207">
        <v>3005</v>
      </c>
      <c r="X65" s="160">
        <f t="shared" si="18"/>
        <v>0.97123464770523593</v>
      </c>
      <c r="Y65" s="162">
        <f t="shared" si="19"/>
        <v>301.46144149967677</v>
      </c>
      <c r="Z65" s="162">
        <f t="shared" si="20"/>
        <v>310.38991680532445</v>
      </c>
      <c r="AA65" s="162">
        <f t="shared" si="21"/>
        <v>1472450</v>
      </c>
      <c r="AB65" s="161">
        <f t="shared" si="22"/>
        <v>1.5786595294180461</v>
      </c>
      <c r="AC65" s="208">
        <v>490</v>
      </c>
      <c r="AD65" s="118"/>
      <c r="AE65" s="147">
        <v>411019</v>
      </c>
      <c r="AF65" s="142">
        <v>321702.7</v>
      </c>
      <c r="AG65" s="147">
        <v>200000</v>
      </c>
      <c r="AH65" s="86"/>
      <c r="AI65" s="87"/>
      <c r="AJ65" s="86"/>
      <c r="AK65" s="88"/>
      <c r="AL65" s="89"/>
      <c r="AM65" s="89"/>
      <c r="AN65" s="89"/>
    </row>
    <row r="66" spans="2:40" s="90" customFormat="1" x14ac:dyDescent="0.45">
      <c r="B66" s="118"/>
      <c r="C66" s="151" t="s">
        <v>121</v>
      </c>
      <c r="D66" s="209" t="s">
        <v>211</v>
      </c>
      <c r="E66" s="210">
        <f t="shared" si="9"/>
        <v>1879385</v>
      </c>
      <c r="F66" s="211">
        <v>787250</v>
      </c>
      <c r="G66" s="212">
        <v>0</v>
      </c>
      <c r="H66" s="213">
        <v>1092135</v>
      </c>
      <c r="I66" s="214">
        <v>20467746</v>
      </c>
      <c r="J66" s="159">
        <f t="shared" si="10"/>
        <v>9.1821786336414371E-2</v>
      </c>
      <c r="K66" s="211">
        <v>621682</v>
      </c>
      <c r="L66" s="160">
        <f t="shared" si="11"/>
        <v>3.0373740225230466E-2</v>
      </c>
      <c r="M66" s="160">
        <f t="shared" si="12"/>
        <v>5.4801329296971762E-2</v>
      </c>
      <c r="N66" s="211">
        <v>34069</v>
      </c>
      <c r="O66" s="211">
        <v>31142</v>
      </c>
      <c r="P66" s="160">
        <f t="shared" si="13"/>
        <v>0.91408611934603301</v>
      </c>
      <c r="Q66" s="161">
        <f t="shared" si="14"/>
        <v>55.16407878129678</v>
      </c>
      <c r="R66" s="161">
        <f t="shared" si="15"/>
        <v>60.348885749149062</v>
      </c>
      <c r="S66" s="155">
        <f t="shared" si="16"/>
        <v>32045118</v>
      </c>
      <c r="T66" s="161">
        <f t="shared" si="17"/>
        <v>17.050853337660989</v>
      </c>
      <c r="U66" s="287"/>
      <c r="V66" s="210">
        <v>4174</v>
      </c>
      <c r="W66" s="215">
        <v>3701</v>
      </c>
      <c r="X66" s="160">
        <f t="shared" si="18"/>
        <v>0.88667944417824629</v>
      </c>
      <c r="Y66" s="162">
        <f t="shared" si="19"/>
        <v>450.25994250119788</v>
      </c>
      <c r="Z66" s="162">
        <f t="shared" si="20"/>
        <v>507.80464739259662</v>
      </c>
      <c r="AA66" s="162">
        <f t="shared" si="21"/>
        <v>7109621</v>
      </c>
      <c r="AB66" s="161">
        <f t="shared" si="22"/>
        <v>3.7829508057156995</v>
      </c>
      <c r="AC66" s="216">
        <v>1921</v>
      </c>
      <c r="AD66" s="118"/>
      <c r="AE66" s="147">
        <v>1092135</v>
      </c>
      <c r="AF66" s="142">
        <v>787250</v>
      </c>
      <c r="AG66" s="147"/>
      <c r="AH66" s="86"/>
      <c r="AI66" s="87"/>
      <c r="AJ66" s="86"/>
      <c r="AK66" s="88"/>
      <c r="AL66" s="89"/>
      <c r="AM66" s="89"/>
      <c r="AN66" s="89"/>
    </row>
    <row r="67" spans="2:40" s="183" customFormat="1" x14ac:dyDescent="0.45">
      <c r="B67" s="165"/>
      <c r="C67" s="166"/>
      <c r="D67" s="168" t="s">
        <v>112</v>
      </c>
      <c r="E67" s="169">
        <f>SUM(E61:E66)</f>
        <v>12069768.299999999</v>
      </c>
      <c r="F67" s="170">
        <f>SUM(F61:F66)</f>
        <v>2936148.9</v>
      </c>
      <c r="G67" s="170">
        <f>SUM(G61:G66)</f>
        <v>1598800</v>
      </c>
      <c r="H67" s="171">
        <f>SUM(H61:H66)</f>
        <v>7534819.4000000004</v>
      </c>
      <c r="I67" s="172">
        <f>SUM(I61:I66)</f>
        <v>109029226</v>
      </c>
      <c r="J67" s="173">
        <f t="shared" si="10"/>
        <v>0.11070213687474952</v>
      </c>
      <c r="K67" s="170">
        <f>SUM(K61:K66)</f>
        <v>3628155</v>
      </c>
      <c r="L67" s="174">
        <f t="shared" si="11"/>
        <v>3.3276903203917088E-2</v>
      </c>
      <c r="M67" s="174">
        <f t="shared" si="12"/>
        <v>6.0510093973383167E-2</v>
      </c>
      <c r="N67" s="170">
        <f>SUM(N61:N66)</f>
        <v>219540</v>
      </c>
      <c r="O67" s="170">
        <f>SUM(O61:O66)</f>
        <v>206099</v>
      </c>
      <c r="P67" s="174">
        <f t="shared" si="13"/>
        <v>0.93877653275029604</v>
      </c>
      <c r="Q67" s="176">
        <f t="shared" si="14"/>
        <v>54.977536212079798</v>
      </c>
      <c r="R67" s="176">
        <f t="shared" si="15"/>
        <v>58.562963915399877</v>
      </c>
      <c r="S67" s="170">
        <f t="shared" si="16"/>
        <v>212075871</v>
      </c>
      <c r="T67" s="176">
        <f t="shared" si="17"/>
        <v>17.570831993518883</v>
      </c>
      <c r="U67" s="288"/>
      <c r="V67" s="177">
        <f>SUM(V61:V66)</f>
        <v>16460</v>
      </c>
      <c r="W67" s="175">
        <f>SUM(W61:W66)</f>
        <v>15291</v>
      </c>
      <c r="X67" s="174">
        <f t="shared" si="18"/>
        <v>0.92897934386391257</v>
      </c>
      <c r="Y67" s="175">
        <f t="shared" si="19"/>
        <v>733.27875455650053</v>
      </c>
      <c r="Z67" s="175">
        <f t="shared" si="20"/>
        <v>789.33806160486552</v>
      </c>
      <c r="AA67" s="175">
        <f t="shared" si="21"/>
        <v>30123270</v>
      </c>
      <c r="AB67" s="178">
        <f t="shared" si="22"/>
        <v>2.4957620768909048</v>
      </c>
      <c r="AC67" s="171">
        <f>AVERAGE(AC61:AC66)</f>
        <v>1970</v>
      </c>
      <c r="AD67" s="165"/>
      <c r="AE67" s="165"/>
      <c r="AF67" s="165"/>
      <c r="AG67" s="165"/>
      <c r="AH67" s="179"/>
      <c r="AI67" s="180"/>
      <c r="AJ67" s="179"/>
      <c r="AK67" s="181"/>
      <c r="AL67" s="182"/>
      <c r="AM67" s="182"/>
      <c r="AN67" s="182"/>
    </row>
    <row r="68" spans="2:40" s="91" customFormat="1" x14ac:dyDescent="0.3">
      <c r="D68" s="184" t="s">
        <v>113</v>
      </c>
      <c r="E68" s="184"/>
      <c r="F68" s="184"/>
      <c r="G68" s="184"/>
      <c r="H68" s="184"/>
      <c r="I68" s="185">
        <v>75751864</v>
      </c>
      <c r="J68" s="186">
        <f>E67/I68</f>
        <v>0.15933295449997109</v>
      </c>
      <c r="K68" s="185">
        <v>2064522</v>
      </c>
      <c r="L68" s="187">
        <f t="shared" si="11"/>
        <v>2.7253745201570222E-2</v>
      </c>
      <c r="M68" s="187">
        <f t="shared" si="12"/>
        <v>6.5679610098608787E-2</v>
      </c>
      <c r="N68" s="185">
        <v>135597</v>
      </c>
      <c r="O68" s="185">
        <v>125011</v>
      </c>
      <c r="P68" s="187">
        <f t="shared" si="13"/>
        <v>0.92193042618936993</v>
      </c>
      <c r="Q68" s="189">
        <f>E67/N68</f>
        <v>89.012060001327455</v>
      </c>
      <c r="R68" s="189">
        <f>E67/O68</f>
        <v>96.549650030797281</v>
      </c>
      <c r="S68" s="185">
        <f t="shared" si="16"/>
        <v>128636319</v>
      </c>
      <c r="T68" s="189">
        <f>S68/E67</f>
        <v>10.657728947456267</v>
      </c>
      <c r="U68" s="190"/>
      <c r="V68" s="191"/>
      <c r="W68" s="191"/>
      <c r="X68" s="191"/>
      <c r="Y68" s="192"/>
      <c r="Z68" s="191"/>
      <c r="AA68" s="191"/>
      <c r="AB68" s="191"/>
      <c r="AC68" s="191"/>
      <c r="AD68" s="193"/>
      <c r="AE68" s="193"/>
      <c r="AF68" s="193"/>
      <c r="AG68" s="193"/>
      <c r="AH68" s="194"/>
      <c r="AI68" s="195"/>
      <c r="AJ68" s="196"/>
      <c r="AK68" s="197"/>
      <c r="AL68" s="197"/>
      <c r="AM68" s="197"/>
    </row>
    <row r="70" spans="2:40" x14ac:dyDescent="0.3">
      <c r="AE70" s="75"/>
      <c r="AF70" s="75"/>
      <c r="AG70" s="75"/>
    </row>
    <row r="71" spans="2:40" x14ac:dyDescent="0.3">
      <c r="AE71" s="75"/>
      <c r="AF71" s="75"/>
      <c r="AG71" s="75"/>
    </row>
    <row r="72" spans="2:40" x14ac:dyDescent="0.3">
      <c r="AE72" s="75"/>
      <c r="AF72" s="75"/>
      <c r="AG72" s="75"/>
    </row>
    <row r="74" spans="2:40" x14ac:dyDescent="0.3">
      <c r="C74" s="79"/>
    </row>
    <row r="75" spans="2:40" s="127" customFormat="1" ht="22.5" x14ac:dyDescent="0.3">
      <c r="C75" s="128" t="s">
        <v>212</v>
      </c>
      <c r="D75" s="129"/>
      <c r="E75" s="129"/>
      <c r="F75" s="129"/>
      <c r="G75" s="129"/>
      <c r="H75" s="129"/>
      <c r="I75" s="130"/>
      <c r="J75" s="131"/>
      <c r="K75" s="131"/>
      <c r="L75" s="131"/>
      <c r="M75" s="132"/>
      <c r="N75" s="131"/>
      <c r="O75" s="133"/>
      <c r="P75" s="133"/>
      <c r="Q75" s="133"/>
      <c r="R75" s="131"/>
      <c r="S75" s="131"/>
      <c r="U75" s="133"/>
      <c r="V75" s="131"/>
      <c r="W75" s="131"/>
      <c r="X75" s="131"/>
      <c r="Y75" s="134"/>
      <c r="Z75" s="131"/>
      <c r="AA75" s="131"/>
      <c r="AB75" s="131"/>
      <c r="AC75" s="131"/>
      <c r="AD75" s="133"/>
      <c r="AE75" s="131"/>
      <c r="AF75" s="131"/>
      <c r="AG75" s="131"/>
      <c r="AH75" s="134"/>
      <c r="AI75" s="131"/>
      <c r="AJ75" s="135"/>
      <c r="AK75" s="131"/>
      <c r="AL75" s="131"/>
      <c r="AM75" s="131"/>
    </row>
    <row r="76" spans="2:40" x14ac:dyDescent="0.3">
      <c r="C76" s="80" t="s">
        <v>39</v>
      </c>
      <c r="D76" s="81" t="s">
        <v>122</v>
      </c>
    </row>
    <row r="77" spans="2:40" x14ac:dyDescent="0.3">
      <c r="C77" s="82" t="s">
        <v>1</v>
      </c>
      <c r="D77" s="83" t="s">
        <v>213</v>
      </c>
    </row>
    <row r="78" spans="2:40" x14ac:dyDescent="0.3">
      <c r="C78" s="82"/>
      <c r="D78" s="83"/>
    </row>
    <row r="79" spans="2:40" x14ac:dyDescent="0.3">
      <c r="C79" s="84"/>
      <c r="D79" s="85"/>
      <c r="AD79" s="73"/>
    </row>
    <row r="80" spans="2:40" x14ac:dyDescent="0.3">
      <c r="C80" s="79"/>
    </row>
    <row r="81" spans="2:40" s="90" customFormat="1" x14ac:dyDescent="0.3">
      <c r="B81" s="285"/>
      <c r="C81" s="300" t="s">
        <v>40</v>
      </c>
      <c r="D81" s="303" t="s">
        <v>41</v>
      </c>
      <c r="E81" s="306" t="s">
        <v>42</v>
      </c>
      <c r="F81" s="307"/>
      <c r="G81" s="307"/>
      <c r="H81" s="308"/>
      <c r="I81" s="300" t="s">
        <v>66</v>
      </c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10"/>
      <c r="V81" s="300" t="s">
        <v>43</v>
      </c>
      <c r="W81" s="309"/>
      <c r="X81" s="309"/>
      <c r="Y81" s="309"/>
      <c r="Z81" s="309"/>
      <c r="AA81" s="309"/>
      <c r="AB81" s="309"/>
      <c r="AC81" s="310"/>
      <c r="AD81" s="285"/>
      <c r="AE81" s="139" t="s">
        <v>102</v>
      </c>
      <c r="AF81" s="139" t="s">
        <v>103</v>
      </c>
      <c r="AG81" s="139" t="s">
        <v>104</v>
      </c>
      <c r="AH81" s="86"/>
      <c r="AI81" s="87"/>
      <c r="AJ81" s="86"/>
      <c r="AK81" s="88"/>
      <c r="AL81" s="89"/>
      <c r="AM81" s="89"/>
      <c r="AN81" s="89"/>
    </row>
    <row r="82" spans="2:40" s="90" customFormat="1" x14ac:dyDescent="0.3">
      <c r="B82" s="285"/>
      <c r="C82" s="301"/>
      <c r="D82" s="304"/>
      <c r="E82" s="296" t="s">
        <v>44</v>
      </c>
      <c r="F82" s="297"/>
      <c r="G82" s="297"/>
      <c r="H82" s="298"/>
      <c r="I82" s="302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2"/>
      <c r="V82" s="302"/>
      <c r="W82" s="311"/>
      <c r="X82" s="311"/>
      <c r="Y82" s="311"/>
      <c r="Z82" s="311"/>
      <c r="AA82" s="311"/>
      <c r="AB82" s="311"/>
      <c r="AC82" s="312"/>
      <c r="AD82" s="285"/>
      <c r="AE82" s="140"/>
      <c r="AF82" s="141"/>
      <c r="AG82" s="142"/>
      <c r="AH82" s="86"/>
      <c r="AI82" s="87"/>
      <c r="AJ82" s="86"/>
      <c r="AK82" s="88"/>
      <c r="AL82" s="89"/>
      <c r="AM82" s="89"/>
      <c r="AN82" s="89"/>
    </row>
    <row r="83" spans="2:40" s="90" customFormat="1" x14ac:dyDescent="0.3">
      <c r="B83" s="285"/>
      <c r="C83" s="301"/>
      <c r="D83" s="304"/>
      <c r="E83" s="299" t="s">
        <v>45</v>
      </c>
      <c r="F83" s="143" t="s">
        <v>46</v>
      </c>
      <c r="G83" s="143" t="s">
        <v>47</v>
      </c>
      <c r="H83" s="144" t="s">
        <v>48</v>
      </c>
      <c r="I83" s="299" t="s">
        <v>49</v>
      </c>
      <c r="J83" s="143" t="s">
        <v>50</v>
      </c>
      <c r="K83" s="289" t="s">
        <v>51</v>
      </c>
      <c r="L83" s="145" t="s">
        <v>52</v>
      </c>
      <c r="M83" s="143" t="s">
        <v>53</v>
      </c>
      <c r="N83" s="289" t="s">
        <v>13</v>
      </c>
      <c r="O83" s="289" t="s">
        <v>14</v>
      </c>
      <c r="P83" s="143" t="s">
        <v>54</v>
      </c>
      <c r="Q83" s="143" t="s">
        <v>31</v>
      </c>
      <c r="R83" s="143" t="s">
        <v>32</v>
      </c>
      <c r="S83" s="143" t="s">
        <v>33</v>
      </c>
      <c r="T83" s="146" t="s">
        <v>55</v>
      </c>
      <c r="U83" s="290" t="s">
        <v>27</v>
      </c>
      <c r="V83" s="292" t="s">
        <v>28</v>
      </c>
      <c r="W83" s="281" t="s">
        <v>29</v>
      </c>
      <c r="X83" s="294" t="s">
        <v>30</v>
      </c>
      <c r="Y83" s="281" t="s">
        <v>31</v>
      </c>
      <c r="Z83" s="281" t="s">
        <v>32</v>
      </c>
      <c r="AA83" s="281" t="s">
        <v>33</v>
      </c>
      <c r="AB83" s="281" t="s">
        <v>34</v>
      </c>
      <c r="AC83" s="283" t="s">
        <v>120</v>
      </c>
      <c r="AD83" s="285"/>
      <c r="AE83" s="147"/>
      <c r="AF83" s="142"/>
      <c r="AG83" s="147"/>
      <c r="AH83" s="86"/>
      <c r="AI83" s="87"/>
      <c r="AJ83" s="86"/>
      <c r="AK83" s="88"/>
      <c r="AL83" s="89"/>
      <c r="AM83" s="89"/>
      <c r="AN83" s="89"/>
    </row>
    <row r="84" spans="2:40" s="90" customFormat="1" x14ac:dyDescent="0.3">
      <c r="B84" s="285"/>
      <c r="C84" s="302"/>
      <c r="D84" s="305"/>
      <c r="E84" s="293"/>
      <c r="F84" s="148" t="s">
        <v>56</v>
      </c>
      <c r="G84" s="148" t="s">
        <v>56</v>
      </c>
      <c r="H84" s="149" t="s">
        <v>57</v>
      </c>
      <c r="I84" s="293"/>
      <c r="J84" s="148" t="s">
        <v>58</v>
      </c>
      <c r="K84" s="282"/>
      <c r="L84" s="148" t="s">
        <v>59</v>
      </c>
      <c r="M84" s="148" t="s">
        <v>60</v>
      </c>
      <c r="N84" s="282"/>
      <c r="O84" s="282"/>
      <c r="P84" s="148" t="s">
        <v>61</v>
      </c>
      <c r="Q84" s="148" t="s">
        <v>62</v>
      </c>
      <c r="R84" s="148" t="s">
        <v>63</v>
      </c>
      <c r="S84" s="148" t="s">
        <v>64</v>
      </c>
      <c r="T84" s="150" t="s">
        <v>65</v>
      </c>
      <c r="U84" s="291"/>
      <c r="V84" s="293"/>
      <c r="W84" s="282"/>
      <c r="X84" s="295"/>
      <c r="Y84" s="282"/>
      <c r="Z84" s="282"/>
      <c r="AA84" s="282"/>
      <c r="AB84" s="282"/>
      <c r="AC84" s="284"/>
      <c r="AD84" s="285"/>
      <c r="AE84" s="147"/>
      <c r="AF84" s="142"/>
      <c r="AG84" s="147"/>
      <c r="AH84" s="86"/>
      <c r="AI84" s="87"/>
      <c r="AJ84" s="86"/>
      <c r="AK84" s="88"/>
      <c r="AL84" s="89"/>
      <c r="AM84" s="89"/>
      <c r="AN84" s="89"/>
    </row>
    <row r="85" spans="2:40" s="90" customFormat="1" x14ac:dyDescent="0.45">
      <c r="B85" s="118"/>
      <c r="C85" s="151" t="s">
        <v>123</v>
      </c>
      <c r="D85" s="153" t="s">
        <v>206</v>
      </c>
      <c r="E85" s="154">
        <f>SUM(F85:H85)</f>
        <v>2045865.54</v>
      </c>
      <c r="F85" s="155">
        <v>592086.14</v>
      </c>
      <c r="G85" s="156">
        <v>106000</v>
      </c>
      <c r="H85" s="157">
        <v>1347779.4</v>
      </c>
      <c r="I85" s="158">
        <v>18724322</v>
      </c>
      <c r="J85" s="159">
        <f>E85/I85</f>
        <v>0.10926246301468219</v>
      </c>
      <c r="K85" s="155">
        <v>661706</v>
      </c>
      <c r="L85" s="160">
        <f>K85/I85</f>
        <v>3.5339383717071307E-2</v>
      </c>
      <c r="M85" s="160">
        <f>N85/K85</f>
        <v>6.9458339504251135E-2</v>
      </c>
      <c r="N85" s="155">
        <v>45961</v>
      </c>
      <c r="O85" s="155">
        <v>43413</v>
      </c>
      <c r="P85" s="160">
        <f>O85/N85</f>
        <v>0.94456169360979958</v>
      </c>
      <c r="Q85" s="161">
        <f>E85/N85</f>
        <v>44.51307717412589</v>
      </c>
      <c r="R85" s="161">
        <f>E85/O85</f>
        <v>47.12564301015825</v>
      </c>
      <c r="S85" s="155">
        <f>O85*U$85</f>
        <v>44671977</v>
      </c>
      <c r="T85" s="161">
        <f>S85/E85</f>
        <v>21.835245829498646</v>
      </c>
      <c r="U85" s="286">
        <v>1029</v>
      </c>
      <c r="V85" s="154">
        <v>4977</v>
      </c>
      <c r="W85" s="162">
        <v>4624</v>
      </c>
      <c r="X85" s="160">
        <f>W85/V85</f>
        <v>0.92907373920032144</v>
      </c>
      <c r="Y85" s="162">
        <f>E85/V85</f>
        <v>411.06400241109105</v>
      </c>
      <c r="Z85" s="162">
        <f>E85/W85</f>
        <v>442.44496972318342</v>
      </c>
      <c r="AA85" s="162">
        <f>W85*AC85</f>
        <v>10912640</v>
      </c>
      <c r="AB85" s="161">
        <f>AA85/E85</f>
        <v>5.3339966809353463</v>
      </c>
      <c r="AC85" s="163">
        <v>2360</v>
      </c>
      <c r="AD85" s="118"/>
      <c r="AE85" s="147">
        <v>1347779.4</v>
      </c>
      <c r="AF85" s="142">
        <v>592086.14</v>
      </c>
      <c r="AG85" s="147">
        <v>106000</v>
      </c>
      <c r="AH85" s="86"/>
      <c r="AI85" s="87"/>
      <c r="AJ85" s="86"/>
      <c r="AK85" s="88"/>
      <c r="AL85" s="89"/>
      <c r="AM85" s="89"/>
      <c r="AN85" s="89"/>
    </row>
    <row r="86" spans="2:40" s="90" customFormat="1" x14ac:dyDescent="0.45">
      <c r="B86" s="118"/>
      <c r="C86" s="151" t="s">
        <v>123</v>
      </c>
      <c r="D86" s="153" t="s">
        <v>207</v>
      </c>
      <c r="E86" s="154">
        <f t="shared" ref="E86:E90" si="23">SUM(F86:H86)</f>
        <v>979196.2</v>
      </c>
      <c r="F86" s="155">
        <v>979196.2</v>
      </c>
      <c r="G86" s="156">
        <v>0</v>
      </c>
      <c r="H86" s="157">
        <v>0</v>
      </c>
      <c r="I86" s="158">
        <v>16603241</v>
      </c>
      <c r="J86" s="159">
        <f t="shared" ref="J86:J91" si="24">E86/I86</f>
        <v>5.8976208319809362E-2</v>
      </c>
      <c r="K86" s="155">
        <v>699499</v>
      </c>
      <c r="L86" s="160">
        <f t="shared" ref="L86:L92" si="25">K86/I86</f>
        <v>4.2130268421689474E-2</v>
      </c>
      <c r="M86" s="160">
        <f t="shared" ref="M86:M92" si="26">N86/K86</f>
        <v>6.8723472085020845E-2</v>
      </c>
      <c r="N86" s="155">
        <v>48072</v>
      </c>
      <c r="O86" s="155">
        <v>46680</v>
      </c>
      <c r="P86" s="160">
        <f t="shared" ref="P86:P92" si="27">O86/N86</f>
        <v>0.97104343484772837</v>
      </c>
      <c r="Q86" s="161">
        <f t="shared" ref="Q86:Q91" si="28">E86/N86</f>
        <v>20.369366783158593</v>
      </c>
      <c r="R86" s="161">
        <f t="shared" ref="R86:R91" si="29">E86/O86</f>
        <v>20.976782347900599</v>
      </c>
      <c r="S86" s="155">
        <f t="shared" ref="S86:S92" si="30">O86*U$85</f>
        <v>48033720</v>
      </c>
      <c r="T86" s="161">
        <f t="shared" ref="T86:T91" si="31">S86/E86</f>
        <v>49.054234483344608</v>
      </c>
      <c r="U86" s="287"/>
      <c r="V86" s="154">
        <v>750</v>
      </c>
      <c r="W86" s="162">
        <v>718</v>
      </c>
      <c r="X86" s="160">
        <f t="shared" ref="X86:X91" si="32">W86/V86</f>
        <v>0.95733333333333337</v>
      </c>
      <c r="Y86" s="162">
        <f t="shared" ref="Y86:Y91" si="33">E86/V86</f>
        <v>1305.5949333333333</v>
      </c>
      <c r="Z86" s="162">
        <f t="shared" ref="Z86:Z91" si="34">E86/W86</f>
        <v>1363.7830083565459</v>
      </c>
      <c r="AA86" s="162">
        <f t="shared" ref="AA86:AA91" si="35">W86*AC86</f>
        <v>1184700</v>
      </c>
      <c r="AB86" s="161">
        <f t="shared" ref="AB86:AB91" si="36">AA86/E86</f>
        <v>1.2098698912434505</v>
      </c>
      <c r="AC86" s="163">
        <v>1650</v>
      </c>
      <c r="AD86" s="118"/>
      <c r="AE86" s="147">
        <v>0</v>
      </c>
      <c r="AF86" s="142">
        <v>979196.2</v>
      </c>
      <c r="AG86" s="147">
        <v>0</v>
      </c>
      <c r="AH86" s="86"/>
      <c r="AI86" s="87"/>
      <c r="AJ86" s="86"/>
      <c r="AK86" s="88"/>
      <c r="AL86" s="89"/>
      <c r="AM86" s="89"/>
      <c r="AN86" s="89"/>
    </row>
    <row r="87" spans="2:40" s="90" customFormat="1" x14ac:dyDescent="0.45">
      <c r="B87" s="118"/>
      <c r="C87" s="151" t="s">
        <v>123</v>
      </c>
      <c r="D87" s="153" t="s">
        <v>208</v>
      </c>
      <c r="E87" s="154">
        <f t="shared" si="23"/>
        <v>3587513</v>
      </c>
      <c r="F87" s="155">
        <v>0</v>
      </c>
      <c r="G87" s="156">
        <v>497800</v>
      </c>
      <c r="H87" s="157">
        <v>3089713</v>
      </c>
      <c r="I87" s="158">
        <v>21200595</v>
      </c>
      <c r="J87" s="159">
        <f t="shared" si="24"/>
        <v>0.16921756205427255</v>
      </c>
      <c r="K87" s="155">
        <v>327114</v>
      </c>
      <c r="L87" s="160">
        <f t="shared" si="25"/>
        <v>1.5429472616216668E-2</v>
      </c>
      <c r="M87" s="160">
        <f t="shared" si="26"/>
        <v>5.8829643488202889E-2</v>
      </c>
      <c r="N87" s="155">
        <v>19244</v>
      </c>
      <c r="O87" s="155">
        <v>17281</v>
      </c>
      <c r="P87" s="160">
        <f t="shared" si="27"/>
        <v>0.89799418000415709</v>
      </c>
      <c r="Q87" s="161">
        <f t="shared" si="28"/>
        <v>186.42241737684472</v>
      </c>
      <c r="R87" s="161">
        <f t="shared" si="29"/>
        <v>207.5986922053122</v>
      </c>
      <c r="S87" s="155">
        <f t="shared" si="30"/>
        <v>17782149</v>
      </c>
      <c r="T87" s="161">
        <f t="shared" si="31"/>
        <v>4.9566786238823388</v>
      </c>
      <c r="U87" s="287"/>
      <c r="V87" s="154">
        <v>198</v>
      </c>
      <c r="W87" s="162">
        <v>181</v>
      </c>
      <c r="X87" s="160">
        <f t="shared" si="32"/>
        <v>0.91414141414141414</v>
      </c>
      <c r="Y87" s="162">
        <f t="shared" si="33"/>
        <v>18118.752525252527</v>
      </c>
      <c r="Z87" s="162">
        <f t="shared" si="34"/>
        <v>19820.513812154695</v>
      </c>
      <c r="AA87" s="162">
        <f t="shared" si="35"/>
        <v>368154</v>
      </c>
      <c r="AB87" s="161">
        <f t="shared" si="36"/>
        <v>0.10262095217494682</v>
      </c>
      <c r="AC87" s="163">
        <v>2034</v>
      </c>
      <c r="AD87" s="118"/>
      <c r="AE87" s="147">
        <v>3089713</v>
      </c>
      <c r="AF87" s="142">
        <v>0</v>
      </c>
      <c r="AG87" s="147">
        <v>497800</v>
      </c>
      <c r="AH87" s="86"/>
      <c r="AI87" s="87"/>
      <c r="AJ87" s="86"/>
      <c r="AK87" s="88"/>
      <c r="AL87" s="89"/>
      <c r="AM87" s="89"/>
      <c r="AN87" s="89"/>
    </row>
    <row r="88" spans="2:40" s="90" customFormat="1" x14ac:dyDescent="0.45">
      <c r="B88" s="118"/>
      <c r="C88" s="151" t="s">
        <v>123</v>
      </c>
      <c r="D88" s="153" t="s">
        <v>209</v>
      </c>
      <c r="E88" s="154">
        <f t="shared" si="23"/>
        <v>2389173</v>
      </c>
      <c r="F88" s="155">
        <v>0</v>
      </c>
      <c r="G88" s="156">
        <v>795000</v>
      </c>
      <c r="H88" s="157">
        <v>1594173</v>
      </c>
      <c r="I88" s="158">
        <v>18893433</v>
      </c>
      <c r="J88" s="159">
        <f t="shared" si="24"/>
        <v>0.12645520800798882</v>
      </c>
      <c r="K88" s="155">
        <v>317726</v>
      </c>
      <c r="L88" s="160">
        <f t="shared" si="25"/>
        <v>1.6816742621629431E-2</v>
      </c>
      <c r="M88" s="160">
        <f t="shared" si="26"/>
        <v>5.1900064835738967E-2</v>
      </c>
      <c r="N88" s="155">
        <v>16490</v>
      </c>
      <c r="O88" s="155">
        <v>14866</v>
      </c>
      <c r="P88" s="160">
        <f t="shared" si="27"/>
        <v>0.90151607034566406</v>
      </c>
      <c r="Q88" s="161">
        <f t="shared" si="28"/>
        <v>144.88617343844754</v>
      </c>
      <c r="R88" s="161">
        <f t="shared" si="29"/>
        <v>160.71391093771021</v>
      </c>
      <c r="S88" s="155">
        <f t="shared" si="30"/>
        <v>15297114</v>
      </c>
      <c r="T88" s="161">
        <f t="shared" si="31"/>
        <v>6.4026815973560725</v>
      </c>
      <c r="U88" s="287"/>
      <c r="V88" s="154">
        <v>156</v>
      </c>
      <c r="W88" s="162">
        <v>134</v>
      </c>
      <c r="X88" s="160">
        <f t="shared" si="32"/>
        <v>0.85897435897435892</v>
      </c>
      <c r="Y88" s="162">
        <f t="shared" si="33"/>
        <v>15315.211538461539</v>
      </c>
      <c r="Z88" s="162">
        <f t="shared" si="34"/>
        <v>17829.649253731342</v>
      </c>
      <c r="AA88" s="162">
        <f t="shared" si="35"/>
        <v>450910</v>
      </c>
      <c r="AB88" s="161">
        <f t="shared" si="36"/>
        <v>0.18873057748434291</v>
      </c>
      <c r="AC88" s="163">
        <v>3365</v>
      </c>
      <c r="AD88" s="118"/>
      <c r="AE88" s="147">
        <v>1594173</v>
      </c>
      <c r="AF88" s="142">
        <v>0</v>
      </c>
      <c r="AG88" s="147">
        <v>795000</v>
      </c>
      <c r="AH88" s="86"/>
      <c r="AI88" s="87"/>
      <c r="AJ88" s="86"/>
      <c r="AK88" s="88"/>
      <c r="AL88" s="89"/>
      <c r="AM88" s="89"/>
      <c r="AN88" s="89"/>
    </row>
    <row r="89" spans="2:40" s="90" customFormat="1" x14ac:dyDescent="0.45">
      <c r="B89" s="118"/>
      <c r="C89" s="151" t="s">
        <v>123</v>
      </c>
      <c r="D89" s="203" t="s">
        <v>210</v>
      </c>
      <c r="E89" s="154">
        <f t="shared" si="23"/>
        <v>899152.63</v>
      </c>
      <c r="F89" s="155">
        <v>288133.63</v>
      </c>
      <c r="G89" s="156">
        <v>200000</v>
      </c>
      <c r="H89" s="157">
        <v>411019</v>
      </c>
      <c r="I89" s="204">
        <v>7465875</v>
      </c>
      <c r="J89" s="159">
        <f t="shared" si="24"/>
        <v>0.12043499656771645</v>
      </c>
      <c r="K89" s="205">
        <v>180441</v>
      </c>
      <c r="L89" s="160">
        <f t="shared" si="25"/>
        <v>2.4168767893917323E-2</v>
      </c>
      <c r="M89" s="160">
        <f t="shared" si="26"/>
        <v>4.3166464384480248E-2</v>
      </c>
      <c r="N89" s="205">
        <v>7789</v>
      </c>
      <c r="O89" s="205">
        <v>7550</v>
      </c>
      <c r="P89" s="160">
        <f t="shared" si="27"/>
        <v>0.96931570163050451</v>
      </c>
      <c r="Q89" s="161">
        <f t="shared" si="28"/>
        <v>115.43877647965078</v>
      </c>
      <c r="R89" s="161">
        <f t="shared" si="29"/>
        <v>119.09306357615894</v>
      </c>
      <c r="S89" s="155">
        <f t="shared" si="30"/>
        <v>7768950</v>
      </c>
      <c r="T89" s="161">
        <f t="shared" si="31"/>
        <v>8.6403017027264877</v>
      </c>
      <c r="U89" s="287"/>
      <c r="V89" s="206">
        <v>226</v>
      </c>
      <c r="W89" s="207">
        <v>224</v>
      </c>
      <c r="X89" s="160">
        <f t="shared" si="32"/>
        <v>0.99115044247787609</v>
      </c>
      <c r="Y89" s="162">
        <f t="shared" si="33"/>
        <v>3978.551460176991</v>
      </c>
      <c r="Z89" s="162">
        <f t="shared" si="34"/>
        <v>4014.0742410714288</v>
      </c>
      <c r="AA89" s="162">
        <f t="shared" si="35"/>
        <v>109760</v>
      </c>
      <c r="AB89" s="161">
        <f t="shared" si="36"/>
        <v>0.12207048763233891</v>
      </c>
      <c r="AC89" s="208">
        <v>490</v>
      </c>
      <c r="AD89" s="118"/>
      <c r="AE89" s="147">
        <v>411019</v>
      </c>
      <c r="AF89" s="142">
        <v>288133.63</v>
      </c>
      <c r="AG89" s="147">
        <v>200000</v>
      </c>
      <c r="AH89" s="86"/>
      <c r="AI89" s="87"/>
      <c r="AJ89" s="86"/>
      <c r="AK89" s="88"/>
      <c r="AL89" s="89"/>
      <c r="AM89" s="89"/>
      <c r="AN89" s="89"/>
    </row>
    <row r="90" spans="2:40" s="90" customFormat="1" x14ac:dyDescent="0.45">
      <c r="B90" s="118"/>
      <c r="C90" s="151" t="s">
        <v>123</v>
      </c>
      <c r="D90" s="209" t="s">
        <v>211</v>
      </c>
      <c r="E90" s="210">
        <f t="shared" si="23"/>
        <v>1292794</v>
      </c>
      <c r="F90" s="211">
        <v>215000</v>
      </c>
      <c r="G90" s="212">
        <v>0</v>
      </c>
      <c r="H90" s="213">
        <v>1077794</v>
      </c>
      <c r="I90" s="214">
        <v>13626403</v>
      </c>
      <c r="J90" s="159">
        <f t="shared" si="24"/>
        <v>9.4874193871999829E-2</v>
      </c>
      <c r="K90" s="211">
        <v>277133</v>
      </c>
      <c r="L90" s="160">
        <f t="shared" si="25"/>
        <v>2.0337942448935348E-2</v>
      </c>
      <c r="M90" s="160">
        <f t="shared" si="26"/>
        <v>6.4882204573255442E-2</v>
      </c>
      <c r="N90" s="211">
        <v>17981</v>
      </c>
      <c r="O90" s="211">
        <v>16032</v>
      </c>
      <c r="P90" s="160">
        <f t="shared" si="27"/>
        <v>0.89160780824203323</v>
      </c>
      <c r="Q90" s="161">
        <f t="shared" si="28"/>
        <v>71.897780991046105</v>
      </c>
      <c r="R90" s="161">
        <f t="shared" si="29"/>
        <v>80.638348303393215</v>
      </c>
      <c r="S90" s="155">
        <f t="shared" si="30"/>
        <v>16496928</v>
      </c>
      <c r="T90" s="161">
        <f t="shared" si="31"/>
        <v>12.760678035325039</v>
      </c>
      <c r="U90" s="287"/>
      <c r="V90" s="210">
        <v>2102</v>
      </c>
      <c r="W90" s="215">
        <v>1784</v>
      </c>
      <c r="X90" s="160">
        <f t="shared" si="32"/>
        <v>0.8487155090390105</v>
      </c>
      <c r="Y90" s="162">
        <f t="shared" si="33"/>
        <v>615.03044719314937</v>
      </c>
      <c r="Z90" s="162">
        <f t="shared" si="34"/>
        <v>724.66031390134526</v>
      </c>
      <c r="AA90" s="162">
        <f t="shared" si="35"/>
        <v>3427064</v>
      </c>
      <c r="AB90" s="161">
        <f t="shared" si="36"/>
        <v>2.6508972040402417</v>
      </c>
      <c r="AC90" s="216">
        <v>1921</v>
      </c>
      <c r="AD90" s="118"/>
      <c r="AE90" s="147">
        <v>1077794</v>
      </c>
      <c r="AF90" s="142">
        <v>215000</v>
      </c>
      <c r="AG90" s="147"/>
      <c r="AH90" s="86"/>
      <c r="AI90" s="87"/>
      <c r="AJ90" s="86"/>
      <c r="AK90" s="88"/>
      <c r="AL90" s="89"/>
      <c r="AM90" s="89"/>
      <c r="AN90" s="89"/>
    </row>
    <row r="91" spans="2:40" s="183" customFormat="1" x14ac:dyDescent="0.45">
      <c r="B91" s="165"/>
      <c r="C91" s="166"/>
      <c r="D91" s="168" t="s">
        <v>112</v>
      </c>
      <c r="E91" s="169">
        <f>SUM(E85:E90)</f>
        <v>11193694.370000001</v>
      </c>
      <c r="F91" s="170">
        <f>SUM(F85:F90)</f>
        <v>2074415.9699999997</v>
      </c>
      <c r="G91" s="170">
        <f>SUM(G85:G90)</f>
        <v>1598800</v>
      </c>
      <c r="H91" s="171">
        <f>SUM(H85:H90)</f>
        <v>7520478.4000000004</v>
      </c>
      <c r="I91" s="172">
        <f>SUM(I85:I90)</f>
        <v>96513869</v>
      </c>
      <c r="J91" s="173">
        <f t="shared" si="24"/>
        <v>0.11598016415651102</v>
      </c>
      <c r="K91" s="170">
        <f>SUM(K85:K90)</f>
        <v>2463619</v>
      </c>
      <c r="L91" s="174">
        <f t="shared" si="25"/>
        <v>2.552606195903306E-2</v>
      </c>
      <c r="M91" s="174">
        <f t="shared" si="26"/>
        <v>6.3133544594354885E-2</v>
      </c>
      <c r="N91" s="170">
        <f>SUM(N85:N90)</f>
        <v>155537</v>
      </c>
      <c r="O91" s="170">
        <f>SUM(O85:O90)</f>
        <v>145822</v>
      </c>
      <c r="P91" s="174">
        <f t="shared" si="27"/>
        <v>0.93753897786378804</v>
      </c>
      <c r="Q91" s="176">
        <f t="shared" si="28"/>
        <v>71.968048567221956</v>
      </c>
      <c r="R91" s="176">
        <f t="shared" si="29"/>
        <v>76.76272695478049</v>
      </c>
      <c r="S91" s="170">
        <f t="shared" si="30"/>
        <v>150050838</v>
      </c>
      <c r="T91" s="176">
        <f t="shared" si="31"/>
        <v>13.404943268966525</v>
      </c>
      <c r="U91" s="288"/>
      <c r="V91" s="177">
        <f>SUM(V85:V90)</f>
        <v>8409</v>
      </c>
      <c r="W91" s="175">
        <f>SUM(W85:W90)</f>
        <v>7665</v>
      </c>
      <c r="X91" s="174">
        <f t="shared" si="32"/>
        <v>0.91152336782019261</v>
      </c>
      <c r="Y91" s="175">
        <f t="shared" si="33"/>
        <v>1331.1564240694495</v>
      </c>
      <c r="Z91" s="175">
        <f t="shared" si="34"/>
        <v>1460.3645622961515</v>
      </c>
      <c r="AA91" s="175">
        <f t="shared" si="35"/>
        <v>15100050</v>
      </c>
      <c r="AB91" s="178">
        <f t="shared" si="36"/>
        <v>1.3489782283558989</v>
      </c>
      <c r="AC91" s="171">
        <f>AVERAGE(AC85:AC90)</f>
        <v>1970</v>
      </c>
      <c r="AD91" s="165"/>
      <c r="AE91" s="165"/>
      <c r="AF91" s="165"/>
      <c r="AG91" s="165"/>
      <c r="AH91" s="179"/>
      <c r="AI91" s="180"/>
      <c r="AJ91" s="179"/>
      <c r="AK91" s="181"/>
      <c r="AL91" s="182"/>
      <c r="AM91" s="182"/>
      <c r="AN91" s="182"/>
    </row>
    <row r="92" spans="2:40" s="91" customFormat="1" x14ac:dyDescent="0.3">
      <c r="D92" s="184" t="s">
        <v>113</v>
      </c>
      <c r="E92" s="184"/>
      <c r="F92" s="184"/>
      <c r="G92" s="184"/>
      <c r="H92" s="184"/>
      <c r="I92" s="185">
        <v>69078114</v>
      </c>
      <c r="J92" s="186">
        <f>E91/I92</f>
        <v>0.16204400673127817</v>
      </c>
      <c r="K92" s="185">
        <v>1476525</v>
      </c>
      <c r="L92" s="187">
        <f t="shared" si="25"/>
        <v>2.1374715007418991E-2</v>
      </c>
      <c r="M92" s="187">
        <f t="shared" si="26"/>
        <v>6.6739134115575416E-2</v>
      </c>
      <c r="N92" s="185">
        <v>98542</v>
      </c>
      <c r="O92" s="185">
        <v>90731</v>
      </c>
      <c r="P92" s="187">
        <f t="shared" si="27"/>
        <v>0.92073430618416507</v>
      </c>
      <c r="Q92" s="189">
        <f>E91/N92</f>
        <v>113.59313155811736</v>
      </c>
      <c r="R92" s="189">
        <f>E91/O92</f>
        <v>123.37232445360462</v>
      </c>
      <c r="S92" s="185">
        <f t="shared" si="30"/>
        <v>93362199</v>
      </c>
      <c r="T92" s="189">
        <f>S92/E91</f>
        <v>8.3406064087490357</v>
      </c>
      <c r="U92" s="190"/>
      <c r="V92" s="191"/>
      <c r="W92" s="191"/>
      <c r="X92" s="191"/>
      <c r="Y92" s="192"/>
      <c r="Z92" s="191"/>
      <c r="AA92" s="191"/>
      <c r="AB92" s="191"/>
      <c r="AC92" s="191"/>
      <c r="AD92" s="193"/>
      <c r="AE92" s="193"/>
      <c r="AF92" s="193"/>
      <c r="AG92" s="193"/>
      <c r="AH92" s="194"/>
      <c r="AI92" s="195"/>
      <c r="AJ92" s="196"/>
      <c r="AK92" s="197"/>
      <c r="AL92" s="197"/>
      <c r="AM92" s="197"/>
    </row>
    <row r="94" spans="2:40" x14ac:dyDescent="0.3">
      <c r="AE94" s="75"/>
      <c r="AF94" s="75"/>
      <c r="AG94" s="75"/>
    </row>
    <row r="95" spans="2:40" x14ac:dyDescent="0.3">
      <c r="AE95" s="75"/>
      <c r="AF95" s="75"/>
      <c r="AG95" s="75"/>
    </row>
    <row r="96" spans="2:40" x14ac:dyDescent="0.3">
      <c r="AE96" s="75"/>
      <c r="AF96" s="75"/>
      <c r="AG96" s="75"/>
    </row>
    <row r="98" spans="2:40" s="127" customFormat="1" ht="22.5" x14ac:dyDescent="0.3">
      <c r="C98" s="128" t="s">
        <v>214</v>
      </c>
      <c r="D98" s="129"/>
      <c r="E98" s="129"/>
      <c r="F98" s="129"/>
      <c r="G98" s="129"/>
      <c r="H98" s="129"/>
      <c r="I98" s="130"/>
      <c r="J98" s="131"/>
      <c r="K98" s="131"/>
      <c r="L98" s="131"/>
      <c r="M98" s="132"/>
      <c r="N98" s="131"/>
      <c r="O98" s="133"/>
      <c r="P98" s="133"/>
      <c r="Q98" s="133"/>
      <c r="R98" s="131"/>
      <c r="S98" s="131"/>
      <c r="U98" s="133"/>
      <c r="V98" s="131"/>
      <c r="W98" s="131"/>
      <c r="X98" s="131"/>
      <c r="Y98" s="134"/>
      <c r="Z98" s="131"/>
      <c r="AA98" s="131"/>
      <c r="AB98" s="131"/>
      <c r="AC98" s="131"/>
      <c r="AD98" s="133"/>
      <c r="AE98" s="131"/>
      <c r="AF98" s="131"/>
      <c r="AG98" s="131"/>
      <c r="AH98" s="134"/>
      <c r="AI98" s="131"/>
      <c r="AJ98" s="135"/>
      <c r="AK98" s="131"/>
      <c r="AL98" s="131"/>
      <c r="AM98" s="131"/>
    </row>
    <row r="99" spans="2:40" x14ac:dyDescent="0.3">
      <c r="C99" s="80" t="s">
        <v>39</v>
      </c>
      <c r="D99" s="81" t="s">
        <v>124</v>
      </c>
    </row>
    <row r="100" spans="2:40" x14ac:dyDescent="0.3">
      <c r="C100" s="82" t="s">
        <v>1</v>
      </c>
      <c r="D100" s="83" t="s">
        <v>215</v>
      </c>
    </row>
    <row r="101" spans="2:40" x14ac:dyDescent="0.3">
      <c r="C101" s="82"/>
      <c r="D101" s="83"/>
    </row>
    <row r="102" spans="2:40" x14ac:dyDescent="0.3">
      <c r="C102" s="84"/>
      <c r="D102" s="85"/>
      <c r="AD102" s="73"/>
    </row>
    <row r="103" spans="2:40" x14ac:dyDescent="0.3">
      <c r="C103" s="79"/>
    </row>
    <row r="104" spans="2:40" s="90" customFormat="1" x14ac:dyDescent="0.3">
      <c r="B104" s="285"/>
      <c r="C104" s="300" t="s">
        <v>40</v>
      </c>
      <c r="D104" s="303" t="s">
        <v>41</v>
      </c>
      <c r="E104" s="306" t="s">
        <v>42</v>
      </c>
      <c r="F104" s="307"/>
      <c r="G104" s="307"/>
      <c r="H104" s="308"/>
      <c r="I104" s="300" t="s">
        <v>66</v>
      </c>
      <c r="J104" s="309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10"/>
      <c r="V104" s="300" t="s">
        <v>43</v>
      </c>
      <c r="W104" s="309"/>
      <c r="X104" s="309"/>
      <c r="Y104" s="309"/>
      <c r="Z104" s="309"/>
      <c r="AA104" s="309"/>
      <c r="AB104" s="309"/>
      <c r="AC104" s="310"/>
      <c r="AD104" s="285"/>
      <c r="AE104" s="139" t="s">
        <v>102</v>
      </c>
      <c r="AF104" s="139" t="s">
        <v>103</v>
      </c>
      <c r="AG104" s="139" t="s">
        <v>104</v>
      </c>
      <c r="AH104" s="86"/>
      <c r="AI104" s="87"/>
      <c r="AJ104" s="86"/>
      <c r="AK104" s="88"/>
      <c r="AL104" s="89"/>
      <c r="AM104" s="89"/>
      <c r="AN104" s="89"/>
    </row>
    <row r="105" spans="2:40" s="90" customFormat="1" x14ac:dyDescent="0.3">
      <c r="B105" s="285"/>
      <c r="C105" s="301"/>
      <c r="D105" s="304"/>
      <c r="E105" s="296" t="s">
        <v>44</v>
      </c>
      <c r="F105" s="297"/>
      <c r="G105" s="297"/>
      <c r="H105" s="298"/>
      <c r="I105" s="302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2"/>
      <c r="V105" s="302"/>
      <c r="W105" s="311"/>
      <c r="X105" s="311"/>
      <c r="Y105" s="311"/>
      <c r="Z105" s="311"/>
      <c r="AA105" s="311"/>
      <c r="AB105" s="311"/>
      <c r="AC105" s="312"/>
      <c r="AD105" s="285"/>
      <c r="AE105" s="140"/>
      <c r="AF105" s="141"/>
      <c r="AG105" s="142"/>
      <c r="AH105" s="86"/>
      <c r="AI105" s="87"/>
      <c r="AJ105" s="86"/>
      <c r="AK105" s="88"/>
      <c r="AL105" s="89"/>
      <c r="AM105" s="89"/>
      <c r="AN105" s="89"/>
    </row>
    <row r="106" spans="2:40" s="90" customFormat="1" x14ac:dyDescent="0.3">
      <c r="B106" s="285"/>
      <c r="C106" s="301"/>
      <c r="D106" s="304"/>
      <c r="E106" s="299" t="s">
        <v>45</v>
      </c>
      <c r="F106" s="143" t="s">
        <v>46</v>
      </c>
      <c r="G106" s="143" t="s">
        <v>47</v>
      </c>
      <c r="H106" s="144" t="s">
        <v>48</v>
      </c>
      <c r="I106" s="299" t="s">
        <v>49</v>
      </c>
      <c r="J106" s="143" t="s">
        <v>50</v>
      </c>
      <c r="K106" s="289" t="s">
        <v>51</v>
      </c>
      <c r="L106" s="145" t="s">
        <v>52</v>
      </c>
      <c r="M106" s="143" t="s">
        <v>53</v>
      </c>
      <c r="N106" s="289" t="s">
        <v>13</v>
      </c>
      <c r="O106" s="289" t="s">
        <v>14</v>
      </c>
      <c r="P106" s="143" t="s">
        <v>54</v>
      </c>
      <c r="Q106" s="143" t="s">
        <v>31</v>
      </c>
      <c r="R106" s="143" t="s">
        <v>32</v>
      </c>
      <c r="S106" s="143" t="s">
        <v>33</v>
      </c>
      <c r="T106" s="146" t="s">
        <v>55</v>
      </c>
      <c r="U106" s="290" t="s">
        <v>27</v>
      </c>
      <c r="V106" s="292" t="s">
        <v>28</v>
      </c>
      <c r="W106" s="281" t="s">
        <v>29</v>
      </c>
      <c r="X106" s="294" t="s">
        <v>30</v>
      </c>
      <c r="Y106" s="281" t="s">
        <v>31</v>
      </c>
      <c r="Z106" s="281" t="s">
        <v>32</v>
      </c>
      <c r="AA106" s="281" t="s">
        <v>33</v>
      </c>
      <c r="AB106" s="281" t="s">
        <v>34</v>
      </c>
      <c r="AC106" s="283" t="s">
        <v>120</v>
      </c>
      <c r="AD106" s="285"/>
      <c r="AE106" s="147"/>
      <c r="AF106" s="142"/>
      <c r="AG106" s="147"/>
      <c r="AH106" s="86"/>
      <c r="AI106" s="87"/>
      <c r="AJ106" s="86"/>
      <c r="AK106" s="88"/>
      <c r="AL106" s="89"/>
      <c r="AM106" s="89"/>
      <c r="AN106" s="89"/>
    </row>
    <row r="107" spans="2:40" s="90" customFormat="1" x14ac:dyDescent="0.3">
      <c r="B107" s="285"/>
      <c r="C107" s="302"/>
      <c r="D107" s="305"/>
      <c r="E107" s="293"/>
      <c r="F107" s="148" t="s">
        <v>56</v>
      </c>
      <c r="G107" s="148" t="s">
        <v>56</v>
      </c>
      <c r="H107" s="149" t="s">
        <v>57</v>
      </c>
      <c r="I107" s="293"/>
      <c r="J107" s="148" t="s">
        <v>58</v>
      </c>
      <c r="K107" s="282"/>
      <c r="L107" s="148" t="s">
        <v>59</v>
      </c>
      <c r="M107" s="148" t="s">
        <v>60</v>
      </c>
      <c r="N107" s="282"/>
      <c r="O107" s="282"/>
      <c r="P107" s="148" t="s">
        <v>61</v>
      </c>
      <c r="Q107" s="148" t="s">
        <v>62</v>
      </c>
      <c r="R107" s="148" t="s">
        <v>63</v>
      </c>
      <c r="S107" s="148" t="s">
        <v>64</v>
      </c>
      <c r="T107" s="150" t="s">
        <v>65</v>
      </c>
      <c r="U107" s="291"/>
      <c r="V107" s="293"/>
      <c r="W107" s="282"/>
      <c r="X107" s="295"/>
      <c r="Y107" s="282"/>
      <c r="Z107" s="282"/>
      <c r="AA107" s="282"/>
      <c r="AB107" s="282"/>
      <c r="AC107" s="284"/>
      <c r="AD107" s="285"/>
      <c r="AE107" s="147"/>
      <c r="AF107" s="142"/>
      <c r="AG107" s="147"/>
      <c r="AH107" s="86"/>
      <c r="AI107" s="87"/>
      <c r="AJ107" s="86"/>
      <c r="AK107" s="88"/>
      <c r="AL107" s="89"/>
      <c r="AM107" s="89"/>
      <c r="AN107" s="89"/>
    </row>
    <row r="108" spans="2:40" s="90" customFormat="1" x14ac:dyDescent="0.45">
      <c r="B108" s="118"/>
      <c r="C108" s="151" t="s">
        <v>125</v>
      </c>
      <c r="D108" s="153" t="s">
        <v>206</v>
      </c>
      <c r="E108" s="154">
        <f>SUM(F108:H108)</f>
        <v>1978025.54</v>
      </c>
      <c r="F108" s="155">
        <v>524246.14</v>
      </c>
      <c r="G108" s="156">
        <v>106000</v>
      </c>
      <c r="H108" s="157">
        <v>1347779.4</v>
      </c>
      <c r="I108" s="158">
        <v>17740280</v>
      </c>
      <c r="J108" s="159">
        <f>E108/I108</f>
        <v>0.11149911613570924</v>
      </c>
      <c r="K108" s="155">
        <v>577199</v>
      </c>
      <c r="L108" s="160">
        <f>K108/I108</f>
        <v>3.2536070456610604E-2</v>
      </c>
      <c r="M108" s="160">
        <f>N108/K108</f>
        <v>6.5585699212923093E-2</v>
      </c>
      <c r="N108" s="155">
        <v>37856</v>
      </c>
      <c r="O108" s="155">
        <v>35760</v>
      </c>
      <c r="P108" s="160">
        <f>O108/N108</f>
        <v>0.94463229078613697</v>
      </c>
      <c r="Q108" s="161">
        <f>E108/N108</f>
        <v>52.251308643279799</v>
      </c>
      <c r="R108" s="161">
        <f>E108/O108</f>
        <v>55.313913310961972</v>
      </c>
      <c r="S108" s="155">
        <f>O108*U$108</f>
        <v>36797040</v>
      </c>
      <c r="T108" s="161">
        <f>S108/E108</f>
        <v>18.602914500284967</v>
      </c>
      <c r="U108" s="286">
        <v>1029</v>
      </c>
      <c r="V108" s="154">
        <v>3743</v>
      </c>
      <c r="W108" s="162">
        <v>3462</v>
      </c>
      <c r="X108" s="160">
        <f>W108/V108</f>
        <v>0.92492652952177401</v>
      </c>
      <c r="Y108" s="162">
        <f>E108/V108</f>
        <v>528.4599358803099</v>
      </c>
      <c r="Z108" s="162">
        <f>E108/W108</f>
        <v>571.35341998844603</v>
      </c>
      <c r="AA108" s="162">
        <f>W108*AC108</f>
        <v>8170320</v>
      </c>
      <c r="AB108" s="161">
        <f>AA108/E108</f>
        <v>4.1305432284762107</v>
      </c>
      <c r="AC108" s="163">
        <v>2360</v>
      </c>
      <c r="AD108" s="118"/>
      <c r="AE108" s="147">
        <v>1347779.4</v>
      </c>
      <c r="AF108" s="142">
        <v>524246.14</v>
      </c>
      <c r="AG108" s="147">
        <v>106000</v>
      </c>
      <c r="AH108" s="86"/>
      <c r="AI108" s="87"/>
      <c r="AJ108" s="86"/>
      <c r="AK108" s="88"/>
      <c r="AL108" s="89"/>
      <c r="AM108" s="89"/>
      <c r="AN108" s="89"/>
    </row>
    <row r="109" spans="2:40" s="90" customFormat="1" x14ac:dyDescent="0.45">
      <c r="B109" s="118"/>
      <c r="C109" s="151" t="s">
        <v>125</v>
      </c>
      <c r="D109" s="153" t="s">
        <v>207</v>
      </c>
      <c r="E109" s="154">
        <f t="shared" ref="E109:E113" si="37">SUM(F109:H109)</f>
        <v>979196.2</v>
      </c>
      <c r="F109" s="155">
        <v>979196.2</v>
      </c>
      <c r="G109" s="156">
        <v>0</v>
      </c>
      <c r="H109" s="157">
        <v>0</v>
      </c>
      <c r="I109" s="158">
        <v>12784519</v>
      </c>
      <c r="J109" s="159">
        <f t="shared" ref="J109:J114" si="38">E109/I109</f>
        <v>7.659233796750585E-2</v>
      </c>
      <c r="K109" s="155">
        <v>546430</v>
      </c>
      <c r="L109" s="160">
        <f t="shared" ref="L109:L115" si="39">K109/I109</f>
        <v>4.2741537636261484E-2</v>
      </c>
      <c r="M109" s="160">
        <f t="shared" ref="M109:M115" si="40">N109/K109</f>
        <v>6.6500741174532876E-2</v>
      </c>
      <c r="N109" s="155">
        <v>36338</v>
      </c>
      <c r="O109" s="155">
        <v>35355</v>
      </c>
      <c r="P109" s="160">
        <f t="shared" ref="P109:P115" si="41">O109/N109</f>
        <v>0.97294842864219278</v>
      </c>
      <c r="Q109" s="161">
        <f t="shared" ref="Q109:Q114" si="42">E109/N109</f>
        <v>26.946893059607021</v>
      </c>
      <c r="R109" s="161">
        <f t="shared" ref="R109:R114" si="43">E109/O109</f>
        <v>27.696116532315088</v>
      </c>
      <c r="S109" s="155">
        <f t="shared" ref="S109:S115" si="44">O109*U$108</f>
        <v>36380295</v>
      </c>
      <c r="T109" s="161">
        <f t="shared" ref="T109:T114" si="45">S109/E109</f>
        <v>37.153223225335232</v>
      </c>
      <c r="U109" s="287"/>
      <c r="V109" s="154">
        <v>576</v>
      </c>
      <c r="W109" s="162">
        <v>555</v>
      </c>
      <c r="X109" s="160">
        <f t="shared" ref="X109:X114" si="46">W109/V109</f>
        <v>0.96354166666666663</v>
      </c>
      <c r="Y109" s="162">
        <f t="shared" ref="Y109:Y114" si="47">E109/V109</f>
        <v>1699.9934027777776</v>
      </c>
      <c r="Z109" s="162">
        <f t="shared" ref="Z109:Z114" si="48">E109/W109</f>
        <v>1764.3174774774775</v>
      </c>
      <c r="AA109" s="162">
        <f t="shared" ref="AA109:AA114" si="49">W109*AC109</f>
        <v>915750</v>
      </c>
      <c r="AB109" s="161">
        <f t="shared" ref="AB109:AB114" si="50">AA109/E109</f>
        <v>0.93520583515336364</v>
      </c>
      <c r="AC109" s="163">
        <v>1650</v>
      </c>
      <c r="AD109" s="118"/>
      <c r="AE109" s="147">
        <v>0</v>
      </c>
      <c r="AF109" s="142">
        <v>979196.2</v>
      </c>
      <c r="AG109" s="147">
        <v>0</v>
      </c>
      <c r="AH109" s="86"/>
      <c r="AI109" s="87"/>
      <c r="AJ109" s="86"/>
      <c r="AK109" s="88"/>
      <c r="AL109" s="89"/>
      <c r="AM109" s="89"/>
      <c r="AN109" s="89"/>
    </row>
    <row r="110" spans="2:40" s="90" customFormat="1" x14ac:dyDescent="0.45">
      <c r="B110" s="118"/>
      <c r="C110" s="151" t="s">
        <v>125</v>
      </c>
      <c r="D110" s="153" t="s">
        <v>208</v>
      </c>
      <c r="E110" s="154">
        <f t="shared" si="37"/>
        <v>3587513</v>
      </c>
      <c r="F110" s="155">
        <v>0</v>
      </c>
      <c r="G110" s="156">
        <v>497800</v>
      </c>
      <c r="H110" s="157">
        <v>3089713</v>
      </c>
      <c r="I110" s="158">
        <v>20677672</v>
      </c>
      <c r="J110" s="159">
        <f t="shared" si="38"/>
        <v>0.17349694878611094</v>
      </c>
      <c r="K110" s="155">
        <v>284150</v>
      </c>
      <c r="L110" s="160">
        <f t="shared" si="39"/>
        <v>1.3741875777892211E-2</v>
      </c>
      <c r="M110" s="160">
        <f t="shared" si="40"/>
        <v>5.4612000703853601E-2</v>
      </c>
      <c r="N110" s="155">
        <v>15518</v>
      </c>
      <c r="O110" s="155">
        <v>13842</v>
      </c>
      <c r="P110" s="160">
        <f t="shared" si="41"/>
        <v>0.89199639128753705</v>
      </c>
      <c r="Q110" s="161">
        <f t="shared" si="42"/>
        <v>231.18397989431628</v>
      </c>
      <c r="R110" s="161">
        <f t="shared" si="43"/>
        <v>259.17591388527671</v>
      </c>
      <c r="S110" s="155">
        <f t="shared" si="44"/>
        <v>14243418</v>
      </c>
      <c r="T110" s="161">
        <f t="shared" si="45"/>
        <v>3.970276344643211</v>
      </c>
      <c r="U110" s="287"/>
      <c r="V110" s="154">
        <v>172</v>
      </c>
      <c r="W110" s="162">
        <v>158</v>
      </c>
      <c r="X110" s="160">
        <f t="shared" si="46"/>
        <v>0.91860465116279066</v>
      </c>
      <c r="Y110" s="162">
        <f t="shared" si="47"/>
        <v>20857.633720930233</v>
      </c>
      <c r="Z110" s="162">
        <f t="shared" si="48"/>
        <v>22705.778481012658</v>
      </c>
      <c r="AA110" s="162">
        <f t="shared" si="49"/>
        <v>321372</v>
      </c>
      <c r="AB110" s="161">
        <f t="shared" si="50"/>
        <v>8.9580720683102757E-2</v>
      </c>
      <c r="AC110" s="163">
        <v>2034</v>
      </c>
      <c r="AD110" s="118"/>
      <c r="AE110" s="147">
        <v>3089713</v>
      </c>
      <c r="AF110" s="142">
        <v>0</v>
      </c>
      <c r="AG110" s="147">
        <v>497800</v>
      </c>
      <c r="AH110" s="86"/>
      <c r="AI110" s="87"/>
      <c r="AJ110" s="86"/>
      <c r="AK110" s="88"/>
      <c r="AL110" s="89"/>
      <c r="AM110" s="89"/>
      <c r="AN110" s="89"/>
    </row>
    <row r="111" spans="2:40" s="90" customFormat="1" x14ac:dyDescent="0.45">
      <c r="B111" s="118"/>
      <c r="C111" s="151" t="s">
        <v>125</v>
      </c>
      <c r="D111" s="153" t="s">
        <v>209</v>
      </c>
      <c r="E111" s="154">
        <f t="shared" si="37"/>
        <v>2136406</v>
      </c>
      <c r="F111" s="155">
        <v>0</v>
      </c>
      <c r="G111" s="156">
        <v>795000</v>
      </c>
      <c r="H111" s="157">
        <v>1341406</v>
      </c>
      <c r="I111" s="158">
        <v>17120806</v>
      </c>
      <c r="J111" s="159">
        <f t="shared" si="38"/>
        <v>0.12478419532351456</v>
      </c>
      <c r="K111" s="155">
        <v>270460</v>
      </c>
      <c r="L111" s="160">
        <f t="shared" si="39"/>
        <v>1.5797153475134291E-2</v>
      </c>
      <c r="M111" s="160">
        <f t="shared" si="40"/>
        <v>4.7862900244028693E-2</v>
      </c>
      <c r="N111" s="155">
        <v>12945</v>
      </c>
      <c r="O111" s="155">
        <v>11651</v>
      </c>
      <c r="P111" s="160">
        <f t="shared" si="41"/>
        <v>0.90003862495171882</v>
      </c>
      <c r="Q111" s="161">
        <f t="shared" si="42"/>
        <v>165.03715720355351</v>
      </c>
      <c r="R111" s="161">
        <f t="shared" si="43"/>
        <v>183.36674963522444</v>
      </c>
      <c r="S111" s="155">
        <f t="shared" si="44"/>
        <v>11988879</v>
      </c>
      <c r="T111" s="161">
        <f t="shared" si="45"/>
        <v>5.6117044232229265</v>
      </c>
      <c r="U111" s="287"/>
      <c r="V111" s="154">
        <v>82</v>
      </c>
      <c r="W111" s="162">
        <v>66</v>
      </c>
      <c r="X111" s="160">
        <f t="shared" si="46"/>
        <v>0.80487804878048785</v>
      </c>
      <c r="Y111" s="162">
        <f t="shared" si="47"/>
        <v>26053.731707317074</v>
      </c>
      <c r="Z111" s="162">
        <f t="shared" si="48"/>
        <v>32369.78787878788</v>
      </c>
      <c r="AA111" s="162">
        <f t="shared" si="49"/>
        <v>222090</v>
      </c>
      <c r="AB111" s="161">
        <f t="shared" si="50"/>
        <v>0.10395495987185956</v>
      </c>
      <c r="AC111" s="163">
        <v>3365</v>
      </c>
      <c r="AD111" s="118"/>
      <c r="AE111" s="147">
        <v>1341406</v>
      </c>
      <c r="AF111" s="142">
        <v>0</v>
      </c>
      <c r="AG111" s="147">
        <v>795000</v>
      </c>
      <c r="AH111" s="86"/>
      <c r="AI111" s="87"/>
      <c r="AJ111" s="86"/>
      <c r="AK111" s="88"/>
      <c r="AL111" s="89"/>
      <c r="AM111" s="89"/>
      <c r="AN111" s="89"/>
    </row>
    <row r="112" spans="2:40" s="90" customFormat="1" x14ac:dyDescent="0.45">
      <c r="B112" s="118"/>
      <c r="C112" s="217" t="s">
        <v>125</v>
      </c>
      <c r="D112" s="203" t="s">
        <v>210</v>
      </c>
      <c r="E112" s="154">
        <f t="shared" si="37"/>
        <v>851060.25</v>
      </c>
      <c r="F112" s="155">
        <v>240041.25</v>
      </c>
      <c r="G112" s="156">
        <v>200000</v>
      </c>
      <c r="H112" s="157">
        <v>411019</v>
      </c>
      <c r="I112" s="204">
        <v>7103148</v>
      </c>
      <c r="J112" s="159">
        <f t="shared" si="38"/>
        <v>0.11981451745057262</v>
      </c>
      <c r="K112" s="205">
        <v>150489</v>
      </c>
      <c r="L112" s="160">
        <f t="shared" si="39"/>
        <v>2.1186240241650604E-2</v>
      </c>
      <c r="M112" s="160">
        <f t="shared" si="40"/>
        <v>3.8467927888417096E-2</v>
      </c>
      <c r="N112" s="205">
        <v>5789</v>
      </c>
      <c r="O112" s="205">
        <v>5605</v>
      </c>
      <c r="P112" s="160">
        <f t="shared" si="41"/>
        <v>0.96821558127483154</v>
      </c>
      <c r="Q112" s="161">
        <f t="shared" si="42"/>
        <v>147.01334427362238</v>
      </c>
      <c r="R112" s="161">
        <f t="shared" si="43"/>
        <v>151.83947368421053</v>
      </c>
      <c r="S112" s="155">
        <f t="shared" si="44"/>
        <v>5767545</v>
      </c>
      <c r="T112" s="161">
        <f t="shared" si="45"/>
        <v>6.7768938803098839</v>
      </c>
      <c r="U112" s="287"/>
      <c r="V112" s="206">
        <v>162</v>
      </c>
      <c r="W112" s="207">
        <v>161</v>
      </c>
      <c r="X112" s="160">
        <f t="shared" si="46"/>
        <v>0.99382716049382713</v>
      </c>
      <c r="Y112" s="162">
        <f t="shared" si="47"/>
        <v>5253.458333333333</v>
      </c>
      <c r="Z112" s="162">
        <f t="shared" si="48"/>
        <v>5286.0885093167699</v>
      </c>
      <c r="AA112" s="162">
        <f t="shared" si="49"/>
        <v>78890</v>
      </c>
      <c r="AB112" s="161">
        <f t="shared" si="50"/>
        <v>9.2696139903138464E-2</v>
      </c>
      <c r="AC112" s="208">
        <v>490</v>
      </c>
      <c r="AD112" s="118"/>
      <c r="AE112" s="147">
        <v>411019</v>
      </c>
      <c r="AF112" s="142">
        <v>240041.25</v>
      </c>
      <c r="AG112" s="147">
        <v>200000</v>
      </c>
      <c r="AH112" s="86"/>
      <c r="AI112" s="87"/>
      <c r="AJ112" s="86"/>
      <c r="AK112" s="88"/>
      <c r="AL112" s="89"/>
      <c r="AM112" s="89"/>
      <c r="AN112" s="89"/>
    </row>
    <row r="113" spans="2:40" s="90" customFormat="1" x14ac:dyDescent="0.45">
      <c r="B113" s="118"/>
      <c r="C113" s="218" t="s">
        <v>125</v>
      </c>
      <c r="D113" s="209" t="s">
        <v>211</v>
      </c>
      <c r="E113" s="210">
        <f t="shared" si="37"/>
        <v>1117794</v>
      </c>
      <c r="F113" s="211">
        <v>40000</v>
      </c>
      <c r="G113" s="212">
        <v>0</v>
      </c>
      <c r="H113" s="213">
        <v>1077794</v>
      </c>
      <c r="I113" s="214">
        <v>7408588</v>
      </c>
      <c r="J113" s="159">
        <f t="shared" si="38"/>
        <v>0.15087814304156202</v>
      </c>
      <c r="K113" s="211">
        <v>135012</v>
      </c>
      <c r="L113" s="160">
        <f t="shared" si="39"/>
        <v>1.8223715504222936E-2</v>
      </c>
      <c r="M113" s="160">
        <f t="shared" si="40"/>
        <v>5.8668859064379464E-2</v>
      </c>
      <c r="N113" s="211">
        <v>7921</v>
      </c>
      <c r="O113" s="211">
        <v>7055</v>
      </c>
      <c r="P113" s="160">
        <f t="shared" si="41"/>
        <v>0.89067036990279003</v>
      </c>
      <c r="Q113" s="161">
        <f t="shared" si="42"/>
        <v>141.11778815806085</v>
      </c>
      <c r="R113" s="161">
        <f t="shared" si="43"/>
        <v>158.43997165131114</v>
      </c>
      <c r="S113" s="155">
        <f t="shared" si="44"/>
        <v>7259595</v>
      </c>
      <c r="T113" s="161">
        <f t="shared" si="45"/>
        <v>6.4945732397919471</v>
      </c>
      <c r="U113" s="287"/>
      <c r="V113" s="210">
        <v>727</v>
      </c>
      <c r="W113" s="215">
        <v>609</v>
      </c>
      <c r="X113" s="160">
        <f t="shared" si="46"/>
        <v>0.83768913342503437</v>
      </c>
      <c r="Y113" s="162">
        <f t="shared" si="47"/>
        <v>1537.5433287482806</v>
      </c>
      <c r="Z113" s="162">
        <f t="shared" si="48"/>
        <v>1835.4581280788177</v>
      </c>
      <c r="AA113" s="162">
        <f t="shared" si="49"/>
        <v>1169889</v>
      </c>
      <c r="AB113" s="161">
        <f t="shared" si="50"/>
        <v>1.0466051884336469</v>
      </c>
      <c r="AC113" s="216">
        <v>1921</v>
      </c>
      <c r="AD113" s="118"/>
      <c r="AE113" s="147">
        <v>1077794</v>
      </c>
      <c r="AF113" s="142">
        <v>40000</v>
      </c>
      <c r="AG113" s="147">
        <v>0</v>
      </c>
      <c r="AH113" s="86"/>
      <c r="AI113" s="87"/>
      <c r="AJ113" s="86"/>
      <c r="AK113" s="88"/>
      <c r="AL113" s="89"/>
      <c r="AM113" s="89"/>
      <c r="AN113" s="89"/>
    </row>
    <row r="114" spans="2:40" s="183" customFormat="1" x14ac:dyDescent="0.45">
      <c r="B114" s="165"/>
      <c r="C114" s="166"/>
      <c r="D114" s="168" t="s">
        <v>112</v>
      </c>
      <c r="E114" s="169">
        <f>SUM(E108:E113)</f>
        <v>10649994.99</v>
      </c>
      <c r="F114" s="170">
        <f>SUM(F108:F113)</f>
        <v>1783483.5899999999</v>
      </c>
      <c r="G114" s="170">
        <f>SUM(G108:G113)</f>
        <v>1598800</v>
      </c>
      <c r="H114" s="171">
        <f>SUM(H108:H113)</f>
        <v>7267711.4000000004</v>
      </c>
      <c r="I114" s="172">
        <f>SUM(I108:I113)</f>
        <v>82835013</v>
      </c>
      <c r="J114" s="173">
        <f t="shared" si="38"/>
        <v>0.12856876101413783</v>
      </c>
      <c r="K114" s="170">
        <f>SUM(K108:K113)</f>
        <v>1963740</v>
      </c>
      <c r="L114" s="174">
        <f t="shared" si="39"/>
        <v>2.3706642021049721E-2</v>
      </c>
      <c r="M114" s="174">
        <f t="shared" si="40"/>
        <v>5.9257844724861744E-2</v>
      </c>
      <c r="N114" s="170">
        <f>SUM(N108:N113)</f>
        <v>116367</v>
      </c>
      <c r="O114" s="170">
        <f>SUM(O108:O113)</f>
        <v>109268</v>
      </c>
      <c r="P114" s="174">
        <f t="shared" si="41"/>
        <v>0.93899473218352281</v>
      </c>
      <c r="Q114" s="176">
        <f t="shared" si="42"/>
        <v>91.52074892366393</v>
      </c>
      <c r="R114" s="176">
        <f t="shared" si="43"/>
        <v>97.466733078302894</v>
      </c>
      <c r="S114" s="170">
        <f t="shared" si="44"/>
        <v>112436772</v>
      </c>
      <c r="T114" s="176">
        <f t="shared" si="45"/>
        <v>10.557448346743307</v>
      </c>
      <c r="U114" s="288"/>
      <c r="V114" s="177">
        <f>SUM(V108:V113)</f>
        <v>5462</v>
      </c>
      <c r="W114" s="175">
        <f>SUM(W108:W113)</f>
        <v>5011</v>
      </c>
      <c r="X114" s="174">
        <f t="shared" si="46"/>
        <v>0.91742951299890152</v>
      </c>
      <c r="Y114" s="175">
        <f t="shared" si="47"/>
        <v>1949.8343079458075</v>
      </c>
      <c r="Z114" s="175">
        <f t="shared" si="48"/>
        <v>2125.3232867691081</v>
      </c>
      <c r="AA114" s="175">
        <f t="shared" si="49"/>
        <v>9871670</v>
      </c>
      <c r="AB114" s="178">
        <f t="shared" si="50"/>
        <v>0.92691780693504344</v>
      </c>
      <c r="AC114" s="171">
        <f>AVERAGE(AC108:AC113)</f>
        <v>1970</v>
      </c>
      <c r="AD114" s="165"/>
      <c r="AE114" s="165"/>
      <c r="AF114" s="165"/>
      <c r="AG114" s="165"/>
      <c r="AH114" s="179"/>
      <c r="AI114" s="180"/>
      <c r="AJ114" s="179"/>
      <c r="AK114" s="181"/>
      <c r="AL114" s="182"/>
      <c r="AM114" s="182"/>
      <c r="AN114" s="182"/>
    </row>
    <row r="115" spans="2:40" s="91" customFormat="1" x14ac:dyDescent="0.3">
      <c r="D115" s="184" t="s">
        <v>113</v>
      </c>
      <c r="E115" s="184"/>
      <c r="F115" s="184"/>
      <c r="G115" s="184"/>
      <c r="H115" s="184"/>
      <c r="I115" s="185">
        <v>61344948</v>
      </c>
      <c r="J115" s="186">
        <f>E114/I115</f>
        <v>0.17360834652594376</v>
      </c>
      <c r="K115" s="185">
        <v>1226715</v>
      </c>
      <c r="L115" s="187">
        <f t="shared" si="39"/>
        <v>1.9997001220051568E-2</v>
      </c>
      <c r="M115" s="187">
        <f t="shared" si="40"/>
        <v>6.2280154722164478E-2</v>
      </c>
      <c r="N115" s="185">
        <v>76400</v>
      </c>
      <c r="O115" s="185">
        <v>70560</v>
      </c>
      <c r="P115" s="187">
        <f t="shared" si="41"/>
        <v>0.92356020942408379</v>
      </c>
      <c r="Q115" s="189">
        <f>E114/N115</f>
        <v>139.39784018324607</v>
      </c>
      <c r="R115" s="189">
        <f>E114/O115</f>
        <v>150.93530314625852</v>
      </c>
      <c r="S115" s="185">
        <f t="shared" si="44"/>
        <v>72606240</v>
      </c>
      <c r="T115" s="189">
        <f>S115/E114</f>
        <v>6.8174905310448413</v>
      </c>
      <c r="U115" s="190"/>
      <c r="V115" s="191"/>
      <c r="W115" s="191"/>
      <c r="X115" s="191"/>
      <c r="Y115" s="192"/>
      <c r="Z115" s="191"/>
      <c r="AA115" s="191"/>
      <c r="AB115" s="191"/>
      <c r="AC115" s="191"/>
      <c r="AD115" s="193"/>
      <c r="AE115" s="193"/>
      <c r="AF115" s="193"/>
      <c r="AG115" s="193"/>
      <c r="AH115" s="194"/>
      <c r="AI115" s="195"/>
      <c r="AJ115" s="196"/>
      <c r="AK115" s="197"/>
      <c r="AL115" s="197"/>
      <c r="AM115" s="197"/>
    </row>
    <row r="116" spans="2:40" x14ac:dyDescent="0.3">
      <c r="AE116" s="75"/>
      <c r="AF116" s="75"/>
      <c r="AG116" s="75"/>
    </row>
    <row r="117" spans="2:40" x14ac:dyDescent="0.3">
      <c r="AE117" s="75"/>
      <c r="AF117" s="75"/>
      <c r="AG117" s="75"/>
    </row>
    <row r="118" spans="2:40" x14ac:dyDescent="0.3">
      <c r="AE118" s="75"/>
      <c r="AF118" s="75"/>
      <c r="AG118" s="75"/>
    </row>
    <row r="120" spans="2:40" s="127" customFormat="1" ht="22.5" x14ac:dyDescent="0.3">
      <c r="C120" s="128" t="s">
        <v>216</v>
      </c>
      <c r="D120" s="129"/>
      <c r="E120" s="129"/>
      <c r="F120" s="129"/>
      <c r="G120" s="129"/>
      <c r="H120" s="129"/>
      <c r="I120" s="130"/>
      <c r="J120" s="131"/>
      <c r="K120" s="131"/>
      <c r="L120" s="131"/>
      <c r="M120" s="132"/>
      <c r="N120" s="131"/>
      <c r="O120" s="133"/>
      <c r="P120" s="133"/>
      <c r="Q120" s="133"/>
      <c r="R120" s="131"/>
      <c r="S120" s="131"/>
      <c r="U120" s="133"/>
      <c r="V120" s="131"/>
      <c r="W120" s="131"/>
      <c r="X120" s="131"/>
      <c r="Y120" s="134"/>
      <c r="Z120" s="131"/>
      <c r="AA120" s="131"/>
      <c r="AB120" s="131"/>
      <c r="AC120" s="131"/>
      <c r="AD120" s="133"/>
      <c r="AE120" s="131"/>
      <c r="AF120" s="131"/>
      <c r="AG120" s="131"/>
      <c r="AH120" s="134"/>
      <c r="AI120" s="131"/>
      <c r="AJ120" s="135"/>
      <c r="AK120" s="131"/>
      <c r="AL120" s="131"/>
      <c r="AM120" s="131"/>
    </row>
    <row r="121" spans="2:40" x14ac:dyDescent="0.3">
      <c r="C121" s="80" t="s">
        <v>39</v>
      </c>
      <c r="D121" s="81" t="s">
        <v>126</v>
      </c>
    </row>
    <row r="122" spans="2:40" x14ac:dyDescent="0.3">
      <c r="C122" s="82" t="s">
        <v>1</v>
      </c>
      <c r="D122" s="83" t="s">
        <v>217</v>
      </c>
    </row>
    <row r="123" spans="2:40" x14ac:dyDescent="0.3">
      <c r="C123" s="82"/>
      <c r="D123" s="83"/>
    </row>
    <row r="124" spans="2:40" x14ac:dyDescent="0.3">
      <c r="C124" s="84"/>
      <c r="D124" s="85"/>
      <c r="AD124" s="73"/>
    </row>
    <row r="125" spans="2:40" x14ac:dyDescent="0.3">
      <c r="C125" s="79"/>
    </row>
    <row r="126" spans="2:40" s="90" customFormat="1" x14ac:dyDescent="0.3">
      <c r="B126" s="285"/>
      <c r="C126" s="300" t="s">
        <v>40</v>
      </c>
      <c r="D126" s="303" t="s">
        <v>41</v>
      </c>
      <c r="E126" s="306" t="s">
        <v>42</v>
      </c>
      <c r="F126" s="307"/>
      <c r="G126" s="307"/>
      <c r="H126" s="308"/>
      <c r="I126" s="300" t="s">
        <v>66</v>
      </c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10"/>
      <c r="V126" s="300" t="s">
        <v>43</v>
      </c>
      <c r="W126" s="309"/>
      <c r="X126" s="309"/>
      <c r="Y126" s="309"/>
      <c r="Z126" s="309"/>
      <c r="AA126" s="309"/>
      <c r="AB126" s="309"/>
      <c r="AC126" s="310"/>
      <c r="AD126" s="285"/>
      <c r="AE126" s="139" t="s">
        <v>102</v>
      </c>
      <c r="AF126" s="139" t="s">
        <v>103</v>
      </c>
      <c r="AG126" s="139" t="s">
        <v>104</v>
      </c>
      <c r="AH126" s="86"/>
      <c r="AI126" s="87"/>
      <c r="AJ126" s="86"/>
      <c r="AK126" s="88"/>
      <c r="AL126" s="89"/>
      <c r="AM126" s="89"/>
      <c r="AN126" s="89"/>
    </row>
    <row r="127" spans="2:40" s="90" customFormat="1" x14ac:dyDescent="0.3">
      <c r="B127" s="285"/>
      <c r="C127" s="301"/>
      <c r="D127" s="304"/>
      <c r="E127" s="296" t="s">
        <v>44</v>
      </c>
      <c r="F127" s="297"/>
      <c r="G127" s="297"/>
      <c r="H127" s="298"/>
      <c r="I127" s="302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2"/>
      <c r="V127" s="302"/>
      <c r="W127" s="311"/>
      <c r="X127" s="311"/>
      <c r="Y127" s="311"/>
      <c r="Z127" s="311"/>
      <c r="AA127" s="311"/>
      <c r="AB127" s="311"/>
      <c r="AC127" s="312"/>
      <c r="AD127" s="285"/>
      <c r="AE127" s="140"/>
      <c r="AF127" s="141"/>
      <c r="AG127" s="142"/>
      <c r="AH127" s="86"/>
      <c r="AI127" s="87"/>
      <c r="AJ127" s="86"/>
      <c r="AK127" s="88"/>
      <c r="AL127" s="89"/>
      <c r="AM127" s="89"/>
      <c r="AN127" s="89"/>
    </row>
    <row r="128" spans="2:40" s="90" customFormat="1" x14ac:dyDescent="0.3">
      <c r="B128" s="285"/>
      <c r="C128" s="301"/>
      <c r="D128" s="304"/>
      <c r="E128" s="299" t="s">
        <v>45</v>
      </c>
      <c r="F128" s="143" t="s">
        <v>46</v>
      </c>
      <c r="G128" s="143" t="s">
        <v>47</v>
      </c>
      <c r="H128" s="144" t="s">
        <v>48</v>
      </c>
      <c r="I128" s="299" t="s">
        <v>49</v>
      </c>
      <c r="J128" s="143" t="s">
        <v>50</v>
      </c>
      <c r="K128" s="289" t="s">
        <v>51</v>
      </c>
      <c r="L128" s="145" t="s">
        <v>52</v>
      </c>
      <c r="M128" s="143" t="s">
        <v>53</v>
      </c>
      <c r="N128" s="289" t="s">
        <v>13</v>
      </c>
      <c r="O128" s="289" t="s">
        <v>14</v>
      </c>
      <c r="P128" s="143" t="s">
        <v>54</v>
      </c>
      <c r="Q128" s="143" t="s">
        <v>31</v>
      </c>
      <c r="R128" s="143" t="s">
        <v>32</v>
      </c>
      <c r="S128" s="143" t="s">
        <v>33</v>
      </c>
      <c r="T128" s="146" t="s">
        <v>55</v>
      </c>
      <c r="U128" s="290" t="s">
        <v>27</v>
      </c>
      <c r="V128" s="292" t="s">
        <v>28</v>
      </c>
      <c r="W128" s="281" t="s">
        <v>29</v>
      </c>
      <c r="X128" s="294" t="s">
        <v>30</v>
      </c>
      <c r="Y128" s="281" t="s">
        <v>31</v>
      </c>
      <c r="Z128" s="281" t="s">
        <v>32</v>
      </c>
      <c r="AA128" s="281" t="s">
        <v>33</v>
      </c>
      <c r="AB128" s="281" t="s">
        <v>34</v>
      </c>
      <c r="AC128" s="283" t="s">
        <v>120</v>
      </c>
      <c r="AD128" s="285"/>
      <c r="AE128" s="147"/>
      <c r="AF128" s="142"/>
      <c r="AG128" s="147"/>
      <c r="AH128" s="86"/>
      <c r="AI128" s="87"/>
      <c r="AJ128" s="86"/>
      <c r="AK128" s="88"/>
      <c r="AL128" s="89"/>
      <c r="AM128" s="89"/>
      <c r="AN128" s="89"/>
    </row>
    <row r="129" spans="2:40" s="90" customFormat="1" x14ac:dyDescent="0.3">
      <c r="B129" s="285"/>
      <c r="C129" s="302"/>
      <c r="D129" s="305"/>
      <c r="E129" s="293"/>
      <c r="F129" s="148" t="s">
        <v>56</v>
      </c>
      <c r="G129" s="148" t="s">
        <v>56</v>
      </c>
      <c r="H129" s="149" t="s">
        <v>57</v>
      </c>
      <c r="I129" s="293"/>
      <c r="J129" s="148" t="s">
        <v>58</v>
      </c>
      <c r="K129" s="282"/>
      <c r="L129" s="148" t="s">
        <v>59</v>
      </c>
      <c r="M129" s="148" t="s">
        <v>60</v>
      </c>
      <c r="N129" s="282"/>
      <c r="O129" s="282"/>
      <c r="P129" s="148" t="s">
        <v>61</v>
      </c>
      <c r="Q129" s="148" t="s">
        <v>62</v>
      </c>
      <c r="R129" s="148" t="s">
        <v>63</v>
      </c>
      <c r="S129" s="148" t="s">
        <v>64</v>
      </c>
      <c r="T129" s="150" t="s">
        <v>65</v>
      </c>
      <c r="U129" s="291"/>
      <c r="V129" s="293"/>
      <c r="W129" s="282"/>
      <c r="X129" s="295"/>
      <c r="Y129" s="282"/>
      <c r="Z129" s="282"/>
      <c r="AA129" s="282"/>
      <c r="AB129" s="282"/>
      <c r="AC129" s="284"/>
      <c r="AD129" s="285"/>
      <c r="AE129" s="147"/>
      <c r="AF129" s="142"/>
      <c r="AG129" s="147"/>
      <c r="AH129" s="86"/>
      <c r="AI129" s="87"/>
      <c r="AJ129" s="86"/>
      <c r="AK129" s="88"/>
      <c r="AL129" s="89"/>
      <c r="AM129" s="89"/>
      <c r="AN129" s="89"/>
    </row>
    <row r="130" spans="2:40" s="90" customFormat="1" x14ac:dyDescent="0.45">
      <c r="B130" s="118"/>
      <c r="C130" s="151" t="s">
        <v>127</v>
      </c>
      <c r="D130" s="153" t="s">
        <v>206</v>
      </c>
      <c r="E130" s="154">
        <f>SUM(F130:H130)</f>
        <v>1839909.4</v>
      </c>
      <c r="F130" s="155">
        <f>AF130</f>
        <v>386130</v>
      </c>
      <c r="G130" s="156">
        <f>AG130</f>
        <v>106000</v>
      </c>
      <c r="H130" s="157">
        <f>AE130</f>
        <v>1347779.4</v>
      </c>
      <c r="I130" s="158">
        <v>9176219</v>
      </c>
      <c r="J130" s="159">
        <f>E130/I130</f>
        <v>0.20050844470908988</v>
      </c>
      <c r="K130" s="155">
        <v>228269</v>
      </c>
      <c r="L130" s="160">
        <f>K130/I130</f>
        <v>2.4876149969829623E-2</v>
      </c>
      <c r="M130" s="160">
        <f>N130/K130</f>
        <v>6.9028207947640724E-2</v>
      </c>
      <c r="N130" s="155">
        <v>15757</v>
      </c>
      <c r="O130" s="155">
        <v>15095</v>
      </c>
      <c r="P130" s="160">
        <f>O130/N130</f>
        <v>0.9579869264453893</v>
      </c>
      <c r="Q130" s="161">
        <f>E130/N130</f>
        <v>116.76774766770323</v>
      </c>
      <c r="R130" s="161">
        <f>E130/O130</f>
        <v>121.88866512090095</v>
      </c>
      <c r="S130" s="155">
        <f>O130*U$108</f>
        <v>15532755</v>
      </c>
      <c r="T130" s="161">
        <f>S130/E130</f>
        <v>8.4421303570708428</v>
      </c>
      <c r="U130" s="286">
        <v>1029</v>
      </c>
      <c r="V130" s="154">
        <v>1791</v>
      </c>
      <c r="W130" s="162">
        <v>1690</v>
      </c>
      <c r="X130" s="160">
        <f>W130/V130</f>
        <v>0.94360692350642095</v>
      </c>
      <c r="Y130" s="162">
        <f>E130/V130</f>
        <v>1027.3084310441093</v>
      </c>
      <c r="Z130" s="162">
        <f>E130/W130</f>
        <v>1088.7037869822484</v>
      </c>
      <c r="AA130" s="162">
        <f>W130*AC130</f>
        <v>3988400</v>
      </c>
      <c r="AB130" s="161">
        <f>AA130/E130</f>
        <v>2.1677154320750796</v>
      </c>
      <c r="AC130" s="163">
        <v>2360</v>
      </c>
      <c r="AD130" s="118"/>
      <c r="AE130" s="147">
        <v>1347779.4</v>
      </c>
      <c r="AF130" s="142">
        <v>386130</v>
      </c>
      <c r="AG130" s="147">
        <v>106000</v>
      </c>
      <c r="AH130" s="86"/>
      <c r="AI130" s="87"/>
      <c r="AJ130" s="86"/>
      <c r="AK130" s="88"/>
      <c r="AL130" s="89"/>
      <c r="AM130" s="89"/>
      <c r="AN130" s="89"/>
    </row>
    <row r="131" spans="2:40" s="90" customFormat="1" x14ac:dyDescent="0.45">
      <c r="B131" s="118"/>
      <c r="C131" s="217" t="s">
        <v>127</v>
      </c>
      <c r="D131" s="203" t="s">
        <v>207</v>
      </c>
      <c r="E131" s="206">
        <f>SUM(F131:H131)</f>
        <v>734580</v>
      </c>
      <c r="F131" s="155">
        <f>AF131</f>
        <v>734580</v>
      </c>
      <c r="G131" s="156">
        <f>AG131</f>
        <v>0</v>
      </c>
      <c r="H131" s="157">
        <f>AE131</f>
        <v>0</v>
      </c>
      <c r="I131" s="204">
        <v>10858094</v>
      </c>
      <c r="J131" s="159">
        <f>E131/I131</f>
        <v>6.7652757472904543E-2</v>
      </c>
      <c r="K131" s="205">
        <v>328098</v>
      </c>
      <c r="L131" s="160">
        <f>K131/I131</f>
        <v>3.0216905471623288E-2</v>
      </c>
      <c r="M131" s="160">
        <f>N131/K131</f>
        <v>6.9512767526775543E-2</v>
      </c>
      <c r="N131" s="205">
        <v>22807</v>
      </c>
      <c r="O131" s="205">
        <v>22226</v>
      </c>
      <c r="P131" s="160">
        <f>O131/N131</f>
        <v>0.97452536501951159</v>
      </c>
      <c r="Q131" s="161">
        <f>E131/N131</f>
        <v>32.2085324681019</v>
      </c>
      <c r="R131" s="161">
        <f>E131/O131</f>
        <v>33.05048141815891</v>
      </c>
      <c r="S131" s="205">
        <f>O131*U$108</f>
        <v>22870554</v>
      </c>
      <c r="T131" s="161">
        <f>S131/E131</f>
        <v>31.134190966266438</v>
      </c>
      <c r="U131" s="287"/>
      <c r="V131" s="206">
        <v>429</v>
      </c>
      <c r="W131" s="207">
        <v>411</v>
      </c>
      <c r="X131" s="160">
        <f>W131/V131</f>
        <v>0.95804195804195802</v>
      </c>
      <c r="Y131" s="207">
        <f>E131/V131</f>
        <v>1712.3076923076924</v>
      </c>
      <c r="Z131" s="207">
        <f>E131/W131</f>
        <v>1787.2992700729926</v>
      </c>
      <c r="AA131" s="207">
        <f>W131*AC131</f>
        <v>678150</v>
      </c>
      <c r="AB131" s="219">
        <f>AA131/E131</f>
        <v>0.9231805929919138</v>
      </c>
      <c r="AC131" s="208">
        <v>1650</v>
      </c>
      <c r="AD131" s="118"/>
      <c r="AE131" s="147">
        <v>0</v>
      </c>
      <c r="AF131" s="142">
        <v>734580</v>
      </c>
      <c r="AG131" s="147">
        <v>0</v>
      </c>
      <c r="AH131" s="86"/>
      <c r="AI131" s="87"/>
      <c r="AJ131" s="86"/>
      <c r="AK131" s="88"/>
      <c r="AL131" s="89"/>
      <c r="AM131" s="89"/>
      <c r="AN131" s="89"/>
    </row>
    <row r="132" spans="2:40" s="183" customFormat="1" x14ac:dyDescent="0.45">
      <c r="B132" s="165"/>
      <c r="C132" s="166"/>
      <c r="D132" s="168" t="s">
        <v>112</v>
      </c>
      <c r="E132" s="169">
        <f>SUM(E130:E131)</f>
        <v>2574489.4</v>
      </c>
      <c r="F132" s="170">
        <f>SUM(F129:F131)</f>
        <v>1120710</v>
      </c>
      <c r="G132" s="170">
        <f>SUM(G129:G131)</f>
        <v>106000</v>
      </c>
      <c r="H132" s="171">
        <f>SUM(H129:H131)</f>
        <v>1347779.4</v>
      </c>
      <c r="I132" s="172">
        <f>SUM(I130:I131)</f>
        <v>20034313</v>
      </c>
      <c r="J132" s="173">
        <f>E132/I132</f>
        <v>0.12850400210878207</v>
      </c>
      <c r="K132" s="170">
        <f>SUM(K130:K131)</f>
        <v>556367</v>
      </c>
      <c r="L132" s="174">
        <f>K132/I132</f>
        <v>2.7770705189641393E-2</v>
      </c>
      <c r="M132" s="174">
        <f>N132/K132</f>
        <v>6.9313960029980207E-2</v>
      </c>
      <c r="N132" s="170">
        <f>SUM(N130:N131)</f>
        <v>38564</v>
      </c>
      <c r="O132" s="170">
        <f>SUM(O130:O131)</f>
        <v>37321</v>
      </c>
      <c r="P132" s="174">
        <f>O132/N132</f>
        <v>0.9677678664039</v>
      </c>
      <c r="Q132" s="176">
        <f>E132/N132</f>
        <v>66.758878747017945</v>
      </c>
      <c r="R132" s="176">
        <f>E132/O132</f>
        <v>68.982326304225495</v>
      </c>
      <c r="S132" s="170">
        <f>O132*U$108</f>
        <v>38403309</v>
      </c>
      <c r="T132" s="176">
        <f>S132/E132</f>
        <v>14.916864291614486</v>
      </c>
      <c r="U132" s="288"/>
      <c r="V132" s="177">
        <f>SUM(V130:V131)</f>
        <v>2220</v>
      </c>
      <c r="W132" s="175">
        <f>SUM(W130:W131)</f>
        <v>2101</v>
      </c>
      <c r="X132" s="174">
        <f>W132/V132</f>
        <v>0.94639639639639639</v>
      </c>
      <c r="Y132" s="175">
        <f>E132/V132</f>
        <v>1159.6799099099098</v>
      </c>
      <c r="Z132" s="175">
        <f>E132/W132</f>
        <v>1225.3638267491669</v>
      </c>
      <c r="AA132" s="175">
        <f>W132*AC132</f>
        <v>4212505</v>
      </c>
      <c r="AB132" s="178">
        <f>AA132/E132</f>
        <v>1.6362487256696416</v>
      </c>
      <c r="AC132" s="171">
        <f>AVERAGE(AC130:AC131)</f>
        <v>2005</v>
      </c>
      <c r="AD132" s="165"/>
      <c r="AE132" s="165"/>
      <c r="AF132" s="165"/>
      <c r="AG132" s="165"/>
      <c r="AH132" s="179"/>
      <c r="AI132" s="180"/>
      <c r="AJ132" s="179"/>
      <c r="AK132" s="181"/>
      <c r="AL132" s="182"/>
      <c r="AM132" s="182"/>
      <c r="AN132" s="182"/>
    </row>
    <row r="133" spans="2:40" s="91" customFormat="1" x14ac:dyDescent="0.3">
      <c r="D133" s="184" t="s">
        <v>113</v>
      </c>
      <c r="E133" s="184"/>
      <c r="F133" s="184"/>
      <c r="G133" s="184"/>
      <c r="H133" s="184"/>
      <c r="I133" s="185">
        <v>16835405</v>
      </c>
      <c r="J133" s="186">
        <f>E132/I133</f>
        <v>0.15292114445717225</v>
      </c>
      <c r="K133" s="185">
        <v>407128</v>
      </c>
      <c r="L133" s="187">
        <f>K133/I133</f>
        <v>2.4182845616128629E-2</v>
      </c>
      <c r="M133" s="187">
        <f>N133/K133</f>
        <v>7.0277652237134267E-2</v>
      </c>
      <c r="N133" s="185">
        <v>28612</v>
      </c>
      <c r="O133" s="185">
        <v>27474</v>
      </c>
      <c r="P133" s="187">
        <f>O133/N133</f>
        <v>0.9602264784006711</v>
      </c>
      <c r="Q133" s="189">
        <f>E132/N133</f>
        <v>89.979358311198098</v>
      </c>
      <c r="R133" s="189">
        <f>E132/O133</f>
        <v>93.706391497415737</v>
      </c>
      <c r="S133" s="185">
        <f>O133*U$108</f>
        <v>28270746</v>
      </c>
      <c r="T133" s="189">
        <f>S133/E132</f>
        <v>10.981107943190599</v>
      </c>
      <c r="U133" s="190"/>
      <c r="V133" s="191"/>
      <c r="W133" s="191"/>
      <c r="X133" s="191"/>
      <c r="Y133" s="192"/>
      <c r="Z133" s="191"/>
      <c r="AA133" s="191"/>
      <c r="AB133" s="191"/>
      <c r="AC133" s="191"/>
      <c r="AD133" s="193"/>
      <c r="AE133" s="193"/>
      <c r="AF133" s="193"/>
      <c r="AG133" s="193"/>
      <c r="AH133" s="194"/>
      <c r="AI133" s="195"/>
      <c r="AJ133" s="196"/>
      <c r="AK133" s="197"/>
      <c r="AL133" s="197"/>
      <c r="AM133" s="197"/>
    </row>
  </sheetData>
  <mergeCells count="156">
    <mergeCell ref="H14:K14"/>
    <mergeCell ref="L14:X15"/>
    <mergeCell ref="Y14:AF15"/>
    <mergeCell ref="AG14:AG15"/>
    <mergeCell ref="H15:K15"/>
    <mergeCell ref="B16:B17"/>
    <mergeCell ref="H16:H17"/>
    <mergeCell ref="L16:L17"/>
    <mergeCell ref="N16:N17"/>
    <mergeCell ref="Q16:Q17"/>
    <mergeCell ref="B14:B15"/>
    <mergeCell ref="C14:C17"/>
    <mergeCell ref="D14:D17"/>
    <mergeCell ref="E14:E17"/>
    <mergeCell ref="F14:F17"/>
    <mergeCell ref="G14:G17"/>
    <mergeCell ref="AC16:AC17"/>
    <mergeCell ref="AD16:AD17"/>
    <mergeCell ref="AE16:AE17"/>
    <mergeCell ref="AF16:AF17"/>
    <mergeCell ref="AG16:AG17"/>
    <mergeCell ref="X18:X21"/>
    <mergeCell ref="R16:R17"/>
    <mergeCell ref="X16:X17"/>
    <mergeCell ref="Y16:Y17"/>
    <mergeCell ref="Z16:Z17"/>
    <mergeCell ref="AA16:AA17"/>
    <mergeCell ref="AB16:AB17"/>
    <mergeCell ref="H36:K36"/>
    <mergeCell ref="L36:X37"/>
    <mergeCell ref="Y36:AF37"/>
    <mergeCell ref="AG36:AG37"/>
    <mergeCell ref="H37:K37"/>
    <mergeCell ref="B38:B39"/>
    <mergeCell ref="H38:H39"/>
    <mergeCell ref="L38:L39"/>
    <mergeCell ref="N38:N39"/>
    <mergeCell ref="Q38:Q39"/>
    <mergeCell ref="B36:B37"/>
    <mergeCell ref="C36:C39"/>
    <mergeCell ref="D36:D39"/>
    <mergeCell ref="E36:E39"/>
    <mergeCell ref="F36:F39"/>
    <mergeCell ref="G36:G39"/>
    <mergeCell ref="AC38:AC39"/>
    <mergeCell ref="AD38:AD39"/>
    <mergeCell ref="AE38:AE39"/>
    <mergeCell ref="AF38:AF39"/>
    <mergeCell ref="AG38:AG39"/>
    <mergeCell ref="X40:X43"/>
    <mergeCell ref="R38:R39"/>
    <mergeCell ref="X38:X39"/>
    <mergeCell ref="Y38:Y39"/>
    <mergeCell ref="Z38:Z39"/>
    <mergeCell ref="AA38:AA39"/>
    <mergeCell ref="AB38:AB39"/>
    <mergeCell ref="AD57:AD58"/>
    <mergeCell ref="E58:H58"/>
    <mergeCell ref="N59:N60"/>
    <mergeCell ref="O59:O60"/>
    <mergeCell ref="U59:U60"/>
    <mergeCell ref="V59:V60"/>
    <mergeCell ref="B57:B58"/>
    <mergeCell ref="C57:C60"/>
    <mergeCell ref="D57:D60"/>
    <mergeCell ref="E57:H57"/>
    <mergeCell ref="I57:U58"/>
    <mergeCell ref="V57:AC58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U61:U67"/>
    <mergeCell ref="B81:B82"/>
    <mergeCell ref="C81:C84"/>
    <mergeCell ref="D81:D84"/>
    <mergeCell ref="E81:H81"/>
    <mergeCell ref="I81:U82"/>
    <mergeCell ref="V81:AC82"/>
    <mergeCell ref="AD81:AD82"/>
    <mergeCell ref="E82:H82"/>
    <mergeCell ref="B83:B84"/>
    <mergeCell ref="E83:E84"/>
    <mergeCell ref="I83:I84"/>
    <mergeCell ref="K83:K84"/>
    <mergeCell ref="N83:N84"/>
    <mergeCell ref="O83:O84"/>
    <mergeCell ref="U83:U84"/>
    <mergeCell ref="AB83:AB84"/>
    <mergeCell ref="AC83:AC84"/>
    <mergeCell ref="AD83:AD84"/>
    <mergeCell ref="B59:B60"/>
    <mergeCell ref="E59:E60"/>
    <mergeCell ref="I59:I60"/>
    <mergeCell ref="K59:K60"/>
    <mergeCell ref="U85:U91"/>
    <mergeCell ref="B104:B105"/>
    <mergeCell ref="C104:C107"/>
    <mergeCell ref="D104:D107"/>
    <mergeCell ref="E104:H104"/>
    <mergeCell ref="I104:U105"/>
    <mergeCell ref="V104:AC105"/>
    <mergeCell ref="V83:V84"/>
    <mergeCell ref="W83:W84"/>
    <mergeCell ref="X83:X84"/>
    <mergeCell ref="Y83:Y84"/>
    <mergeCell ref="Z83:Z84"/>
    <mergeCell ref="AA83:AA84"/>
    <mergeCell ref="AD104:AD105"/>
    <mergeCell ref="E105:H105"/>
    <mergeCell ref="B106:B107"/>
    <mergeCell ref="E106:E107"/>
    <mergeCell ref="I106:I107"/>
    <mergeCell ref="K106:K107"/>
    <mergeCell ref="N106:N107"/>
    <mergeCell ref="O106:O107"/>
    <mergeCell ref="U106:U107"/>
    <mergeCell ref="V106:V107"/>
    <mergeCell ref="E127:H127"/>
    <mergeCell ref="B128:B129"/>
    <mergeCell ref="E128:E129"/>
    <mergeCell ref="I128:I129"/>
    <mergeCell ref="K128:K129"/>
    <mergeCell ref="N128:N129"/>
    <mergeCell ref="AC106:AC107"/>
    <mergeCell ref="AD106:AD107"/>
    <mergeCell ref="U108:U114"/>
    <mergeCell ref="B126:B127"/>
    <mergeCell ref="C126:C129"/>
    <mergeCell ref="D126:D129"/>
    <mergeCell ref="E126:H126"/>
    <mergeCell ref="I126:U127"/>
    <mergeCell ref="V126:AC127"/>
    <mergeCell ref="AD126:AD127"/>
    <mergeCell ref="W106:W107"/>
    <mergeCell ref="X106:X107"/>
    <mergeCell ref="Y106:Y107"/>
    <mergeCell ref="Z106:Z107"/>
    <mergeCell ref="AA106:AA107"/>
    <mergeCell ref="AB106:AB107"/>
    <mergeCell ref="Z128:Z129"/>
    <mergeCell ref="AA128:AA129"/>
    <mergeCell ref="AB128:AB129"/>
    <mergeCell ref="AC128:AC129"/>
    <mergeCell ref="AD128:AD129"/>
    <mergeCell ref="U130:U132"/>
    <mergeCell ref="O128:O129"/>
    <mergeCell ref="U128:U129"/>
    <mergeCell ref="V128:V129"/>
    <mergeCell ref="W128:W129"/>
    <mergeCell ref="X128:X129"/>
    <mergeCell ref="Y128:Y129"/>
  </mergeCells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CB87-3BC6-43AE-92AA-9EE84064F497}">
  <dimension ref="C1:AM100"/>
  <sheetViews>
    <sheetView showGridLines="0" zoomScale="70" zoomScaleNormal="70" workbookViewId="0">
      <pane xSplit="7" ySplit="16" topLeftCell="H17" activePane="bottomRight" state="frozen"/>
      <selection pane="topRight" activeCell="H1" sqref="H1"/>
      <selection pane="bottomLeft" activeCell="A17" sqref="A17"/>
      <selection pane="bottomRight" activeCell="L30" sqref="L30"/>
    </sheetView>
  </sheetViews>
  <sheetFormatPr defaultRowHeight="14" x14ac:dyDescent="0.3"/>
  <cols>
    <col min="3" max="3" width="86.58203125" bestFit="1" customWidth="1"/>
    <col min="4" max="4" width="15.58203125" bestFit="1" customWidth="1"/>
    <col min="5" max="5" width="20.58203125" bestFit="1" customWidth="1"/>
    <col min="6" max="6" width="17.25" bestFit="1" customWidth="1"/>
    <col min="7" max="7" width="22.33203125" bestFit="1" customWidth="1"/>
    <col min="8" max="8" width="19.08203125" customWidth="1"/>
    <col min="9" max="9" width="17.75" hidden="1" customWidth="1"/>
    <col min="10" max="10" width="18.6640625" hidden="1" customWidth="1"/>
    <col min="11" max="11" width="14.33203125" hidden="1" customWidth="1"/>
    <col min="12" max="12" width="14" bestFit="1" customWidth="1"/>
    <col min="13" max="13" width="27.6640625" bestFit="1" customWidth="1"/>
    <col min="14" max="14" width="11.33203125" bestFit="1" customWidth="1"/>
    <col min="15" max="15" width="25.25" bestFit="1" customWidth="1"/>
    <col min="16" max="16" width="20.58203125" bestFit="1" customWidth="1"/>
    <col min="17" max="17" width="9.58203125" bestFit="1" customWidth="1"/>
    <col min="18" max="18" width="11.6640625" bestFit="1" customWidth="1"/>
    <col min="19" max="19" width="22.75" bestFit="1" customWidth="1"/>
    <col min="20" max="20" width="25.4140625" bestFit="1" customWidth="1"/>
    <col min="21" max="21" width="25" bestFit="1" customWidth="1"/>
    <col min="22" max="22" width="22.75" bestFit="1" customWidth="1"/>
    <col min="23" max="23" width="24" bestFit="1" customWidth="1"/>
    <col min="24" max="24" width="16.08203125" bestFit="1" customWidth="1"/>
    <col min="25" max="25" width="8.75" bestFit="1" customWidth="1"/>
    <col min="26" max="26" width="9.58203125" bestFit="1" customWidth="1"/>
    <col min="27" max="27" width="11.58203125" bestFit="1" customWidth="1"/>
    <col min="28" max="28" width="9.58203125" bestFit="1" customWidth="1"/>
    <col min="29" max="29" width="32" bestFit="1" customWidth="1"/>
    <col min="30" max="30" width="15.08203125" bestFit="1" customWidth="1"/>
    <col min="31" max="31" width="13.6640625" bestFit="1" customWidth="1"/>
    <col min="32" max="32" width="12.75" bestFit="1" customWidth="1"/>
  </cols>
  <sheetData>
    <row r="1" spans="3:36" s="69" customFormat="1" ht="16.5" x14ac:dyDescent="0.3">
      <c r="D1" s="71"/>
      <c r="E1" s="71"/>
      <c r="F1" s="71"/>
      <c r="G1" s="71"/>
      <c r="H1" s="71"/>
      <c r="I1" s="72"/>
      <c r="J1" s="72"/>
      <c r="K1" s="72"/>
      <c r="L1" s="73"/>
      <c r="M1" s="74"/>
      <c r="N1" s="73"/>
      <c r="P1" s="75"/>
      <c r="Q1" s="75"/>
      <c r="R1" s="73"/>
      <c r="S1" s="73"/>
      <c r="U1" s="75"/>
      <c r="V1" s="73"/>
      <c r="W1" s="73"/>
      <c r="X1" s="73"/>
      <c r="Y1" s="76"/>
      <c r="Z1" s="73"/>
      <c r="AA1" s="73"/>
      <c r="AB1" s="73"/>
      <c r="AC1" s="73"/>
      <c r="AD1" s="75"/>
      <c r="AE1" s="73"/>
      <c r="AF1" s="73"/>
      <c r="AG1" s="73"/>
      <c r="AH1" s="78"/>
      <c r="AI1" s="78"/>
      <c r="AJ1" s="78"/>
    </row>
    <row r="2" spans="3:36" s="69" customFormat="1" ht="16.5" x14ac:dyDescent="0.3">
      <c r="C2" s="70" t="s">
        <v>38</v>
      </c>
      <c r="D2" s="71"/>
      <c r="E2" s="71"/>
      <c r="F2" s="71"/>
      <c r="G2" s="71"/>
      <c r="H2" s="71"/>
      <c r="I2" s="72"/>
      <c r="J2" s="72"/>
      <c r="K2" s="72"/>
      <c r="L2" s="73"/>
      <c r="M2" s="74"/>
      <c r="N2" s="73"/>
      <c r="P2" s="75"/>
      <c r="Q2" s="75"/>
      <c r="R2" s="73"/>
      <c r="S2" s="73"/>
      <c r="U2" s="75"/>
      <c r="V2" s="73"/>
      <c r="W2" s="73"/>
      <c r="X2" s="73"/>
      <c r="Y2" s="76"/>
      <c r="Z2" s="73"/>
      <c r="AA2" s="73"/>
      <c r="AB2" s="73"/>
      <c r="AC2" s="73"/>
      <c r="AD2" s="75"/>
      <c r="AE2" s="73"/>
      <c r="AF2" s="73"/>
      <c r="AG2" s="73"/>
      <c r="AH2" s="78"/>
      <c r="AI2" s="78"/>
      <c r="AJ2" s="78"/>
    </row>
    <row r="3" spans="3:36" s="69" customFormat="1" ht="16.5" x14ac:dyDescent="0.3">
      <c r="C3" s="70" t="s">
        <v>98</v>
      </c>
      <c r="D3" s="71"/>
      <c r="E3" s="71"/>
      <c r="F3" s="71"/>
      <c r="G3" s="71"/>
      <c r="H3" s="71"/>
      <c r="I3" s="72"/>
      <c r="J3" s="72"/>
      <c r="K3" s="72"/>
      <c r="L3" s="73"/>
      <c r="M3" s="74"/>
      <c r="N3" s="73"/>
      <c r="P3" s="75"/>
      <c r="Q3" s="75"/>
      <c r="R3" s="73"/>
      <c r="S3" s="73"/>
      <c r="U3" s="75"/>
      <c r="V3" s="73"/>
      <c r="W3" s="73"/>
      <c r="X3" s="73"/>
      <c r="Y3" s="76"/>
      <c r="Z3" s="73"/>
      <c r="AA3" s="73"/>
      <c r="AB3" s="73"/>
      <c r="AC3" s="73"/>
      <c r="AD3" s="75"/>
      <c r="AE3" s="73"/>
      <c r="AF3" s="73"/>
      <c r="AG3" s="73"/>
      <c r="AH3" s="78"/>
      <c r="AI3" s="78"/>
      <c r="AJ3" s="78"/>
    </row>
    <row r="4" spans="3:36" s="69" customFormat="1" ht="16.5" x14ac:dyDescent="0.3">
      <c r="C4" s="79" t="s">
        <v>68</v>
      </c>
      <c r="D4" s="71"/>
      <c r="E4" s="71"/>
      <c r="F4" s="71"/>
      <c r="G4" s="71"/>
      <c r="H4" s="71"/>
      <c r="I4" s="72"/>
      <c r="J4" s="72"/>
      <c r="K4" s="72"/>
      <c r="L4" s="73"/>
      <c r="M4" s="74"/>
      <c r="N4" s="73"/>
      <c r="P4" s="75"/>
      <c r="Q4" s="75"/>
      <c r="R4" s="73"/>
      <c r="S4" s="73"/>
      <c r="U4" s="75"/>
      <c r="V4" s="73"/>
      <c r="W4" s="73"/>
      <c r="X4" s="73"/>
      <c r="Y4" s="76"/>
      <c r="Z4" s="73"/>
      <c r="AA4" s="73"/>
      <c r="AB4" s="73"/>
      <c r="AC4" s="73"/>
      <c r="AD4" s="75"/>
      <c r="AE4" s="73"/>
      <c r="AF4" s="73"/>
      <c r="AG4" s="73"/>
      <c r="AH4" s="78"/>
      <c r="AI4" s="78"/>
      <c r="AJ4" s="78"/>
    </row>
    <row r="5" spans="3:36" s="69" customFormat="1" ht="16.5" x14ac:dyDescent="0.3">
      <c r="C5" s="79" t="s">
        <v>69</v>
      </c>
      <c r="D5" s="71"/>
      <c r="E5" s="71"/>
      <c r="F5" s="71"/>
      <c r="G5" s="71"/>
      <c r="H5" s="71"/>
      <c r="I5" s="72"/>
      <c r="J5" s="72"/>
      <c r="K5" s="72"/>
      <c r="L5" s="73"/>
      <c r="M5" s="74"/>
      <c r="N5" s="73"/>
      <c r="P5" s="75"/>
      <c r="Q5" s="75"/>
      <c r="R5" s="73"/>
      <c r="S5" s="73"/>
      <c r="U5" s="75"/>
      <c r="V5" s="73"/>
      <c r="W5" s="73"/>
      <c r="X5" s="73"/>
      <c r="Y5" s="76"/>
      <c r="Z5" s="73"/>
      <c r="AA5" s="73"/>
      <c r="AB5" s="73"/>
      <c r="AC5" s="73"/>
      <c r="AD5" s="75"/>
      <c r="AE5" s="73"/>
      <c r="AF5" s="73"/>
      <c r="AG5" s="73"/>
      <c r="AH5" s="78"/>
      <c r="AI5" s="78"/>
      <c r="AJ5" s="78"/>
    </row>
    <row r="6" spans="3:36" s="69" customFormat="1" ht="16.5" x14ac:dyDescent="0.3">
      <c r="C6" s="79"/>
      <c r="D6" s="71"/>
      <c r="E6" s="71"/>
      <c r="F6" s="71"/>
      <c r="G6" s="71"/>
      <c r="H6" s="71"/>
      <c r="I6" s="72"/>
      <c r="J6" s="72"/>
      <c r="K6" s="72"/>
      <c r="L6" s="73"/>
      <c r="M6" s="74"/>
      <c r="N6" s="73"/>
      <c r="P6" s="75"/>
      <c r="Q6" s="75"/>
      <c r="R6" s="73"/>
      <c r="S6" s="73"/>
      <c r="U6" s="75"/>
      <c r="V6" s="73"/>
      <c r="W6" s="73"/>
      <c r="X6" s="73"/>
      <c r="Y6" s="76"/>
      <c r="Z6" s="73"/>
      <c r="AA6" s="73"/>
      <c r="AB6" s="73"/>
      <c r="AC6" s="73"/>
      <c r="AD6" s="75"/>
      <c r="AE6" s="73"/>
      <c r="AF6" s="73"/>
      <c r="AG6" s="73"/>
      <c r="AH6" s="78"/>
      <c r="AI6" s="78"/>
      <c r="AJ6" s="78"/>
    </row>
    <row r="7" spans="3:36" s="127" customFormat="1" ht="22.5" x14ac:dyDescent="0.3">
      <c r="C7" s="128" t="s">
        <v>218</v>
      </c>
      <c r="D7" s="129"/>
      <c r="E7" s="129"/>
      <c r="F7" s="129"/>
      <c r="G7" s="129"/>
      <c r="H7" s="129"/>
      <c r="I7" s="130"/>
      <c r="J7" s="131"/>
      <c r="K7" s="131"/>
      <c r="L7" s="131"/>
      <c r="M7" s="132"/>
      <c r="N7" s="131"/>
      <c r="O7" s="133"/>
      <c r="P7" s="133"/>
      <c r="Q7" s="133"/>
      <c r="R7" s="131"/>
      <c r="S7" s="131"/>
      <c r="U7" s="133"/>
      <c r="V7" s="131"/>
      <c r="W7" s="131"/>
      <c r="X7" s="131"/>
      <c r="Y7" s="134"/>
      <c r="Z7" s="131"/>
      <c r="AA7" s="131"/>
      <c r="AB7" s="131"/>
      <c r="AC7" s="131"/>
      <c r="AD7" s="133"/>
      <c r="AE7" s="131"/>
      <c r="AF7" s="131"/>
      <c r="AG7" s="131"/>
      <c r="AH7" s="131"/>
      <c r="AI7" s="131"/>
      <c r="AJ7" s="131"/>
    </row>
    <row r="8" spans="3:36" ht="16.5" x14ac:dyDescent="0.3">
      <c r="C8" s="80" t="s">
        <v>39</v>
      </c>
      <c r="D8" s="81" t="s">
        <v>168</v>
      </c>
    </row>
    <row r="9" spans="3:36" ht="16.5" x14ac:dyDescent="0.3">
      <c r="C9" s="82" t="s">
        <v>1</v>
      </c>
      <c r="D9" s="83" t="s">
        <v>183</v>
      </c>
    </row>
    <row r="12" spans="3:36" ht="16.5" x14ac:dyDescent="0.3">
      <c r="C12" s="137"/>
      <c r="D12" s="71"/>
      <c r="E12" s="71"/>
      <c r="F12" s="71"/>
      <c r="G12" s="71"/>
      <c r="H12" s="71"/>
      <c r="I12" s="72"/>
      <c r="J12" s="72"/>
      <c r="K12" s="72"/>
      <c r="L12" s="73"/>
      <c r="M12" s="74"/>
      <c r="N12" s="73"/>
      <c r="O12" s="69"/>
      <c r="P12" s="75"/>
      <c r="Q12" s="136"/>
      <c r="R12" s="136"/>
      <c r="S12" s="73"/>
      <c r="T12" s="69"/>
      <c r="U12" s="75"/>
      <c r="V12" s="73"/>
      <c r="W12" s="73"/>
      <c r="X12" s="73"/>
      <c r="Y12" s="136"/>
      <c r="Z12" s="136"/>
      <c r="AA12" s="73"/>
      <c r="AB12" s="73"/>
      <c r="AC12" s="138" t="s">
        <v>101</v>
      </c>
      <c r="AD12" s="75"/>
      <c r="AE12" s="73"/>
      <c r="AF12" s="73"/>
      <c r="AG12" s="73"/>
      <c r="AH12" s="78"/>
    </row>
    <row r="13" spans="3:36" ht="15.65" customHeight="1" x14ac:dyDescent="0.3">
      <c r="C13" s="300" t="s">
        <v>40</v>
      </c>
      <c r="D13" s="313" t="s">
        <v>71</v>
      </c>
      <c r="E13" s="320" t="s">
        <v>72</v>
      </c>
      <c r="F13" s="323" t="s">
        <v>73</v>
      </c>
      <c r="G13" s="303" t="s">
        <v>41</v>
      </c>
      <c r="H13" s="306" t="s">
        <v>42</v>
      </c>
      <c r="I13" s="307"/>
      <c r="J13" s="307"/>
      <c r="K13" s="308"/>
      <c r="L13" s="300" t="s">
        <v>66</v>
      </c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10"/>
      <c r="Y13" s="300" t="s">
        <v>43</v>
      </c>
      <c r="Z13" s="309"/>
      <c r="AA13" s="309"/>
      <c r="AB13" s="309"/>
      <c r="AC13" s="309"/>
      <c r="AD13" s="309"/>
      <c r="AE13" s="309"/>
      <c r="AF13" s="310"/>
      <c r="AG13" s="285"/>
      <c r="AH13" s="86"/>
    </row>
    <row r="14" spans="3:36" ht="15.65" customHeight="1" x14ac:dyDescent="0.3">
      <c r="C14" s="301"/>
      <c r="D14" s="314"/>
      <c r="E14" s="321"/>
      <c r="F14" s="324"/>
      <c r="G14" s="304"/>
      <c r="H14" s="296" t="s">
        <v>44</v>
      </c>
      <c r="I14" s="297"/>
      <c r="J14" s="297"/>
      <c r="K14" s="298"/>
      <c r="L14" s="302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2"/>
      <c r="Y14" s="302"/>
      <c r="Z14" s="311"/>
      <c r="AA14" s="311"/>
      <c r="AB14" s="311"/>
      <c r="AC14" s="311"/>
      <c r="AD14" s="311"/>
      <c r="AE14" s="311"/>
      <c r="AF14" s="312"/>
      <c r="AG14" s="285"/>
      <c r="AH14" s="86"/>
    </row>
    <row r="15" spans="3:36" ht="15.65" customHeight="1" x14ac:dyDescent="0.3">
      <c r="C15" s="301"/>
      <c r="D15" s="314"/>
      <c r="E15" s="321"/>
      <c r="F15" s="324"/>
      <c r="G15" s="304"/>
      <c r="H15" s="328" t="s">
        <v>45</v>
      </c>
      <c r="I15" s="261" t="s">
        <v>46</v>
      </c>
      <c r="J15" s="261" t="s">
        <v>47</v>
      </c>
      <c r="K15" s="262" t="s">
        <v>48</v>
      </c>
      <c r="L15" s="328" t="s">
        <v>49</v>
      </c>
      <c r="M15" s="261" t="s">
        <v>50</v>
      </c>
      <c r="N15" s="329" t="s">
        <v>51</v>
      </c>
      <c r="O15" s="263" t="s">
        <v>52</v>
      </c>
      <c r="P15" s="261" t="s">
        <v>53</v>
      </c>
      <c r="Q15" s="329" t="s">
        <v>13</v>
      </c>
      <c r="R15" s="329" t="s">
        <v>14</v>
      </c>
      <c r="S15" s="261" t="s">
        <v>54</v>
      </c>
      <c r="T15" s="261" t="s">
        <v>31</v>
      </c>
      <c r="U15" s="261" t="s">
        <v>32</v>
      </c>
      <c r="V15" s="261" t="s">
        <v>33</v>
      </c>
      <c r="W15" s="259" t="s">
        <v>55</v>
      </c>
      <c r="X15" s="330" t="s">
        <v>27</v>
      </c>
      <c r="Y15" s="300" t="s">
        <v>28</v>
      </c>
      <c r="Z15" s="309" t="s">
        <v>29</v>
      </c>
      <c r="AA15" s="326" t="s">
        <v>30</v>
      </c>
      <c r="AB15" s="309" t="s">
        <v>31</v>
      </c>
      <c r="AC15" s="309" t="s">
        <v>32</v>
      </c>
      <c r="AD15" s="309" t="s">
        <v>33</v>
      </c>
      <c r="AE15" s="309" t="s">
        <v>34</v>
      </c>
      <c r="AF15" s="310" t="s">
        <v>70</v>
      </c>
      <c r="AG15" s="285"/>
      <c r="AH15" s="86"/>
    </row>
    <row r="16" spans="3:36" ht="15.65" customHeight="1" x14ac:dyDescent="0.3">
      <c r="C16" s="302"/>
      <c r="D16" s="315"/>
      <c r="E16" s="322"/>
      <c r="F16" s="325"/>
      <c r="G16" s="305"/>
      <c r="H16" s="302"/>
      <c r="I16" s="264" t="s">
        <v>56</v>
      </c>
      <c r="J16" s="264" t="s">
        <v>56</v>
      </c>
      <c r="K16" s="265" t="s">
        <v>57</v>
      </c>
      <c r="L16" s="302"/>
      <c r="M16" s="264" t="s">
        <v>58</v>
      </c>
      <c r="N16" s="311"/>
      <c r="O16" s="264" t="s">
        <v>59</v>
      </c>
      <c r="P16" s="264" t="s">
        <v>60</v>
      </c>
      <c r="Q16" s="311"/>
      <c r="R16" s="311"/>
      <c r="S16" s="264" t="s">
        <v>61</v>
      </c>
      <c r="T16" s="264" t="s">
        <v>62</v>
      </c>
      <c r="U16" s="264" t="s">
        <v>63</v>
      </c>
      <c r="V16" s="264" t="s">
        <v>64</v>
      </c>
      <c r="W16" s="260" t="s">
        <v>65</v>
      </c>
      <c r="X16" s="331"/>
      <c r="Y16" s="302"/>
      <c r="Z16" s="311"/>
      <c r="AA16" s="327"/>
      <c r="AB16" s="311"/>
      <c r="AC16" s="311"/>
      <c r="AD16" s="311"/>
      <c r="AE16" s="311"/>
      <c r="AF16" s="312"/>
      <c r="AG16" s="285"/>
      <c r="AH16" s="86"/>
    </row>
    <row r="17" spans="3:36" ht="15.65" customHeight="1" x14ac:dyDescent="0.45">
      <c r="C17" s="151" t="s">
        <v>174</v>
      </c>
      <c r="D17" s="152" t="s">
        <v>84</v>
      </c>
      <c r="E17" s="152" t="s">
        <v>169</v>
      </c>
      <c r="F17" s="152" t="s">
        <v>170</v>
      </c>
      <c r="G17" s="153" t="s">
        <v>219</v>
      </c>
      <c r="H17" s="154">
        <v>8896006</v>
      </c>
      <c r="I17" s="155">
        <v>0</v>
      </c>
      <c r="J17" s="156">
        <v>2261685</v>
      </c>
      <c r="K17" s="157">
        <v>6634321</v>
      </c>
      <c r="L17" s="158">
        <v>88592171</v>
      </c>
      <c r="M17" s="159">
        <f>H17/L17</f>
        <v>0.10041526129887933</v>
      </c>
      <c r="N17" s="155">
        <v>439382</v>
      </c>
      <c r="O17" s="160">
        <f t="shared" ref="O17:O19" si="0">N17/L17</f>
        <v>4.9596030330942001E-3</v>
      </c>
      <c r="P17" s="160">
        <f>Q17/N17</f>
        <v>2.2873035308683561E-2</v>
      </c>
      <c r="Q17" s="155">
        <v>10050</v>
      </c>
      <c r="R17" s="155">
        <v>8093</v>
      </c>
      <c r="S17" s="267">
        <f t="shared" ref="S17:S19" si="1">R17/Q17</f>
        <v>0.80527363184079603</v>
      </c>
      <c r="T17" s="162">
        <f>H17/Q17</f>
        <v>885.17472636815921</v>
      </c>
      <c r="U17" s="162">
        <f>H17/R17</f>
        <v>1099.222290868652</v>
      </c>
      <c r="V17" s="155">
        <f>R17*X$17</f>
        <v>26868760</v>
      </c>
      <c r="W17" s="277">
        <f>V17/H17</f>
        <v>3.0203172075198692</v>
      </c>
      <c r="X17" s="286">
        <v>3320</v>
      </c>
      <c r="Y17" s="154">
        <v>1248</v>
      </c>
      <c r="Z17" s="162">
        <v>887</v>
      </c>
      <c r="AA17" s="160">
        <f>Z17/Y17</f>
        <v>0.71073717948717952</v>
      </c>
      <c r="AB17" s="162">
        <f>H17/Y17</f>
        <v>7128.2099358974356</v>
      </c>
      <c r="AC17" s="162">
        <v>10029.319052987599</v>
      </c>
      <c r="AD17" s="162">
        <f>Z17*AF17</f>
        <v>2156297</v>
      </c>
      <c r="AE17" s="161">
        <f>AD17/H17</f>
        <v>0.24238933741726343</v>
      </c>
      <c r="AF17" s="163">
        <v>2431</v>
      </c>
      <c r="AG17" s="118"/>
      <c r="AH17" s="86"/>
    </row>
    <row r="18" spans="3:36" ht="15.65" customHeight="1" x14ac:dyDescent="0.45">
      <c r="C18" s="151" t="s">
        <v>175</v>
      </c>
      <c r="D18" s="152" t="s">
        <v>84</v>
      </c>
      <c r="E18" s="152" t="s">
        <v>171</v>
      </c>
      <c r="F18" s="152" t="s">
        <v>170</v>
      </c>
      <c r="G18" s="153" t="s">
        <v>220</v>
      </c>
      <c r="H18" s="154">
        <v>7427180.3600000003</v>
      </c>
      <c r="I18" s="155">
        <v>0</v>
      </c>
      <c r="J18" s="156">
        <v>2206151</v>
      </c>
      <c r="K18" s="157">
        <v>5221029.3600000003</v>
      </c>
      <c r="L18" s="158">
        <v>118438911</v>
      </c>
      <c r="M18" s="159">
        <f>H18/L18</f>
        <v>6.2708955167613795E-2</v>
      </c>
      <c r="N18" s="155">
        <v>507084</v>
      </c>
      <c r="O18" s="160">
        <f t="shared" si="0"/>
        <v>4.2813970148712363E-3</v>
      </c>
      <c r="P18" s="160">
        <f>Q18/N18</f>
        <v>2.8734884161204059E-2</v>
      </c>
      <c r="Q18" s="155">
        <v>14571</v>
      </c>
      <c r="R18" s="155">
        <v>12030</v>
      </c>
      <c r="S18" s="267">
        <f t="shared" si="1"/>
        <v>0.82561251801523572</v>
      </c>
      <c r="T18" s="162">
        <f>H18/Q18</f>
        <v>509.72344794454739</v>
      </c>
      <c r="U18" s="162">
        <f>H18/R18</f>
        <v>617.38822610141312</v>
      </c>
      <c r="V18" s="155">
        <f>R18*X$17</f>
        <v>39939600</v>
      </c>
      <c r="W18" s="277">
        <f>V18/H18</f>
        <v>5.3774916003251603</v>
      </c>
      <c r="X18" s="287"/>
      <c r="Y18" s="154">
        <v>169</v>
      </c>
      <c r="Z18" s="162">
        <v>107</v>
      </c>
      <c r="AA18" s="160">
        <f>Z18/Y18</f>
        <v>0.63313609467455623</v>
      </c>
      <c r="AB18" s="162">
        <f>H18/Y18</f>
        <v>43947.812781065091</v>
      </c>
      <c r="AC18" s="162">
        <v>69412.900560747672</v>
      </c>
      <c r="AD18" s="162">
        <f>Z18*AF18</f>
        <v>188320</v>
      </c>
      <c r="AE18" s="161">
        <f>AD18/H18</f>
        <v>2.5355517285431856E-2</v>
      </c>
      <c r="AF18" s="163">
        <v>1760</v>
      </c>
      <c r="AG18" s="164"/>
      <c r="AH18" s="86"/>
    </row>
    <row r="19" spans="3:36" ht="15.65" customHeight="1" x14ac:dyDescent="0.45">
      <c r="C19" s="166"/>
      <c r="D19" s="167"/>
      <c r="E19" s="167"/>
      <c r="F19" s="167"/>
      <c r="G19" s="168" t="s">
        <v>112</v>
      </c>
      <c r="H19" s="169">
        <f>SUM(H17:H18)</f>
        <v>16323186.359999999</v>
      </c>
      <c r="I19" s="170">
        <f>SUM(I17:I18)</f>
        <v>0</v>
      </c>
      <c r="J19" s="170">
        <f>SUM(J17:J18)</f>
        <v>4467836</v>
      </c>
      <c r="K19" s="171">
        <f>SUM(K17:K18)</f>
        <v>11855350.359999999</v>
      </c>
      <c r="L19" s="172">
        <f>SUM(L17:L18)</f>
        <v>207031082</v>
      </c>
      <c r="M19" s="173">
        <f>H19/L19</f>
        <v>7.8844133945066272E-2</v>
      </c>
      <c r="N19" s="170">
        <f>SUM(N17:N18)</f>
        <v>946466</v>
      </c>
      <c r="O19" s="174">
        <f t="shared" si="0"/>
        <v>4.5716130682251855E-3</v>
      </c>
      <c r="P19" s="174">
        <f t="shared" ref="P19" si="2">Q19/N19</f>
        <v>2.6013612744673342E-2</v>
      </c>
      <c r="Q19" s="170">
        <f>SUM(Q17:Q18)</f>
        <v>24621</v>
      </c>
      <c r="R19" s="170">
        <f>SUM(R17:R18)</f>
        <v>20123</v>
      </c>
      <c r="S19" s="268">
        <f t="shared" si="1"/>
        <v>0.81731042605905524</v>
      </c>
      <c r="T19" s="175">
        <f>H19/Q19</f>
        <v>662.97820397221881</v>
      </c>
      <c r="U19" s="175">
        <f>H19/R19</f>
        <v>811.17061869502561</v>
      </c>
      <c r="V19" s="170">
        <f>R19*X$17</f>
        <v>66808360</v>
      </c>
      <c r="W19" s="278">
        <f>V19/H19</f>
        <v>4.0928504108556902</v>
      </c>
      <c r="X19" s="288"/>
      <c r="Y19" s="177">
        <f>SUM(Y17:Y18)</f>
        <v>1417</v>
      </c>
      <c r="Z19" s="175">
        <f>SUM(Z17:Z18)</f>
        <v>994</v>
      </c>
      <c r="AA19" s="174">
        <f>Z19/Y19</f>
        <v>0.70148200423429785</v>
      </c>
      <c r="AB19" s="175">
        <f>H19/Y19</f>
        <v>11519.538715596329</v>
      </c>
      <c r="AC19" s="175">
        <f>H19/Z19</f>
        <v>16421.716659959759</v>
      </c>
      <c r="AD19" s="175">
        <f>SUM(AD17:AD18)</f>
        <v>2344617</v>
      </c>
      <c r="AE19" s="178">
        <f>AD19/H19</f>
        <v>0.14363721324321144</v>
      </c>
      <c r="AF19" s="171">
        <f>AD19/Z19</f>
        <v>2358.7696177062376</v>
      </c>
      <c r="AG19" s="165"/>
      <c r="AH19" s="179"/>
    </row>
    <row r="20" spans="3:36" ht="15.65" customHeight="1" x14ac:dyDescent="0.3"/>
    <row r="21" spans="3:36" ht="15.65" customHeight="1" x14ac:dyDescent="0.3">
      <c r="C21" s="300" t="s">
        <v>40</v>
      </c>
      <c r="D21" s="313" t="s">
        <v>71</v>
      </c>
      <c r="E21" s="320" t="s">
        <v>72</v>
      </c>
      <c r="F21" s="323" t="s">
        <v>73</v>
      </c>
      <c r="G21" s="303" t="s">
        <v>41</v>
      </c>
      <c r="H21" s="306" t="s">
        <v>42</v>
      </c>
      <c r="I21" s="307"/>
      <c r="J21" s="307"/>
      <c r="K21" s="308"/>
      <c r="L21" s="300" t="s">
        <v>66</v>
      </c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10"/>
      <c r="Y21" s="300" t="s">
        <v>43</v>
      </c>
      <c r="Z21" s="309"/>
      <c r="AA21" s="309"/>
      <c r="AB21" s="309"/>
      <c r="AC21" s="309"/>
      <c r="AD21" s="309"/>
      <c r="AE21" s="309"/>
      <c r="AF21" s="310"/>
    </row>
    <row r="22" spans="3:36" ht="15.65" customHeight="1" x14ac:dyDescent="0.3">
      <c r="C22" s="301"/>
      <c r="D22" s="314"/>
      <c r="E22" s="321"/>
      <c r="F22" s="324"/>
      <c r="G22" s="304"/>
      <c r="H22" s="296" t="s">
        <v>44</v>
      </c>
      <c r="I22" s="297"/>
      <c r="J22" s="297"/>
      <c r="K22" s="298"/>
      <c r="L22" s="302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2"/>
      <c r="Y22" s="302"/>
      <c r="Z22" s="311"/>
      <c r="AA22" s="311"/>
      <c r="AB22" s="311"/>
      <c r="AC22" s="311"/>
      <c r="AD22" s="311"/>
      <c r="AE22" s="311"/>
      <c r="AF22" s="312"/>
    </row>
    <row r="23" spans="3:36" ht="16.5" x14ac:dyDescent="0.3">
      <c r="C23" s="301"/>
      <c r="D23" s="314"/>
      <c r="E23" s="321"/>
      <c r="F23" s="324"/>
      <c r="G23" s="304"/>
      <c r="H23" s="299" t="s">
        <v>45</v>
      </c>
      <c r="I23" s="143" t="s">
        <v>46</v>
      </c>
      <c r="J23" s="143" t="s">
        <v>47</v>
      </c>
      <c r="K23" s="144" t="s">
        <v>48</v>
      </c>
      <c r="L23" s="299" t="s">
        <v>49</v>
      </c>
      <c r="M23" s="143" t="s">
        <v>50</v>
      </c>
      <c r="N23" s="289" t="s">
        <v>51</v>
      </c>
      <c r="O23" s="145" t="s">
        <v>52</v>
      </c>
      <c r="P23" s="143" t="s">
        <v>53</v>
      </c>
      <c r="Q23" s="289" t="s">
        <v>13</v>
      </c>
      <c r="R23" s="289" t="s">
        <v>14</v>
      </c>
      <c r="S23" s="143" t="s">
        <v>54</v>
      </c>
      <c r="T23" s="143" t="s">
        <v>31</v>
      </c>
      <c r="U23" s="143" t="s">
        <v>32</v>
      </c>
      <c r="V23" s="143" t="s">
        <v>33</v>
      </c>
      <c r="W23" s="146" t="s">
        <v>55</v>
      </c>
      <c r="X23" s="290" t="s">
        <v>27</v>
      </c>
      <c r="Y23" s="292" t="s">
        <v>28</v>
      </c>
      <c r="Z23" s="281" t="s">
        <v>29</v>
      </c>
      <c r="AA23" s="294" t="s">
        <v>30</v>
      </c>
      <c r="AB23" s="281" t="s">
        <v>31</v>
      </c>
      <c r="AC23" s="281" t="s">
        <v>32</v>
      </c>
      <c r="AD23" s="281" t="s">
        <v>33</v>
      </c>
      <c r="AE23" s="281" t="s">
        <v>34</v>
      </c>
      <c r="AF23" s="283" t="s">
        <v>70</v>
      </c>
    </row>
    <row r="24" spans="3:36" ht="15.65" customHeight="1" x14ac:dyDescent="0.3">
      <c r="C24" s="302"/>
      <c r="D24" s="315"/>
      <c r="E24" s="322"/>
      <c r="F24" s="325"/>
      <c r="G24" s="305"/>
      <c r="H24" s="293"/>
      <c r="I24" s="148" t="s">
        <v>56</v>
      </c>
      <c r="J24" s="148" t="s">
        <v>56</v>
      </c>
      <c r="K24" s="149" t="s">
        <v>57</v>
      </c>
      <c r="L24" s="293"/>
      <c r="M24" s="148" t="s">
        <v>58</v>
      </c>
      <c r="N24" s="282"/>
      <c r="O24" s="148" t="s">
        <v>59</v>
      </c>
      <c r="P24" s="148" t="s">
        <v>60</v>
      </c>
      <c r="Q24" s="282"/>
      <c r="R24" s="282"/>
      <c r="S24" s="148" t="s">
        <v>61</v>
      </c>
      <c r="T24" s="148" t="s">
        <v>62</v>
      </c>
      <c r="U24" s="148" t="s">
        <v>63</v>
      </c>
      <c r="V24" s="148" t="s">
        <v>64</v>
      </c>
      <c r="W24" s="150" t="s">
        <v>65</v>
      </c>
      <c r="X24" s="291"/>
      <c r="Y24" s="293"/>
      <c r="Z24" s="282"/>
      <c r="AA24" s="295"/>
      <c r="AB24" s="282"/>
      <c r="AC24" s="282"/>
      <c r="AD24" s="282"/>
      <c r="AE24" s="282"/>
      <c r="AF24" s="284"/>
    </row>
    <row r="25" spans="3:36" ht="15.65" customHeight="1" x14ac:dyDescent="0.3">
      <c r="C25" s="96" t="s">
        <v>173</v>
      </c>
      <c r="D25" s="97" t="s">
        <v>84</v>
      </c>
      <c r="E25" s="97" t="s">
        <v>171</v>
      </c>
      <c r="F25" s="97" t="s">
        <v>170</v>
      </c>
      <c r="G25" s="266" t="s">
        <v>220</v>
      </c>
      <c r="H25" s="98">
        <v>5077775</v>
      </c>
      <c r="I25" s="99">
        <v>0</v>
      </c>
      <c r="J25" s="100">
        <v>886151</v>
      </c>
      <c r="K25" s="101">
        <v>4191624</v>
      </c>
      <c r="L25" s="102">
        <v>60877800</v>
      </c>
      <c r="M25" s="103">
        <f>H25/L25</f>
        <v>8.3409305198282463E-2</v>
      </c>
      <c r="N25" s="99">
        <v>30200</v>
      </c>
      <c r="O25" s="280">
        <f t="shared" ref="O25" si="3">N25/L25</f>
        <v>4.960757451813305E-4</v>
      </c>
      <c r="P25" s="104">
        <f>Q25/N25</f>
        <v>3.3112582781456956E-2</v>
      </c>
      <c r="Q25" s="99">
        <v>1000</v>
      </c>
      <c r="R25" s="99">
        <v>722</v>
      </c>
      <c r="S25" s="269">
        <f t="shared" ref="S25" si="4">R25/Q25</f>
        <v>0.72199999999999998</v>
      </c>
      <c r="T25" s="106">
        <f>H25/Q25</f>
        <v>5077.7749999999996</v>
      </c>
      <c r="U25" s="106">
        <f>H25/R25</f>
        <v>7032.9293628808864</v>
      </c>
      <c r="V25" s="99">
        <f>R25*X$17</f>
        <v>2397040</v>
      </c>
      <c r="W25" s="279">
        <f>V25/H25</f>
        <v>0.47206502848196308</v>
      </c>
      <c r="X25" s="107">
        <v>3320</v>
      </c>
      <c r="Y25" s="98" t="s">
        <v>172</v>
      </c>
      <c r="Z25" s="106" t="s">
        <v>172</v>
      </c>
      <c r="AA25" s="104" t="s">
        <v>37</v>
      </c>
      <c r="AB25" s="106" t="s">
        <v>37</v>
      </c>
      <c r="AC25" s="106" t="s">
        <v>37</v>
      </c>
      <c r="AD25" s="106" t="s">
        <v>37</v>
      </c>
      <c r="AE25" s="105" t="s">
        <v>37</v>
      </c>
      <c r="AF25" s="108">
        <v>1760</v>
      </c>
    </row>
    <row r="26" spans="3:36" ht="15.65" customHeight="1" x14ac:dyDescent="0.3">
      <c r="C26" s="249"/>
      <c r="D26" s="249"/>
      <c r="E26" s="249"/>
      <c r="F26" s="249"/>
      <c r="G26" s="249"/>
      <c r="H26" s="270"/>
      <c r="I26" s="271"/>
      <c r="J26" s="272"/>
      <c r="K26" s="272"/>
      <c r="L26" s="272"/>
      <c r="M26" s="273"/>
      <c r="N26" s="271"/>
      <c r="O26" s="274"/>
      <c r="P26" s="274"/>
      <c r="Q26" s="271"/>
      <c r="R26" s="271"/>
      <c r="S26" s="275"/>
      <c r="T26" s="270"/>
      <c r="U26" s="270"/>
      <c r="V26" s="271"/>
      <c r="W26" s="276"/>
      <c r="X26" s="272"/>
      <c r="Y26" s="270"/>
      <c r="Z26" s="270"/>
      <c r="AA26" s="274"/>
      <c r="AB26" s="270"/>
      <c r="AC26" s="270"/>
      <c r="AD26" s="270"/>
      <c r="AE26" s="276"/>
      <c r="AF26" s="271"/>
    </row>
    <row r="27" spans="3:36" ht="15.65" customHeight="1" x14ac:dyDescent="0.3">
      <c r="C27" s="249"/>
      <c r="D27" s="249"/>
      <c r="E27" s="249"/>
      <c r="F27" s="249"/>
      <c r="G27" s="249"/>
      <c r="H27" s="270"/>
      <c r="I27" s="271"/>
      <c r="J27" s="272"/>
      <c r="K27" s="272"/>
      <c r="L27" s="272"/>
      <c r="M27" s="273"/>
      <c r="N27" s="271"/>
      <c r="O27" s="274"/>
      <c r="P27" s="274"/>
      <c r="Q27" s="271"/>
      <c r="R27" s="271"/>
      <c r="S27" s="275"/>
      <c r="T27" s="270"/>
      <c r="U27" s="270"/>
      <c r="V27" s="271"/>
      <c r="W27" s="276"/>
      <c r="X27" s="272"/>
      <c r="Y27" s="270"/>
      <c r="Z27" s="270"/>
      <c r="AA27" s="274"/>
      <c r="AB27" s="270"/>
      <c r="AC27" s="270"/>
      <c r="AD27" s="270"/>
      <c r="AE27" s="276"/>
      <c r="AF27" s="271"/>
    </row>
    <row r="28" spans="3:36" ht="15.65" customHeight="1" x14ac:dyDescent="0.3">
      <c r="C28" s="249"/>
      <c r="D28" s="249"/>
      <c r="E28" s="249"/>
      <c r="F28" s="249"/>
      <c r="G28" s="249"/>
      <c r="H28" s="270"/>
      <c r="I28" s="271"/>
      <c r="J28" s="272"/>
      <c r="K28" s="272"/>
      <c r="L28" s="272"/>
      <c r="M28" s="273"/>
      <c r="N28" s="271"/>
      <c r="O28" s="274"/>
      <c r="P28" s="274"/>
      <c r="Q28" s="271"/>
      <c r="R28" s="271"/>
      <c r="S28" s="275"/>
      <c r="T28" s="270"/>
      <c r="U28" s="270"/>
      <c r="V28" s="271"/>
      <c r="W28" s="276"/>
      <c r="X28" s="272"/>
      <c r="Y28" s="270"/>
      <c r="Z28" s="270"/>
      <c r="AA28" s="274"/>
      <c r="AB28" s="270"/>
      <c r="AC28" s="270"/>
      <c r="AD28" s="270"/>
      <c r="AE28" s="276"/>
      <c r="AF28" s="271"/>
    </row>
    <row r="32" spans="3:36" s="127" customFormat="1" ht="22.5" x14ac:dyDescent="0.3">
      <c r="C32" s="128" t="s">
        <v>221</v>
      </c>
      <c r="D32" s="129"/>
      <c r="E32" s="129"/>
      <c r="F32" s="129"/>
      <c r="G32" s="129"/>
      <c r="H32" s="129"/>
      <c r="I32" s="130"/>
      <c r="J32" s="131"/>
      <c r="K32" s="131"/>
      <c r="L32" s="131"/>
      <c r="M32" s="132"/>
      <c r="N32" s="131"/>
      <c r="O32" s="133"/>
      <c r="P32" s="133"/>
      <c r="Q32" s="133"/>
      <c r="R32" s="131"/>
      <c r="S32" s="131"/>
      <c r="U32" s="133"/>
      <c r="V32" s="131"/>
      <c r="W32" s="131"/>
      <c r="X32" s="131"/>
      <c r="Y32" s="134"/>
      <c r="Z32" s="131"/>
      <c r="AA32" s="131"/>
      <c r="AB32" s="131"/>
      <c r="AC32" s="131"/>
      <c r="AD32" s="133"/>
      <c r="AE32" s="131"/>
      <c r="AF32" s="131"/>
      <c r="AG32" s="131"/>
      <c r="AH32" s="131"/>
      <c r="AI32" s="131"/>
      <c r="AJ32" s="131"/>
    </row>
    <row r="33" spans="3:32" ht="16.5" x14ac:dyDescent="0.3">
      <c r="C33" s="82" t="s">
        <v>1</v>
      </c>
      <c r="D33" s="83" t="s">
        <v>176</v>
      </c>
    </row>
    <row r="37" spans="3:32" ht="16.5" x14ac:dyDescent="0.3">
      <c r="C37" s="300" t="s">
        <v>40</v>
      </c>
      <c r="D37" s="313" t="s">
        <v>71</v>
      </c>
      <c r="E37" s="320" t="s">
        <v>72</v>
      </c>
      <c r="F37" s="323" t="s">
        <v>73</v>
      </c>
      <c r="G37" s="303" t="s">
        <v>41</v>
      </c>
      <c r="H37" s="306" t="s">
        <v>42</v>
      </c>
      <c r="I37" s="307"/>
      <c r="J37" s="307"/>
      <c r="K37" s="308"/>
      <c r="L37" s="300" t="s">
        <v>66</v>
      </c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10"/>
      <c r="Y37" s="300" t="s">
        <v>43</v>
      </c>
      <c r="Z37" s="309"/>
      <c r="AA37" s="309"/>
      <c r="AB37" s="309"/>
      <c r="AC37" s="309"/>
      <c r="AD37" s="309"/>
      <c r="AE37" s="309"/>
      <c r="AF37" s="310"/>
    </row>
    <row r="38" spans="3:32" ht="16.5" x14ac:dyDescent="0.3">
      <c r="C38" s="301"/>
      <c r="D38" s="314"/>
      <c r="E38" s="321"/>
      <c r="F38" s="324"/>
      <c r="G38" s="304"/>
      <c r="H38" s="296" t="s">
        <v>44</v>
      </c>
      <c r="I38" s="297"/>
      <c r="J38" s="297"/>
      <c r="K38" s="298"/>
      <c r="L38" s="302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2"/>
      <c r="Y38" s="302"/>
      <c r="Z38" s="311"/>
      <c r="AA38" s="311"/>
      <c r="AB38" s="311"/>
      <c r="AC38" s="311"/>
      <c r="AD38" s="311"/>
      <c r="AE38" s="311"/>
      <c r="AF38" s="312"/>
    </row>
    <row r="39" spans="3:32" ht="16.5" x14ac:dyDescent="0.3">
      <c r="C39" s="301"/>
      <c r="D39" s="314"/>
      <c r="E39" s="321"/>
      <c r="F39" s="324"/>
      <c r="G39" s="304"/>
      <c r="H39" s="328" t="s">
        <v>45</v>
      </c>
      <c r="I39" s="261" t="s">
        <v>46</v>
      </c>
      <c r="J39" s="261" t="s">
        <v>47</v>
      </c>
      <c r="K39" s="262" t="s">
        <v>48</v>
      </c>
      <c r="L39" s="328" t="s">
        <v>49</v>
      </c>
      <c r="M39" s="261" t="s">
        <v>50</v>
      </c>
      <c r="N39" s="329" t="s">
        <v>51</v>
      </c>
      <c r="O39" s="263" t="s">
        <v>52</v>
      </c>
      <c r="P39" s="261" t="s">
        <v>53</v>
      </c>
      <c r="Q39" s="329" t="s">
        <v>13</v>
      </c>
      <c r="R39" s="329" t="s">
        <v>14</v>
      </c>
      <c r="S39" s="261" t="s">
        <v>54</v>
      </c>
      <c r="T39" s="261" t="s">
        <v>31</v>
      </c>
      <c r="U39" s="261" t="s">
        <v>32</v>
      </c>
      <c r="V39" s="261" t="s">
        <v>33</v>
      </c>
      <c r="W39" s="259" t="s">
        <v>55</v>
      </c>
      <c r="X39" s="330" t="s">
        <v>27</v>
      </c>
      <c r="Y39" s="300" t="s">
        <v>28</v>
      </c>
      <c r="Z39" s="309" t="s">
        <v>29</v>
      </c>
      <c r="AA39" s="326" t="s">
        <v>30</v>
      </c>
      <c r="AB39" s="309" t="s">
        <v>31</v>
      </c>
      <c r="AC39" s="309" t="s">
        <v>32</v>
      </c>
      <c r="AD39" s="309" t="s">
        <v>33</v>
      </c>
      <c r="AE39" s="309" t="s">
        <v>34</v>
      </c>
      <c r="AF39" s="310" t="s">
        <v>70</v>
      </c>
    </row>
    <row r="40" spans="3:32" ht="16.5" x14ac:dyDescent="0.3">
      <c r="C40" s="302"/>
      <c r="D40" s="315"/>
      <c r="E40" s="322"/>
      <c r="F40" s="325"/>
      <c r="G40" s="305"/>
      <c r="H40" s="302"/>
      <c r="I40" s="264" t="s">
        <v>56</v>
      </c>
      <c r="J40" s="264" t="s">
        <v>56</v>
      </c>
      <c r="K40" s="265" t="s">
        <v>57</v>
      </c>
      <c r="L40" s="302"/>
      <c r="M40" s="264" t="s">
        <v>58</v>
      </c>
      <c r="N40" s="311"/>
      <c r="O40" s="264" t="s">
        <v>59</v>
      </c>
      <c r="P40" s="264" t="s">
        <v>60</v>
      </c>
      <c r="Q40" s="311"/>
      <c r="R40" s="311"/>
      <c r="S40" s="264" t="s">
        <v>61</v>
      </c>
      <c r="T40" s="264" t="s">
        <v>62</v>
      </c>
      <c r="U40" s="264" t="s">
        <v>63</v>
      </c>
      <c r="V40" s="264" t="s">
        <v>64</v>
      </c>
      <c r="W40" s="260" t="s">
        <v>65</v>
      </c>
      <c r="X40" s="331"/>
      <c r="Y40" s="302"/>
      <c r="Z40" s="311"/>
      <c r="AA40" s="327"/>
      <c r="AB40" s="311"/>
      <c r="AC40" s="311"/>
      <c r="AD40" s="311"/>
      <c r="AE40" s="311"/>
      <c r="AF40" s="312"/>
    </row>
    <row r="41" spans="3:32" ht="16.5" x14ac:dyDescent="0.3">
      <c r="C41" s="151" t="s">
        <v>177</v>
      </c>
      <c r="D41" s="152"/>
      <c r="E41" s="152"/>
      <c r="F41" s="152"/>
      <c r="G41" s="153" t="s">
        <v>198</v>
      </c>
      <c r="H41" s="154">
        <v>8677243</v>
      </c>
      <c r="I41" s="155">
        <v>0</v>
      </c>
      <c r="J41" s="156">
        <v>3392647</v>
      </c>
      <c r="K41" s="157">
        <v>5284596</v>
      </c>
      <c r="L41" s="158">
        <v>71619800</v>
      </c>
      <c r="M41" s="159">
        <f>H41/L41</f>
        <v>0.12115704037151738</v>
      </c>
      <c r="N41" s="155">
        <v>1155100</v>
      </c>
      <c r="O41" s="160">
        <f t="shared" ref="O41:O43" si="5">N41/L41</f>
        <v>1.612822152533238E-2</v>
      </c>
      <c r="P41" s="160">
        <f>Q41/N41</f>
        <v>4.5190892563414423E-2</v>
      </c>
      <c r="Q41" s="155">
        <v>52200</v>
      </c>
      <c r="R41" s="155">
        <v>45200</v>
      </c>
      <c r="S41" s="267">
        <f t="shared" ref="S41:S43" si="6">R41/Q41</f>
        <v>0.86590038314176243</v>
      </c>
      <c r="T41" s="162">
        <f>H41/Q41</f>
        <v>166.23070881226053</v>
      </c>
      <c r="U41" s="162">
        <f>H41/R41</f>
        <v>191.97440265486725</v>
      </c>
      <c r="V41" s="155">
        <f>R41*$X$41</f>
        <v>107982800</v>
      </c>
      <c r="W41" s="277">
        <f>V41/H41</f>
        <v>12.444367410247702</v>
      </c>
      <c r="X41" s="286">
        <v>2389</v>
      </c>
      <c r="Y41" s="154">
        <v>7100</v>
      </c>
      <c r="Z41" s="162">
        <v>6300</v>
      </c>
      <c r="AA41" s="267">
        <f>Z41/Y41</f>
        <v>0.88732394366197187</v>
      </c>
      <c r="AB41" s="162">
        <f>H41/Y41</f>
        <v>1222.1469014084507</v>
      </c>
      <c r="AC41" s="162">
        <v>1377</v>
      </c>
      <c r="AD41" s="162">
        <f>Z41*AF41</f>
        <v>24513300</v>
      </c>
      <c r="AE41" s="277">
        <f>AD41/H41</f>
        <v>2.8250102019731385</v>
      </c>
      <c r="AF41" s="163">
        <v>3891</v>
      </c>
    </row>
    <row r="42" spans="3:32" ht="16.5" x14ac:dyDescent="0.3">
      <c r="C42" s="151" t="s">
        <v>177</v>
      </c>
      <c r="D42" s="152"/>
      <c r="E42" s="152"/>
      <c r="F42" s="152"/>
      <c r="G42" s="153" t="s">
        <v>222</v>
      </c>
      <c r="H42" s="154">
        <v>8911936</v>
      </c>
      <c r="I42" s="155">
        <v>0</v>
      </c>
      <c r="J42" s="156">
        <v>3565368</v>
      </c>
      <c r="K42" s="157">
        <v>5346568</v>
      </c>
      <c r="L42" s="158">
        <v>113328200</v>
      </c>
      <c r="M42" s="159">
        <f>H42/L42</f>
        <v>7.8638291263780774E-2</v>
      </c>
      <c r="N42" s="155">
        <v>1385100</v>
      </c>
      <c r="O42" s="160">
        <f t="shared" si="5"/>
        <v>1.2222024174036119E-2</v>
      </c>
      <c r="P42" s="160">
        <f>Q42/N42</f>
        <v>5.3786730199985561E-2</v>
      </c>
      <c r="Q42" s="155">
        <v>74500</v>
      </c>
      <c r="R42" s="155">
        <v>65200</v>
      </c>
      <c r="S42" s="267">
        <f t="shared" si="6"/>
        <v>0.87516778523489935</v>
      </c>
      <c r="T42" s="162">
        <f>H42/Q42</f>
        <v>119.62330201342282</v>
      </c>
      <c r="U42" s="162">
        <f>H42/R42</f>
        <v>136.68613496932517</v>
      </c>
      <c r="V42" s="155">
        <f t="shared" ref="V42:V43" si="7">R42*$X$41</f>
        <v>155762800</v>
      </c>
      <c r="W42" s="277">
        <f>V42/H42</f>
        <v>17.477998046664609</v>
      </c>
      <c r="X42" s="287"/>
      <c r="Y42" s="154">
        <v>33000</v>
      </c>
      <c r="Z42" s="162">
        <v>30100</v>
      </c>
      <c r="AA42" s="267">
        <f>Z42/Y42</f>
        <v>0.91212121212121211</v>
      </c>
      <c r="AB42" s="162">
        <f>H42/Y42</f>
        <v>270.05866666666668</v>
      </c>
      <c r="AC42" s="162">
        <v>296</v>
      </c>
      <c r="AD42" s="162">
        <f>Z42*AF42</f>
        <v>84731500</v>
      </c>
      <c r="AE42" s="277">
        <f>AD42/H42</f>
        <v>9.5076423349539319</v>
      </c>
      <c r="AF42" s="163">
        <v>2815</v>
      </c>
    </row>
    <row r="43" spans="3:32" ht="16.5" x14ac:dyDescent="0.3">
      <c r="C43" s="166"/>
      <c r="D43" s="167"/>
      <c r="E43" s="167"/>
      <c r="F43" s="167"/>
      <c r="G43" s="168" t="s">
        <v>112</v>
      </c>
      <c r="H43" s="169">
        <f>SUM(H41:H42)</f>
        <v>17589179</v>
      </c>
      <c r="I43" s="170">
        <f>SUM(I41:I42)</f>
        <v>0</v>
      </c>
      <c r="J43" s="170">
        <f>SUM(J41:J42)</f>
        <v>6958015</v>
      </c>
      <c r="K43" s="171">
        <f>SUM(K41:K42)</f>
        <v>10631164</v>
      </c>
      <c r="L43" s="172">
        <f>SUM(L41:L42)</f>
        <v>184948000</v>
      </c>
      <c r="M43" s="173">
        <f>H43/L43</f>
        <v>9.5103375002703466E-2</v>
      </c>
      <c r="N43" s="170">
        <f>SUM(N41:N42)</f>
        <v>2540200</v>
      </c>
      <c r="O43" s="174">
        <f t="shared" si="5"/>
        <v>1.3734671367086965E-2</v>
      </c>
      <c r="P43" s="174">
        <f t="shared" ref="P43" si="8">Q43/N43</f>
        <v>4.9877962365168095E-2</v>
      </c>
      <c r="Q43" s="170">
        <f>SUM(Q41:Q42)</f>
        <v>126700</v>
      </c>
      <c r="R43" s="170">
        <f>SUM(R41:R42)</f>
        <v>110400</v>
      </c>
      <c r="S43" s="268">
        <f t="shared" si="6"/>
        <v>0.87134964483030786</v>
      </c>
      <c r="T43" s="175">
        <f>H43/Q43</f>
        <v>138.82540647198107</v>
      </c>
      <c r="U43" s="175">
        <f>H43/R43</f>
        <v>159.32227355072465</v>
      </c>
      <c r="V43" s="170">
        <f t="shared" si="7"/>
        <v>263745600</v>
      </c>
      <c r="W43" s="278">
        <f>V43/H43</f>
        <v>14.994764678897178</v>
      </c>
      <c r="X43" s="288"/>
      <c r="Y43" s="177">
        <f>SUM(Y41:Y42)</f>
        <v>40100</v>
      </c>
      <c r="Z43" s="175">
        <f>SUM(Z41:Z42)</f>
        <v>36400</v>
      </c>
      <c r="AA43" s="268">
        <f>Z43/Y43</f>
        <v>0.9077306733167082</v>
      </c>
      <c r="AB43" s="175">
        <f>H43/Y43</f>
        <v>438.63289276807978</v>
      </c>
      <c r="AC43" s="175">
        <f>H43/Z43</f>
        <v>483.21920329670331</v>
      </c>
      <c r="AD43" s="175">
        <f>SUM(AD41:AD42)</f>
        <v>109244800</v>
      </c>
      <c r="AE43" s="278">
        <f>AD43/H43</f>
        <v>6.210909559792416</v>
      </c>
      <c r="AF43" s="171">
        <f>AD43/Z43</f>
        <v>3001.2307692307691</v>
      </c>
    </row>
    <row r="50" spans="3:39" s="127" customFormat="1" ht="22.5" x14ac:dyDescent="0.3">
      <c r="C50" s="128" t="s">
        <v>223</v>
      </c>
      <c r="D50" s="129"/>
      <c r="E50" s="129"/>
      <c r="F50" s="129"/>
      <c r="G50" s="129"/>
      <c r="H50" s="129"/>
      <c r="I50" s="130"/>
      <c r="J50" s="131"/>
      <c r="K50" s="131"/>
      <c r="L50" s="131"/>
      <c r="M50" s="132"/>
      <c r="N50" s="131"/>
      <c r="O50" s="133"/>
      <c r="P50" s="133"/>
      <c r="Q50" s="133"/>
      <c r="R50" s="131"/>
      <c r="S50" s="131"/>
      <c r="U50" s="133"/>
      <c r="V50" s="131"/>
      <c r="W50" s="131"/>
      <c r="X50" s="131"/>
      <c r="Y50" s="134"/>
      <c r="Z50" s="131"/>
      <c r="AA50" s="131"/>
      <c r="AB50" s="131"/>
      <c r="AC50" s="131"/>
      <c r="AD50" s="133"/>
      <c r="AE50" s="131"/>
      <c r="AF50" s="131"/>
      <c r="AG50" s="131"/>
      <c r="AH50" s="134"/>
      <c r="AI50" s="131"/>
      <c r="AJ50" s="135"/>
      <c r="AK50" s="131"/>
      <c r="AL50" s="131"/>
      <c r="AM50" s="131"/>
    </row>
    <row r="51" spans="3:39" s="69" customFormat="1" ht="16.5" hidden="1" x14ac:dyDescent="0.3">
      <c r="C51" s="80" t="s">
        <v>39</v>
      </c>
      <c r="D51" s="81" t="s">
        <v>122</v>
      </c>
      <c r="E51" s="71"/>
      <c r="F51" s="71"/>
      <c r="G51" s="71"/>
      <c r="H51" s="71"/>
      <c r="I51" s="72"/>
      <c r="J51" s="72"/>
      <c r="K51" s="72"/>
      <c r="L51" s="73"/>
      <c r="M51" s="74"/>
      <c r="N51" s="73"/>
      <c r="P51" s="75"/>
      <c r="Q51" s="75"/>
      <c r="R51" s="73"/>
      <c r="S51" s="73"/>
      <c r="U51" s="75"/>
      <c r="V51" s="73"/>
      <c r="W51" s="73"/>
      <c r="X51" s="73"/>
      <c r="Y51" s="76"/>
      <c r="Z51" s="73"/>
      <c r="AA51" s="73"/>
      <c r="AB51" s="73"/>
      <c r="AC51" s="73"/>
      <c r="AD51" s="75"/>
      <c r="AE51" s="73"/>
      <c r="AF51" s="73"/>
      <c r="AG51" s="73"/>
      <c r="AH51" s="76"/>
      <c r="AI51" s="73"/>
      <c r="AJ51" s="77"/>
      <c r="AK51" s="78"/>
      <c r="AL51" s="78"/>
      <c r="AM51" s="78"/>
    </row>
    <row r="52" spans="3:39" s="69" customFormat="1" ht="16.5" x14ac:dyDescent="0.3">
      <c r="C52" s="82" t="s">
        <v>1</v>
      </c>
      <c r="D52" s="83" t="s">
        <v>178</v>
      </c>
      <c r="E52" s="71"/>
      <c r="F52" s="71"/>
      <c r="G52" s="71"/>
      <c r="H52" s="71"/>
      <c r="I52" s="72"/>
      <c r="J52" s="72"/>
      <c r="K52" s="72"/>
      <c r="L52" s="73"/>
      <c r="M52" s="74"/>
      <c r="N52" s="73"/>
      <c r="P52" s="75"/>
      <c r="Q52" s="75"/>
      <c r="R52" s="73"/>
      <c r="S52" s="73"/>
      <c r="U52" s="75"/>
      <c r="V52" s="73"/>
      <c r="W52" s="73"/>
      <c r="X52" s="73"/>
      <c r="Y52" s="76"/>
      <c r="Z52" s="73"/>
      <c r="AA52" s="73"/>
      <c r="AB52" s="73"/>
      <c r="AC52" s="73"/>
      <c r="AD52" s="75"/>
      <c r="AE52" s="73"/>
      <c r="AF52" s="73"/>
      <c r="AG52" s="73"/>
      <c r="AH52" s="76"/>
      <c r="AI52" s="73"/>
      <c r="AJ52" s="77"/>
      <c r="AK52" s="78"/>
      <c r="AL52" s="78"/>
      <c r="AM52" s="78"/>
    </row>
    <row r="56" spans="3:39" ht="16.5" x14ac:dyDescent="0.3">
      <c r="C56" s="300" t="s">
        <v>40</v>
      </c>
      <c r="D56" s="313" t="s">
        <v>71</v>
      </c>
      <c r="E56" s="320" t="s">
        <v>72</v>
      </c>
      <c r="F56" s="323" t="s">
        <v>73</v>
      </c>
      <c r="G56" s="303" t="s">
        <v>41</v>
      </c>
      <c r="H56" s="306" t="s">
        <v>42</v>
      </c>
      <c r="I56" s="307"/>
      <c r="J56" s="307"/>
      <c r="K56" s="308"/>
      <c r="L56" s="300" t="s">
        <v>66</v>
      </c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10"/>
      <c r="Y56" s="300" t="s">
        <v>43</v>
      </c>
      <c r="Z56" s="309"/>
      <c r="AA56" s="309"/>
      <c r="AB56" s="309"/>
      <c r="AC56" s="309"/>
      <c r="AD56" s="309"/>
      <c r="AE56" s="309"/>
      <c r="AF56" s="310"/>
    </row>
    <row r="57" spans="3:39" ht="16.5" x14ac:dyDescent="0.3">
      <c r="C57" s="301"/>
      <c r="D57" s="314"/>
      <c r="E57" s="321"/>
      <c r="F57" s="324"/>
      <c r="G57" s="304"/>
      <c r="H57" s="296" t="s">
        <v>44</v>
      </c>
      <c r="I57" s="297"/>
      <c r="J57" s="297"/>
      <c r="K57" s="298"/>
      <c r="L57" s="302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2"/>
      <c r="Y57" s="302"/>
      <c r="Z57" s="311"/>
      <c r="AA57" s="311"/>
      <c r="AB57" s="311"/>
      <c r="AC57" s="311"/>
      <c r="AD57" s="311"/>
      <c r="AE57" s="311"/>
      <c r="AF57" s="312"/>
    </row>
    <row r="58" spans="3:39" ht="16.5" x14ac:dyDescent="0.3">
      <c r="C58" s="301"/>
      <c r="D58" s="314"/>
      <c r="E58" s="321"/>
      <c r="F58" s="324"/>
      <c r="G58" s="304"/>
      <c r="H58" s="328" t="s">
        <v>45</v>
      </c>
      <c r="I58" s="261" t="s">
        <v>46</v>
      </c>
      <c r="J58" s="261" t="s">
        <v>47</v>
      </c>
      <c r="K58" s="262" t="s">
        <v>48</v>
      </c>
      <c r="L58" s="328" t="s">
        <v>49</v>
      </c>
      <c r="M58" s="261" t="s">
        <v>50</v>
      </c>
      <c r="N58" s="329" t="s">
        <v>51</v>
      </c>
      <c r="O58" s="263" t="s">
        <v>52</v>
      </c>
      <c r="P58" s="261" t="s">
        <v>53</v>
      </c>
      <c r="Q58" s="329" t="s">
        <v>13</v>
      </c>
      <c r="R58" s="329" t="s">
        <v>14</v>
      </c>
      <c r="S58" s="261" t="s">
        <v>54</v>
      </c>
      <c r="T58" s="261" t="s">
        <v>31</v>
      </c>
      <c r="U58" s="261" t="s">
        <v>32</v>
      </c>
      <c r="V58" s="261" t="s">
        <v>33</v>
      </c>
      <c r="W58" s="259" t="s">
        <v>55</v>
      </c>
      <c r="X58" s="330" t="s">
        <v>27</v>
      </c>
      <c r="Y58" s="300" t="s">
        <v>28</v>
      </c>
      <c r="Z58" s="309" t="s">
        <v>29</v>
      </c>
      <c r="AA58" s="326" t="s">
        <v>30</v>
      </c>
      <c r="AB58" s="309" t="s">
        <v>31</v>
      </c>
      <c r="AC58" s="309" t="s">
        <v>32</v>
      </c>
      <c r="AD58" s="309" t="s">
        <v>33</v>
      </c>
      <c r="AE58" s="309" t="s">
        <v>34</v>
      </c>
      <c r="AF58" s="310" t="s">
        <v>70</v>
      </c>
    </row>
    <row r="59" spans="3:39" ht="16.5" x14ac:dyDescent="0.3">
      <c r="C59" s="302"/>
      <c r="D59" s="315"/>
      <c r="E59" s="322"/>
      <c r="F59" s="325"/>
      <c r="G59" s="305"/>
      <c r="H59" s="302"/>
      <c r="I59" s="264" t="s">
        <v>56</v>
      </c>
      <c r="J59" s="264" t="s">
        <v>56</v>
      </c>
      <c r="K59" s="265" t="s">
        <v>57</v>
      </c>
      <c r="L59" s="302"/>
      <c r="M59" s="264" t="s">
        <v>58</v>
      </c>
      <c r="N59" s="311"/>
      <c r="O59" s="264" t="s">
        <v>59</v>
      </c>
      <c r="P59" s="264" t="s">
        <v>60</v>
      </c>
      <c r="Q59" s="311"/>
      <c r="R59" s="311"/>
      <c r="S59" s="264" t="s">
        <v>61</v>
      </c>
      <c r="T59" s="264" t="s">
        <v>62</v>
      </c>
      <c r="U59" s="264" t="s">
        <v>63</v>
      </c>
      <c r="V59" s="264" t="s">
        <v>64</v>
      </c>
      <c r="W59" s="260" t="s">
        <v>65</v>
      </c>
      <c r="X59" s="331"/>
      <c r="Y59" s="302"/>
      <c r="Z59" s="311"/>
      <c r="AA59" s="327"/>
      <c r="AB59" s="311"/>
      <c r="AC59" s="311"/>
      <c r="AD59" s="311"/>
      <c r="AE59" s="311"/>
      <c r="AF59" s="312"/>
    </row>
    <row r="60" spans="3:39" ht="16.5" x14ac:dyDescent="0.3">
      <c r="C60" s="151" t="s">
        <v>179</v>
      </c>
      <c r="D60" s="152"/>
      <c r="E60" s="152"/>
      <c r="F60" s="152"/>
      <c r="G60" s="153" t="s">
        <v>198</v>
      </c>
      <c r="H60" s="154">
        <v>8396080</v>
      </c>
      <c r="I60" s="155">
        <v>0</v>
      </c>
      <c r="J60" s="156">
        <v>3111484</v>
      </c>
      <c r="K60" s="157">
        <v>5284596</v>
      </c>
      <c r="L60" s="158">
        <v>68181700</v>
      </c>
      <c r="M60" s="159">
        <f>H60/L60</f>
        <v>0.1231427201140482</v>
      </c>
      <c r="N60" s="155">
        <v>841254</v>
      </c>
      <c r="O60" s="160">
        <f t="shared" ref="O60:O62" si="9">N60/L60</f>
        <v>1.2338413386583204E-2</v>
      </c>
      <c r="P60" s="160">
        <f>Q60/N60</f>
        <v>4.4840202840045931E-2</v>
      </c>
      <c r="Q60" s="155">
        <v>37722</v>
      </c>
      <c r="R60" s="155">
        <v>32118</v>
      </c>
      <c r="S60" s="267">
        <f t="shared" ref="S60:S62" si="10">R60/Q60</f>
        <v>0.85143947828853184</v>
      </c>
      <c r="T60" s="162">
        <f>H60/Q60</f>
        <v>222.57780605482213</v>
      </c>
      <c r="U60" s="162">
        <f>H60/R60</f>
        <v>261.41353758017311</v>
      </c>
      <c r="V60" s="155">
        <f>R60*$X$60</f>
        <v>76729902</v>
      </c>
      <c r="W60" s="277">
        <f>V60/H60</f>
        <v>9.1387769054130015</v>
      </c>
      <c r="X60" s="286">
        <v>2389</v>
      </c>
      <c r="Y60" s="154">
        <v>5270</v>
      </c>
      <c r="Z60" s="162">
        <v>4550</v>
      </c>
      <c r="AA60" s="267">
        <f>Z60/Y60</f>
        <v>0.86337760910815942</v>
      </c>
      <c r="AB60" s="162">
        <f>H60/Y60</f>
        <v>1593.1840607210627</v>
      </c>
      <c r="AC60" s="162">
        <v>1845</v>
      </c>
      <c r="AD60" s="162">
        <f>Z60*AF60</f>
        <v>17704050</v>
      </c>
      <c r="AE60" s="277">
        <f>AD60/H60</f>
        <v>2.1086090175415193</v>
      </c>
      <c r="AF60" s="163">
        <v>3891</v>
      </c>
    </row>
    <row r="61" spans="3:39" ht="16.5" x14ac:dyDescent="0.3">
      <c r="C61" s="151" t="s">
        <v>179</v>
      </c>
      <c r="D61" s="152"/>
      <c r="E61" s="152"/>
      <c r="F61" s="152"/>
      <c r="G61" s="153" t="s">
        <v>222</v>
      </c>
      <c r="H61" s="154">
        <v>8687603</v>
      </c>
      <c r="I61" s="155">
        <v>0</v>
      </c>
      <c r="J61" s="156">
        <v>3341035</v>
      </c>
      <c r="K61" s="157">
        <v>5346568</v>
      </c>
      <c r="L61" s="158">
        <v>97252800</v>
      </c>
      <c r="M61" s="159">
        <f>H61/L61</f>
        <v>8.9330106691015584E-2</v>
      </c>
      <c r="N61" s="155">
        <v>1030200</v>
      </c>
      <c r="O61" s="160">
        <f t="shared" si="9"/>
        <v>1.0593011203790534E-2</v>
      </c>
      <c r="P61" s="160">
        <f>Q61/N61</f>
        <v>5.3290623179965052E-2</v>
      </c>
      <c r="Q61" s="155">
        <v>54900</v>
      </c>
      <c r="R61" s="155">
        <v>48600</v>
      </c>
      <c r="S61" s="267">
        <f t="shared" si="10"/>
        <v>0.88524590163934425</v>
      </c>
      <c r="T61" s="162">
        <f>H61/Q61</f>
        <v>158.24413479052822</v>
      </c>
      <c r="U61" s="162">
        <f>H61/R61</f>
        <v>178.7572633744856</v>
      </c>
      <c r="V61" s="155">
        <f t="shared" ref="V61:V62" si="11">R61*$X$60</f>
        <v>116105400</v>
      </c>
      <c r="W61" s="277">
        <f>V61/H61</f>
        <v>13.364491908757801</v>
      </c>
      <c r="X61" s="287"/>
      <c r="Y61" s="154">
        <v>27700</v>
      </c>
      <c r="Z61" s="162">
        <v>25200</v>
      </c>
      <c r="AA61" s="267">
        <f>Z61/Y61</f>
        <v>0.90974729241877261</v>
      </c>
      <c r="AB61" s="162">
        <f>H61/Y61</f>
        <v>313.63187725631769</v>
      </c>
      <c r="AC61" s="162">
        <v>345</v>
      </c>
      <c r="AD61" s="162">
        <f>Z61*AF61</f>
        <v>70938000</v>
      </c>
      <c r="AE61" s="277">
        <f>AD61/H61</f>
        <v>8.1654283695974605</v>
      </c>
      <c r="AF61" s="163">
        <v>2815</v>
      </c>
    </row>
    <row r="62" spans="3:39" ht="16.5" x14ac:dyDescent="0.3">
      <c r="C62" s="166"/>
      <c r="D62" s="167"/>
      <c r="E62" s="167"/>
      <c r="F62" s="167"/>
      <c r="G62" s="168" t="s">
        <v>112</v>
      </c>
      <c r="H62" s="169">
        <f>SUM(H60:H61)</f>
        <v>17083683</v>
      </c>
      <c r="I62" s="170">
        <f>SUM(I60:I61)</f>
        <v>0</v>
      </c>
      <c r="J62" s="170">
        <f>SUM(J60:J61)</f>
        <v>6452519</v>
      </c>
      <c r="K62" s="171">
        <f>SUM(K60:K61)</f>
        <v>10631164</v>
      </c>
      <c r="L62" s="172">
        <f>SUM(L60:L61)</f>
        <v>165434500</v>
      </c>
      <c r="M62" s="173">
        <f>H62/L62</f>
        <v>0.10326554013824202</v>
      </c>
      <c r="N62" s="170">
        <f>SUM(N60:N61)</f>
        <v>1871454</v>
      </c>
      <c r="O62" s="174">
        <f t="shared" si="9"/>
        <v>1.1312356249754435E-2</v>
      </c>
      <c r="P62" s="174">
        <f t="shared" ref="P62" si="12">Q62/N62</f>
        <v>4.9491999269017567E-2</v>
      </c>
      <c r="Q62" s="170">
        <f>SUM(Q60:Q61)</f>
        <v>92622</v>
      </c>
      <c r="R62" s="170">
        <f>SUM(R60:R61)</f>
        <v>80718</v>
      </c>
      <c r="S62" s="268">
        <f t="shared" si="10"/>
        <v>0.87147761870829821</v>
      </c>
      <c r="T62" s="175">
        <f>H62/Q62</f>
        <v>184.44519660555807</v>
      </c>
      <c r="U62" s="175">
        <f>H62/R62</f>
        <v>211.64651007210287</v>
      </c>
      <c r="V62" s="170">
        <f t="shared" si="11"/>
        <v>192835302</v>
      </c>
      <c r="W62" s="278">
        <f>V62/H62</f>
        <v>11.287689077349421</v>
      </c>
      <c r="X62" s="288"/>
      <c r="Y62" s="177">
        <f>SUM(Y60:Y61)</f>
        <v>32970</v>
      </c>
      <c r="Z62" s="175">
        <f>SUM(Z60:Z61)</f>
        <v>29750</v>
      </c>
      <c r="AA62" s="268">
        <f>Z62/Y62</f>
        <v>0.90233545647558389</v>
      </c>
      <c r="AB62" s="175">
        <f>H62/Y62</f>
        <v>518.15841674249316</v>
      </c>
      <c r="AC62" s="175">
        <f>H62/Z62</f>
        <v>574.2414453781513</v>
      </c>
      <c r="AD62" s="175">
        <f>SUM(AD60:AD61)</f>
        <v>88642050</v>
      </c>
      <c r="AE62" s="278">
        <f>AD62/H62</f>
        <v>5.1886967230660979</v>
      </c>
      <c r="AF62" s="171">
        <f>AD62/Z62</f>
        <v>2979.5647058823529</v>
      </c>
    </row>
    <row r="69" spans="3:39" s="127" customFormat="1" ht="22.5" x14ac:dyDescent="0.3">
      <c r="C69" s="128" t="s">
        <v>224</v>
      </c>
      <c r="D69" s="129"/>
      <c r="E69" s="129"/>
      <c r="F69" s="129"/>
      <c r="G69" s="129"/>
      <c r="H69" s="129"/>
      <c r="I69" s="130"/>
      <c r="J69" s="131"/>
      <c r="K69" s="131"/>
      <c r="L69" s="131"/>
      <c r="M69" s="132"/>
      <c r="N69" s="131"/>
      <c r="O69" s="133"/>
      <c r="P69" s="133"/>
      <c r="Q69" s="133"/>
      <c r="R69" s="131"/>
      <c r="S69" s="131"/>
      <c r="U69" s="133"/>
      <c r="V69" s="131"/>
      <c r="W69" s="131"/>
      <c r="X69" s="131"/>
      <c r="Y69" s="134"/>
      <c r="Z69" s="131"/>
      <c r="AA69" s="131"/>
      <c r="AB69" s="131"/>
      <c r="AC69" s="131"/>
      <c r="AD69" s="133"/>
      <c r="AE69" s="131"/>
      <c r="AF69" s="131"/>
      <c r="AG69" s="131"/>
      <c r="AH69" s="134"/>
      <c r="AI69" s="131"/>
      <c r="AJ69" s="135"/>
      <c r="AK69" s="131"/>
      <c r="AL69" s="131"/>
      <c r="AM69" s="131"/>
    </row>
    <row r="70" spans="3:39" s="69" customFormat="1" ht="16.5" hidden="1" x14ac:dyDescent="0.3">
      <c r="C70" s="80" t="s">
        <v>39</v>
      </c>
      <c r="D70" s="81" t="s">
        <v>124</v>
      </c>
      <c r="E70" s="71"/>
      <c r="F70" s="71"/>
      <c r="G70" s="71"/>
      <c r="H70" s="71"/>
      <c r="I70" s="72"/>
      <c r="J70" s="72"/>
      <c r="K70" s="72"/>
      <c r="L70" s="73"/>
      <c r="M70" s="74"/>
      <c r="N70" s="73"/>
      <c r="P70" s="75"/>
      <c r="Q70" s="75"/>
      <c r="R70" s="73"/>
      <c r="S70" s="73"/>
      <c r="U70" s="75"/>
      <c r="V70" s="73"/>
      <c r="W70" s="73"/>
      <c r="X70" s="73"/>
      <c r="Y70" s="76"/>
      <c r="Z70" s="73"/>
      <c r="AA70" s="73"/>
      <c r="AB70" s="73"/>
      <c r="AC70" s="73"/>
      <c r="AD70" s="75"/>
      <c r="AE70" s="73"/>
      <c r="AF70" s="73"/>
      <c r="AG70" s="73"/>
      <c r="AH70" s="76"/>
      <c r="AI70" s="73"/>
      <c r="AJ70" s="77"/>
      <c r="AK70" s="78"/>
      <c r="AL70" s="78"/>
      <c r="AM70" s="78"/>
    </row>
    <row r="71" spans="3:39" s="69" customFormat="1" ht="16.5" x14ac:dyDescent="0.3">
      <c r="C71" s="82" t="s">
        <v>1</v>
      </c>
      <c r="D71" s="83" t="s">
        <v>215</v>
      </c>
      <c r="E71" s="71"/>
      <c r="F71" s="71"/>
      <c r="G71" s="71"/>
      <c r="H71" s="71"/>
      <c r="I71" s="72"/>
      <c r="J71" s="72"/>
      <c r="K71" s="72"/>
      <c r="L71" s="73"/>
      <c r="M71" s="74"/>
      <c r="N71" s="73"/>
      <c r="P71" s="75"/>
      <c r="Q71" s="75"/>
      <c r="R71" s="73"/>
      <c r="S71" s="73"/>
      <c r="U71" s="75"/>
      <c r="V71" s="73"/>
      <c r="W71" s="73"/>
      <c r="X71" s="73"/>
      <c r="Y71" s="76"/>
      <c r="Z71" s="73"/>
      <c r="AA71" s="73"/>
      <c r="AB71" s="73"/>
      <c r="AC71" s="73"/>
      <c r="AD71" s="75"/>
      <c r="AE71" s="73"/>
      <c r="AF71" s="73"/>
      <c r="AG71" s="73"/>
      <c r="AH71" s="76"/>
      <c r="AI71" s="73"/>
      <c r="AJ71" s="77"/>
      <c r="AK71" s="78"/>
      <c r="AL71" s="78"/>
      <c r="AM71" s="78"/>
    </row>
    <row r="74" spans="3:39" ht="13.25" customHeight="1" x14ac:dyDescent="0.3"/>
    <row r="75" spans="3:39" ht="16.5" x14ac:dyDescent="0.3">
      <c r="C75" s="300" t="s">
        <v>40</v>
      </c>
      <c r="D75" s="313" t="s">
        <v>71</v>
      </c>
      <c r="E75" s="320" t="s">
        <v>72</v>
      </c>
      <c r="F75" s="323" t="s">
        <v>73</v>
      </c>
      <c r="G75" s="303" t="s">
        <v>41</v>
      </c>
      <c r="H75" s="306" t="s">
        <v>42</v>
      </c>
      <c r="I75" s="307"/>
      <c r="J75" s="307"/>
      <c r="K75" s="308"/>
      <c r="L75" s="300" t="s">
        <v>66</v>
      </c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10"/>
      <c r="Y75" s="300" t="s">
        <v>43</v>
      </c>
      <c r="Z75" s="309"/>
      <c r="AA75" s="309"/>
      <c r="AB75" s="309"/>
      <c r="AC75" s="309"/>
      <c r="AD75" s="309"/>
      <c r="AE75" s="309"/>
      <c r="AF75" s="310"/>
    </row>
    <row r="76" spans="3:39" ht="16.5" x14ac:dyDescent="0.3">
      <c r="C76" s="301"/>
      <c r="D76" s="314"/>
      <c r="E76" s="321"/>
      <c r="F76" s="324"/>
      <c r="G76" s="304"/>
      <c r="H76" s="296" t="s">
        <v>44</v>
      </c>
      <c r="I76" s="297"/>
      <c r="J76" s="297"/>
      <c r="K76" s="298"/>
      <c r="L76" s="302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2"/>
      <c r="Y76" s="302"/>
      <c r="Z76" s="311"/>
      <c r="AA76" s="311"/>
      <c r="AB76" s="311"/>
      <c r="AC76" s="311"/>
      <c r="AD76" s="311"/>
      <c r="AE76" s="311"/>
      <c r="AF76" s="312"/>
    </row>
    <row r="77" spans="3:39" ht="16.5" x14ac:dyDescent="0.3">
      <c r="C77" s="301"/>
      <c r="D77" s="314"/>
      <c r="E77" s="321"/>
      <c r="F77" s="324"/>
      <c r="G77" s="304"/>
      <c r="H77" s="328" t="s">
        <v>45</v>
      </c>
      <c r="I77" s="261" t="s">
        <v>46</v>
      </c>
      <c r="J77" s="261" t="s">
        <v>47</v>
      </c>
      <c r="K77" s="262" t="s">
        <v>48</v>
      </c>
      <c r="L77" s="328" t="s">
        <v>49</v>
      </c>
      <c r="M77" s="261" t="s">
        <v>50</v>
      </c>
      <c r="N77" s="329" t="s">
        <v>51</v>
      </c>
      <c r="O77" s="263" t="s">
        <v>52</v>
      </c>
      <c r="P77" s="261" t="s">
        <v>53</v>
      </c>
      <c r="Q77" s="329" t="s">
        <v>13</v>
      </c>
      <c r="R77" s="329" t="s">
        <v>14</v>
      </c>
      <c r="S77" s="261" t="s">
        <v>54</v>
      </c>
      <c r="T77" s="261" t="s">
        <v>31</v>
      </c>
      <c r="U77" s="261" t="s">
        <v>32</v>
      </c>
      <c r="V77" s="261" t="s">
        <v>33</v>
      </c>
      <c r="W77" s="259" t="s">
        <v>55</v>
      </c>
      <c r="X77" s="330" t="s">
        <v>27</v>
      </c>
      <c r="Y77" s="300" t="s">
        <v>28</v>
      </c>
      <c r="Z77" s="309" t="s">
        <v>29</v>
      </c>
      <c r="AA77" s="326" t="s">
        <v>30</v>
      </c>
      <c r="AB77" s="309" t="s">
        <v>31</v>
      </c>
      <c r="AC77" s="309" t="s">
        <v>32</v>
      </c>
      <c r="AD77" s="309" t="s">
        <v>33</v>
      </c>
      <c r="AE77" s="309" t="s">
        <v>34</v>
      </c>
      <c r="AF77" s="310" t="s">
        <v>70</v>
      </c>
    </row>
    <row r="78" spans="3:39" ht="16.5" x14ac:dyDescent="0.3">
      <c r="C78" s="302"/>
      <c r="D78" s="315"/>
      <c r="E78" s="322"/>
      <c r="F78" s="325"/>
      <c r="G78" s="305"/>
      <c r="H78" s="302"/>
      <c r="I78" s="264" t="s">
        <v>56</v>
      </c>
      <c r="J78" s="264" t="s">
        <v>56</v>
      </c>
      <c r="K78" s="265" t="s">
        <v>57</v>
      </c>
      <c r="L78" s="302"/>
      <c r="M78" s="264" t="s">
        <v>58</v>
      </c>
      <c r="N78" s="311"/>
      <c r="O78" s="264" t="s">
        <v>59</v>
      </c>
      <c r="P78" s="264" t="s">
        <v>60</v>
      </c>
      <c r="Q78" s="311"/>
      <c r="R78" s="311"/>
      <c r="S78" s="264" t="s">
        <v>61</v>
      </c>
      <c r="T78" s="264" t="s">
        <v>62</v>
      </c>
      <c r="U78" s="264" t="s">
        <v>63</v>
      </c>
      <c r="V78" s="264" t="s">
        <v>64</v>
      </c>
      <c r="W78" s="260" t="s">
        <v>65</v>
      </c>
      <c r="X78" s="331"/>
      <c r="Y78" s="302"/>
      <c r="Z78" s="311"/>
      <c r="AA78" s="327"/>
      <c r="AB78" s="311"/>
      <c r="AC78" s="311"/>
      <c r="AD78" s="311"/>
      <c r="AE78" s="311"/>
      <c r="AF78" s="312"/>
    </row>
    <row r="79" spans="3:39" ht="16.5" x14ac:dyDescent="0.3">
      <c r="C79" s="151" t="s">
        <v>180</v>
      </c>
      <c r="D79" s="152"/>
      <c r="E79" s="152"/>
      <c r="F79" s="152"/>
      <c r="G79" s="153" t="s">
        <v>198</v>
      </c>
      <c r="H79" s="154">
        <v>7649836</v>
      </c>
      <c r="I79" s="155">
        <v>0</v>
      </c>
      <c r="J79" s="156">
        <v>2664368</v>
      </c>
      <c r="K79" s="157">
        <v>4985468</v>
      </c>
      <c r="L79" s="158">
        <v>64634000</v>
      </c>
      <c r="M79" s="159">
        <f>H79/L79</f>
        <v>0.11835622118389702</v>
      </c>
      <c r="N79" s="155">
        <v>759200</v>
      </c>
      <c r="O79" s="160">
        <f t="shared" ref="O79:O81" si="13">N79/L79</f>
        <v>1.1746139802580685E-2</v>
      </c>
      <c r="P79" s="160">
        <f>Q79/N79</f>
        <v>4.1754478398314011E-2</v>
      </c>
      <c r="Q79" s="155">
        <v>31700</v>
      </c>
      <c r="R79" s="155">
        <v>27400</v>
      </c>
      <c r="S79" s="267">
        <f t="shared" ref="S79:S81" si="14">R79/Q79</f>
        <v>0.86435331230283907</v>
      </c>
      <c r="T79" s="162">
        <f>H79/Q79</f>
        <v>241.31974763406939</v>
      </c>
      <c r="U79" s="162">
        <f>H79/R79</f>
        <v>279.19109489051095</v>
      </c>
      <c r="V79" s="155">
        <f>R79*$X$79</f>
        <v>65458600</v>
      </c>
      <c r="W79" s="277">
        <f>V79/H79</f>
        <v>8.556863179811959</v>
      </c>
      <c r="X79" s="286">
        <v>2389</v>
      </c>
      <c r="Y79" s="154">
        <v>3800</v>
      </c>
      <c r="Z79" s="162">
        <v>3300</v>
      </c>
      <c r="AA79" s="267">
        <f>Z79/Y79</f>
        <v>0.86842105263157898</v>
      </c>
      <c r="AB79" s="162">
        <f>H79/Y79</f>
        <v>2013.1147368421052</v>
      </c>
      <c r="AC79" s="162">
        <v>2318</v>
      </c>
      <c r="AD79" s="162">
        <f>Z79*AF79</f>
        <v>12840300</v>
      </c>
      <c r="AE79" s="277">
        <f>AD79/H79</f>
        <v>1.6785065719055938</v>
      </c>
      <c r="AF79" s="163">
        <v>3891</v>
      </c>
    </row>
    <row r="80" spans="3:39" ht="16.5" x14ac:dyDescent="0.3">
      <c r="C80" s="151" t="s">
        <v>180</v>
      </c>
      <c r="D80" s="152"/>
      <c r="E80" s="152"/>
      <c r="F80" s="152"/>
      <c r="G80" s="153" t="s">
        <v>222</v>
      </c>
      <c r="H80" s="154">
        <v>8570469</v>
      </c>
      <c r="I80" s="155">
        <v>0</v>
      </c>
      <c r="J80" s="156">
        <v>3223901</v>
      </c>
      <c r="K80" s="157">
        <v>5346568</v>
      </c>
      <c r="L80" s="158">
        <v>89509600</v>
      </c>
      <c r="M80" s="159">
        <f>H80/L80</f>
        <v>9.5749159866651182E-2</v>
      </c>
      <c r="N80" s="155">
        <v>959700</v>
      </c>
      <c r="O80" s="160">
        <f t="shared" si="13"/>
        <v>1.0721754984940162E-2</v>
      </c>
      <c r="P80" s="160">
        <f>Q80/N80</f>
        <v>5.2099614462852974E-2</v>
      </c>
      <c r="Q80" s="155">
        <v>50000</v>
      </c>
      <c r="R80" s="155">
        <v>44200</v>
      </c>
      <c r="S80" s="267">
        <f t="shared" si="14"/>
        <v>0.88400000000000001</v>
      </c>
      <c r="T80" s="162">
        <f>H80/Q80</f>
        <v>171.40938</v>
      </c>
      <c r="U80" s="162">
        <f>H80/R80</f>
        <v>193.90201357466063</v>
      </c>
      <c r="V80" s="155">
        <f t="shared" ref="V80:V81" si="15">R80*$X$79</f>
        <v>105593800</v>
      </c>
      <c r="W80" s="277">
        <f>V80/H80</f>
        <v>12.320655964101848</v>
      </c>
      <c r="X80" s="287"/>
      <c r="Y80" s="154">
        <v>23100</v>
      </c>
      <c r="Z80" s="162">
        <v>21000</v>
      </c>
      <c r="AA80" s="267">
        <f>Z80/Y80</f>
        <v>0.90909090909090906</v>
      </c>
      <c r="AB80" s="162">
        <f>H80/Y80</f>
        <v>371.015974025974</v>
      </c>
      <c r="AC80" s="162">
        <v>408</v>
      </c>
      <c r="AD80" s="162">
        <f>Z80*AF80</f>
        <v>59115000</v>
      </c>
      <c r="AE80" s="277">
        <f>AD80/H80</f>
        <v>6.8975221776077831</v>
      </c>
      <c r="AF80" s="163">
        <v>2815</v>
      </c>
    </row>
    <row r="81" spans="3:39" ht="16.5" x14ac:dyDescent="0.3">
      <c r="C81" s="166"/>
      <c r="D81" s="167"/>
      <c r="E81" s="167"/>
      <c r="F81" s="167"/>
      <c r="G81" s="168" t="s">
        <v>112</v>
      </c>
      <c r="H81" s="169">
        <f>SUM(H79:H80)</f>
        <v>16220305</v>
      </c>
      <c r="I81" s="170">
        <f>SUM(I79:I80)</f>
        <v>0</v>
      </c>
      <c r="J81" s="170">
        <f>SUM(J79:J80)</f>
        <v>5888269</v>
      </c>
      <c r="K81" s="171">
        <f>SUM(K79:K80)</f>
        <v>10332036</v>
      </c>
      <c r="L81" s="172">
        <f>SUM(L79:L80)</f>
        <v>154143600</v>
      </c>
      <c r="M81" s="173">
        <f>H81/L81</f>
        <v>0.10522853365303522</v>
      </c>
      <c r="N81" s="170">
        <f>SUM(N79:N80)</f>
        <v>1718900</v>
      </c>
      <c r="O81" s="174">
        <f t="shared" si="13"/>
        <v>1.1151290095728917E-2</v>
      </c>
      <c r="P81" s="174">
        <f t="shared" ref="P81" si="16">Q81/N81</f>
        <v>4.753039734714061E-2</v>
      </c>
      <c r="Q81" s="170">
        <f>SUM(Q79:Q80)</f>
        <v>81700</v>
      </c>
      <c r="R81" s="170">
        <f>SUM(R79:R80)</f>
        <v>71600</v>
      </c>
      <c r="S81" s="268">
        <f t="shared" si="14"/>
        <v>0.87637698898408811</v>
      </c>
      <c r="T81" s="175">
        <f>H81/Q81</f>
        <v>198.53494492044064</v>
      </c>
      <c r="U81" s="175">
        <f>H81/R81</f>
        <v>226.54057262569833</v>
      </c>
      <c r="V81" s="170">
        <f t="shared" si="15"/>
        <v>171052400</v>
      </c>
      <c r="W81" s="278">
        <f>V81/H81</f>
        <v>10.545572355143754</v>
      </c>
      <c r="X81" s="288"/>
      <c r="Y81" s="177">
        <f>SUM(Y79:Y80)</f>
        <v>26900</v>
      </c>
      <c r="Z81" s="175">
        <f>SUM(Z79:Z80)</f>
        <v>24300</v>
      </c>
      <c r="AA81" s="268">
        <f>Z81/Y81</f>
        <v>0.90334572490706322</v>
      </c>
      <c r="AB81" s="175">
        <f>H81/Y81</f>
        <v>602.98531598513011</v>
      </c>
      <c r="AC81" s="175">
        <f>H81/Z81</f>
        <v>667.50226337448555</v>
      </c>
      <c r="AD81" s="175">
        <f>SUM(AD79:AD80)</f>
        <v>71955300</v>
      </c>
      <c r="AE81" s="278">
        <f>AD81/H81</f>
        <v>4.4361249680570127</v>
      </c>
      <c r="AF81" s="171">
        <f>AD81/Z81</f>
        <v>2961.1234567901233</v>
      </c>
    </row>
    <row r="88" spans="3:39" s="127" customFormat="1" ht="22.5" x14ac:dyDescent="0.3">
      <c r="C88" s="128" t="s">
        <v>225</v>
      </c>
      <c r="D88" s="129"/>
      <c r="E88" s="129"/>
      <c r="F88" s="129"/>
      <c r="G88" s="129"/>
      <c r="H88" s="129"/>
      <c r="I88" s="130"/>
      <c r="J88" s="131"/>
      <c r="K88" s="131"/>
      <c r="L88" s="131"/>
      <c r="M88" s="132"/>
      <c r="N88" s="131"/>
      <c r="O88" s="133"/>
      <c r="P88" s="133"/>
      <c r="Q88" s="133"/>
      <c r="R88" s="131"/>
      <c r="S88" s="131"/>
      <c r="U88" s="133"/>
      <c r="V88" s="131"/>
      <c r="W88" s="131"/>
      <c r="X88" s="131"/>
      <c r="Y88" s="134"/>
      <c r="Z88" s="131"/>
      <c r="AA88" s="131"/>
      <c r="AB88" s="131"/>
      <c r="AC88" s="131"/>
      <c r="AD88" s="133"/>
      <c r="AE88" s="131"/>
      <c r="AF88" s="131"/>
      <c r="AG88" s="131"/>
      <c r="AH88" s="134"/>
      <c r="AI88" s="131"/>
      <c r="AJ88" s="135"/>
      <c r="AK88" s="131"/>
      <c r="AL88" s="131"/>
      <c r="AM88" s="131"/>
    </row>
    <row r="89" spans="3:39" s="69" customFormat="1" ht="16.5" hidden="1" x14ac:dyDescent="0.3">
      <c r="C89" s="80" t="s">
        <v>39</v>
      </c>
      <c r="D89" s="81" t="s">
        <v>126</v>
      </c>
      <c r="E89" s="71"/>
      <c r="F89" s="71"/>
      <c r="G89" s="71"/>
      <c r="H89" s="71"/>
      <c r="I89" s="72"/>
      <c r="J89" s="72"/>
      <c r="K89" s="72"/>
      <c r="L89" s="73"/>
      <c r="M89" s="74"/>
      <c r="N89" s="73"/>
      <c r="P89" s="75"/>
      <c r="Q89" s="75"/>
      <c r="R89" s="73"/>
      <c r="S89" s="73"/>
      <c r="U89" s="75"/>
      <c r="V89" s="73"/>
      <c r="W89" s="73"/>
      <c r="X89" s="73"/>
      <c r="Y89" s="76"/>
      <c r="Z89" s="73"/>
      <c r="AA89" s="73"/>
      <c r="AB89" s="73"/>
      <c r="AC89" s="73"/>
      <c r="AD89" s="75"/>
      <c r="AE89" s="73"/>
      <c r="AF89" s="73"/>
      <c r="AG89" s="73"/>
      <c r="AH89" s="76"/>
      <c r="AI89" s="73"/>
      <c r="AJ89" s="77"/>
      <c r="AK89" s="78"/>
      <c r="AL89" s="78"/>
      <c r="AM89" s="78"/>
    </row>
    <row r="90" spans="3:39" s="69" customFormat="1" ht="16.5" x14ac:dyDescent="0.3">
      <c r="C90" s="82" t="s">
        <v>1</v>
      </c>
      <c r="D90" s="83" t="s">
        <v>181</v>
      </c>
      <c r="E90" s="71"/>
      <c r="F90" s="71"/>
      <c r="G90" s="71"/>
      <c r="H90" s="71"/>
      <c r="I90" s="72"/>
      <c r="J90" s="72"/>
      <c r="K90" s="72"/>
      <c r="L90" s="73"/>
      <c r="M90" s="74"/>
      <c r="N90" s="73"/>
      <c r="P90" s="75"/>
      <c r="Q90" s="75"/>
      <c r="R90" s="73"/>
      <c r="S90" s="73"/>
      <c r="U90" s="75"/>
      <c r="V90" s="73"/>
      <c r="W90" s="73"/>
      <c r="X90" s="73"/>
      <c r="Y90" s="76"/>
      <c r="Z90" s="73"/>
      <c r="AA90" s="73"/>
      <c r="AB90" s="73"/>
      <c r="AC90" s="73"/>
      <c r="AD90" s="75"/>
      <c r="AE90" s="73"/>
      <c r="AF90" s="73"/>
      <c r="AG90" s="73"/>
      <c r="AH90" s="76"/>
      <c r="AI90" s="73"/>
      <c r="AJ90" s="77"/>
      <c r="AK90" s="78"/>
      <c r="AL90" s="78"/>
      <c r="AM90" s="78"/>
    </row>
    <row r="94" spans="3:39" ht="16.5" x14ac:dyDescent="0.3">
      <c r="C94" s="300" t="s">
        <v>40</v>
      </c>
      <c r="D94" s="313" t="s">
        <v>71</v>
      </c>
      <c r="E94" s="320" t="s">
        <v>72</v>
      </c>
      <c r="F94" s="323" t="s">
        <v>73</v>
      </c>
      <c r="G94" s="303" t="s">
        <v>41</v>
      </c>
      <c r="H94" s="306" t="s">
        <v>42</v>
      </c>
      <c r="I94" s="307"/>
      <c r="J94" s="307"/>
      <c r="K94" s="308"/>
      <c r="L94" s="300" t="s">
        <v>66</v>
      </c>
      <c r="M94" s="309"/>
      <c r="N94" s="309"/>
      <c r="O94" s="309"/>
      <c r="P94" s="309"/>
      <c r="Q94" s="309"/>
      <c r="R94" s="309"/>
      <c r="S94" s="309"/>
      <c r="T94" s="309"/>
      <c r="U94" s="309"/>
      <c r="V94" s="309"/>
      <c r="W94" s="309"/>
      <c r="X94" s="310"/>
      <c r="Y94" s="300" t="s">
        <v>43</v>
      </c>
      <c r="Z94" s="309"/>
      <c r="AA94" s="309"/>
      <c r="AB94" s="309"/>
      <c r="AC94" s="309"/>
      <c r="AD94" s="309"/>
      <c r="AE94" s="309"/>
      <c r="AF94" s="310"/>
    </row>
    <row r="95" spans="3:39" ht="16.5" x14ac:dyDescent="0.3">
      <c r="C95" s="301"/>
      <c r="D95" s="314"/>
      <c r="E95" s="321"/>
      <c r="F95" s="324"/>
      <c r="G95" s="304"/>
      <c r="H95" s="296" t="s">
        <v>44</v>
      </c>
      <c r="I95" s="297"/>
      <c r="J95" s="297"/>
      <c r="K95" s="298"/>
      <c r="L95" s="302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2"/>
      <c r="Y95" s="302"/>
      <c r="Z95" s="311"/>
      <c r="AA95" s="311"/>
      <c r="AB95" s="311"/>
      <c r="AC95" s="311"/>
      <c r="AD95" s="311"/>
      <c r="AE95" s="311"/>
      <c r="AF95" s="312"/>
    </row>
    <row r="96" spans="3:39" ht="16.5" x14ac:dyDescent="0.3">
      <c r="C96" s="301"/>
      <c r="D96" s="314"/>
      <c r="E96" s="321"/>
      <c r="F96" s="324"/>
      <c r="G96" s="304"/>
      <c r="H96" s="328" t="s">
        <v>45</v>
      </c>
      <c r="I96" s="261" t="s">
        <v>46</v>
      </c>
      <c r="J96" s="261" t="s">
        <v>47</v>
      </c>
      <c r="K96" s="262" t="s">
        <v>48</v>
      </c>
      <c r="L96" s="328" t="s">
        <v>49</v>
      </c>
      <c r="M96" s="261" t="s">
        <v>50</v>
      </c>
      <c r="N96" s="329" t="s">
        <v>51</v>
      </c>
      <c r="O96" s="263" t="s">
        <v>52</v>
      </c>
      <c r="P96" s="261" t="s">
        <v>53</v>
      </c>
      <c r="Q96" s="329" t="s">
        <v>13</v>
      </c>
      <c r="R96" s="329" t="s">
        <v>14</v>
      </c>
      <c r="S96" s="261" t="s">
        <v>54</v>
      </c>
      <c r="T96" s="261" t="s">
        <v>31</v>
      </c>
      <c r="U96" s="261" t="s">
        <v>32</v>
      </c>
      <c r="V96" s="261" t="s">
        <v>33</v>
      </c>
      <c r="W96" s="259" t="s">
        <v>55</v>
      </c>
      <c r="X96" s="330" t="s">
        <v>27</v>
      </c>
      <c r="Y96" s="300" t="s">
        <v>28</v>
      </c>
      <c r="Z96" s="309" t="s">
        <v>29</v>
      </c>
      <c r="AA96" s="326" t="s">
        <v>30</v>
      </c>
      <c r="AB96" s="309" t="s">
        <v>31</v>
      </c>
      <c r="AC96" s="309" t="s">
        <v>32</v>
      </c>
      <c r="AD96" s="309" t="s">
        <v>33</v>
      </c>
      <c r="AE96" s="309" t="s">
        <v>34</v>
      </c>
      <c r="AF96" s="310" t="s">
        <v>70</v>
      </c>
    </row>
    <row r="97" spans="3:32" ht="16.5" x14ac:dyDescent="0.3">
      <c r="C97" s="302"/>
      <c r="D97" s="315"/>
      <c r="E97" s="322"/>
      <c r="F97" s="325"/>
      <c r="G97" s="305"/>
      <c r="H97" s="302"/>
      <c r="I97" s="264" t="s">
        <v>56</v>
      </c>
      <c r="J97" s="264" t="s">
        <v>56</v>
      </c>
      <c r="K97" s="265" t="s">
        <v>57</v>
      </c>
      <c r="L97" s="302"/>
      <c r="M97" s="264" t="s">
        <v>58</v>
      </c>
      <c r="N97" s="311"/>
      <c r="O97" s="264" t="s">
        <v>59</v>
      </c>
      <c r="P97" s="264" t="s">
        <v>60</v>
      </c>
      <c r="Q97" s="311"/>
      <c r="R97" s="311"/>
      <c r="S97" s="264" t="s">
        <v>61</v>
      </c>
      <c r="T97" s="264" t="s">
        <v>62</v>
      </c>
      <c r="U97" s="264" t="s">
        <v>63</v>
      </c>
      <c r="V97" s="264" t="s">
        <v>64</v>
      </c>
      <c r="W97" s="260" t="s">
        <v>65</v>
      </c>
      <c r="X97" s="331"/>
      <c r="Y97" s="302"/>
      <c r="Z97" s="311"/>
      <c r="AA97" s="327"/>
      <c r="AB97" s="311"/>
      <c r="AC97" s="311"/>
      <c r="AD97" s="311"/>
      <c r="AE97" s="311"/>
      <c r="AF97" s="312"/>
    </row>
    <row r="98" spans="3:32" ht="16.5" x14ac:dyDescent="0.3">
      <c r="C98" s="151" t="s">
        <v>182</v>
      </c>
      <c r="D98" s="152"/>
      <c r="E98" s="152"/>
      <c r="F98" s="152"/>
      <c r="G98" s="153" t="s">
        <v>198</v>
      </c>
      <c r="H98" s="154">
        <v>6752635</v>
      </c>
      <c r="I98" s="155">
        <v>0</v>
      </c>
      <c r="J98" s="156">
        <v>1926218</v>
      </c>
      <c r="K98" s="157">
        <v>4826417</v>
      </c>
      <c r="L98" s="158">
        <v>55078871</v>
      </c>
      <c r="M98" s="159">
        <f>H98/L98</f>
        <v>0.12259937208952594</v>
      </c>
      <c r="N98" s="155">
        <v>393719</v>
      </c>
      <c r="O98" s="160">
        <f t="shared" ref="O98:O100" si="17">N98/L98</f>
        <v>7.148276514237193E-3</v>
      </c>
      <c r="P98" s="160">
        <f>Q98/N98</f>
        <v>4.5789001800776698E-2</v>
      </c>
      <c r="Q98" s="155">
        <v>18028</v>
      </c>
      <c r="R98" s="155">
        <v>15675</v>
      </c>
      <c r="S98" s="267">
        <f t="shared" ref="S98:S100" si="18">R98/Q98</f>
        <v>0.86948080763257152</v>
      </c>
      <c r="T98" s="162">
        <f>H98/Q98</f>
        <v>374.56373419125805</v>
      </c>
      <c r="U98" s="162">
        <f>H98/R98</f>
        <v>430.79011164274323</v>
      </c>
      <c r="V98" s="155">
        <f>R98*$X$98</f>
        <v>37447575</v>
      </c>
      <c r="W98" s="277">
        <f>V98/H98</f>
        <v>5.5456240415778435</v>
      </c>
      <c r="X98" s="286">
        <v>2389</v>
      </c>
      <c r="Y98" s="154">
        <v>3138</v>
      </c>
      <c r="Z98" s="162">
        <v>2778</v>
      </c>
      <c r="AA98" s="267">
        <f>Z98/Y98</f>
        <v>0.88527724665391971</v>
      </c>
      <c r="AB98" s="162">
        <f>H98/Y98</f>
        <v>2151.8913320586362</v>
      </c>
      <c r="AC98" s="162">
        <v>2431</v>
      </c>
      <c r="AD98" s="162">
        <f>Z98*AF98</f>
        <v>10809198</v>
      </c>
      <c r="AE98" s="277">
        <f>AD98/H98</f>
        <v>1.6007377860642549</v>
      </c>
      <c r="AF98" s="163">
        <v>3891</v>
      </c>
    </row>
    <row r="99" spans="3:32" ht="16.5" x14ac:dyDescent="0.3">
      <c r="C99" s="151" t="s">
        <v>182</v>
      </c>
      <c r="D99" s="152"/>
      <c r="E99" s="152"/>
      <c r="F99" s="152"/>
      <c r="G99" s="153" t="s">
        <v>222</v>
      </c>
      <c r="H99" s="154">
        <v>7146934</v>
      </c>
      <c r="I99" s="155">
        <v>0</v>
      </c>
      <c r="J99" s="156">
        <v>2351597</v>
      </c>
      <c r="K99" s="157">
        <v>4795337</v>
      </c>
      <c r="L99" s="158">
        <v>66553008</v>
      </c>
      <c r="M99" s="159">
        <f>H99/L99</f>
        <v>0.10738709210558897</v>
      </c>
      <c r="N99" s="155">
        <v>514985</v>
      </c>
      <c r="O99" s="160">
        <f t="shared" si="17"/>
        <v>7.7379673057001424E-3</v>
      </c>
      <c r="P99" s="160">
        <f>Q99/N99</f>
        <v>5.4786061729953296E-2</v>
      </c>
      <c r="Q99" s="155">
        <v>28214</v>
      </c>
      <c r="R99" s="155">
        <v>25181</v>
      </c>
      <c r="S99" s="267">
        <f t="shared" si="18"/>
        <v>0.89250017721698449</v>
      </c>
      <c r="T99" s="162">
        <f>H99/Q99</f>
        <v>253.31161834550224</v>
      </c>
      <c r="U99" s="162">
        <f>H99/R99</f>
        <v>283.82248520710061</v>
      </c>
      <c r="V99" s="155">
        <f t="shared" ref="V99:V100" si="19">R99*$X$98</f>
        <v>60157409</v>
      </c>
      <c r="W99" s="277">
        <f>V99/H99</f>
        <v>8.4172330400700499</v>
      </c>
      <c r="X99" s="287"/>
      <c r="Y99" s="154">
        <v>17606</v>
      </c>
      <c r="Z99" s="162">
        <v>15862</v>
      </c>
      <c r="AA99" s="267">
        <f>Z99/Y99</f>
        <v>0.90094286038850391</v>
      </c>
      <c r="AB99" s="162">
        <f>H99/Y99</f>
        <v>405.93740770191982</v>
      </c>
      <c r="AC99" s="162">
        <v>451</v>
      </c>
      <c r="AD99" s="162">
        <f>Z99*AF99</f>
        <v>44651530</v>
      </c>
      <c r="AE99" s="277">
        <f>AD99/H99</f>
        <v>6.2476482922607088</v>
      </c>
      <c r="AF99" s="163">
        <v>2815</v>
      </c>
    </row>
    <row r="100" spans="3:32" ht="16.5" x14ac:dyDescent="0.3">
      <c r="C100" s="166"/>
      <c r="D100" s="167"/>
      <c r="E100" s="167"/>
      <c r="F100" s="167"/>
      <c r="G100" s="168" t="s">
        <v>112</v>
      </c>
      <c r="H100" s="169">
        <f>SUM(H98:H99)</f>
        <v>13899569</v>
      </c>
      <c r="I100" s="170">
        <f>SUM(I98:I99)</f>
        <v>0</v>
      </c>
      <c r="J100" s="170">
        <f>SUM(J98:J99)</f>
        <v>4277815</v>
      </c>
      <c r="K100" s="171">
        <f>SUM(K98:K99)</f>
        <v>9621754</v>
      </c>
      <c r="L100" s="172">
        <f>SUM(L98:L99)</f>
        <v>121631879</v>
      </c>
      <c r="M100" s="173">
        <f>H100/L100</f>
        <v>0.11427570727572169</v>
      </c>
      <c r="N100" s="170">
        <f>SUM(N98:N99)</f>
        <v>908704</v>
      </c>
      <c r="O100" s="174">
        <f t="shared" si="17"/>
        <v>7.4709361350900451E-3</v>
      </c>
      <c r="P100" s="174">
        <f t="shared" ref="P100" si="20">Q100/N100</f>
        <v>5.0887857872310455E-2</v>
      </c>
      <c r="Q100" s="170">
        <f>SUM(Q98:Q99)</f>
        <v>46242</v>
      </c>
      <c r="R100" s="170">
        <f>SUM(R98:R99)</f>
        <v>40856</v>
      </c>
      <c r="S100" s="268">
        <f t="shared" si="18"/>
        <v>0.88352579905713424</v>
      </c>
      <c r="T100" s="175">
        <f>H100/Q100</f>
        <v>300.5832143938411</v>
      </c>
      <c r="U100" s="175">
        <f>H100/R100</f>
        <v>340.2087575876248</v>
      </c>
      <c r="V100" s="170">
        <f t="shared" si="19"/>
        <v>97604984</v>
      </c>
      <c r="W100" s="278">
        <f>V100/H100</f>
        <v>7.0221590324131631</v>
      </c>
      <c r="X100" s="288"/>
      <c r="Y100" s="177">
        <f>SUM(Y98:Y99)</f>
        <v>20744</v>
      </c>
      <c r="Z100" s="175">
        <f>SUM(Z98:Z99)</f>
        <v>18640</v>
      </c>
      <c r="AA100" s="268">
        <f>Z100/Y100</f>
        <v>0.89857308137292713</v>
      </c>
      <c r="AB100" s="175">
        <f>H100/Y100</f>
        <v>670.05249710759733</v>
      </c>
      <c r="AC100" s="175">
        <f>H100/Z100</f>
        <v>745.68503218884121</v>
      </c>
      <c r="AD100" s="175">
        <f>SUM(AD98:AD99)</f>
        <v>55460728</v>
      </c>
      <c r="AE100" s="278">
        <f>AD100/H100</f>
        <v>3.9901041535892228</v>
      </c>
      <c r="AF100" s="171">
        <f>AD100/Z100</f>
        <v>2975.3609442060088</v>
      </c>
    </row>
  </sheetData>
  <mergeCells count="145">
    <mergeCell ref="L13:X14"/>
    <mergeCell ref="Y13:AF14"/>
    <mergeCell ref="AG13:AG14"/>
    <mergeCell ref="H14:K14"/>
    <mergeCell ref="H15:H16"/>
    <mergeCell ref="L15:L16"/>
    <mergeCell ref="N15:N16"/>
    <mergeCell ref="Q15:Q16"/>
    <mergeCell ref="R15:R16"/>
    <mergeCell ref="X15:X16"/>
    <mergeCell ref="H13:K13"/>
    <mergeCell ref="AE15:AE16"/>
    <mergeCell ref="AF15:AF16"/>
    <mergeCell ref="AG15:AG16"/>
    <mergeCell ref="AA15:AA16"/>
    <mergeCell ref="AB15:AB16"/>
    <mergeCell ref="AC15:AC16"/>
    <mergeCell ref="AD15:AD16"/>
    <mergeCell ref="X17:X19"/>
    <mergeCell ref="C21:C24"/>
    <mergeCell ref="D21:D24"/>
    <mergeCell ref="E21:E24"/>
    <mergeCell ref="F21:F24"/>
    <mergeCell ref="G21:G24"/>
    <mergeCell ref="H21:K21"/>
    <mergeCell ref="Y15:Y16"/>
    <mergeCell ref="Z15:Z16"/>
    <mergeCell ref="C13:C16"/>
    <mergeCell ref="D13:D16"/>
    <mergeCell ref="E13:E16"/>
    <mergeCell ref="F13:F16"/>
    <mergeCell ref="G13:G16"/>
    <mergeCell ref="L21:X22"/>
    <mergeCell ref="Y21:AF22"/>
    <mergeCell ref="H22:K22"/>
    <mergeCell ref="H23:H24"/>
    <mergeCell ref="L23:L24"/>
    <mergeCell ref="N23:N24"/>
    <mergeCell ref="Q23:Q24"/>
    <mergeCell ref="R23:R24"/>
    <mergeCell ref="X23:X24"/>
    <mergeCell ref="Y23:Y24"/>
    <mergeCell ref="H38:K38"/>
    <mergeCell ref="H39:H40"/>
    <mergeCell ref="L39:L40"/>
    <mergeCell ref="N39:N40"/>
    <mergeCell ref="Q39:Q40"/>
    <mergeCell ref="R39:R40"/>
    <mergeCell ref="AF23:AF24"/>
    <mergeCell ref="C37:C40"/>
    <mergeCell ref="D37:D40"/>
    <mergeCell ref="E37:E40"/>
    <mergeCell ref="F37:F40"/>
    <mergeCell ref="G37:G40"/>
    <mergeCell ref="H37:K37"/>
    <mergeCell ref="L37:X38"/>
    <mergeCell ref="Y37:AF38"/>
    <mergeCell ref="Z23:Z24"/>
    <mergeCell ref="AA23:AA24"/>
    <mergeCell ref="AB23:AB24"/>
    <mergeCell ref="AC23:AC24"/>
    <mergeCell ref="AD23:AD24"/>
    <mergeCell ref="AE23:AE24"/>
    <mergeCell ref="AD39:AD40"/>
    <mergeCell ref="AE39:AE40"/>
    <mergeCell ref="AF39:AF40"/>
    <mergeCell ref="Z39:Z40"/>
    <mergeCell ref="AA39:AA40"/>
    <mergeCell ref="AB39:AB40"/>
    <mergeCell ref="AC39:AC40"/>
    <mergeCell ref="L56:X57"/>
    <mergeCell ref="Y56:AF57"/>
    <mergeCell ref="H57:K57"/>
    <mergeCell ref="H58:H59"/>
    <mergeCell ref="L58:L59"/>
    <mergeCell ref="N58:N59"/>
    <mergeCell ref="Q58:Q59"/>
    <mergeCell ref="R58:R59"/>
    <mergeCell ref="X58:X59"/>
    <mergeCell ref="Y58:Y59"/>
    <mergeCell ref="X41:X43"/>
    <mergeCell ref="H56:K56"/>
    <mergeCell ref="X39:X40"/>
    <mergeCell ref="Y39:Y40"/>
    <mergeCell ref="AF58:AF59"/>
    <mergeCell ref="Z58:Z59"/>
    <mergeCell ref="AA58:AA59"/>
    <mergeCell ref="AB58:AB59"/>
    <mergeCell ref="AC58:AC59"/>
    <mergeCell ref="AD58:AD59"/>
    <mergeCell ref="H95:K95"/>
    <mergeCell ref="H96:H97"/>
    <mergeCell ref="X60:X62"/>
    <mergeCell ref="C75:C78"/>
    <mergeCell ref="D75:D78"/>
    <mergeCell ref="E75:E78"/>
    <mergeCell ref="F75:F78"/>
    <mergeCell ref="G75:G78"/>
    <mergeCell ref="H75:K75"/>
    <mergeCell ref="L75:X76"/>
    <mergeCell ref="H94:K94"/>
    <mergeCell ref="X77:X78"/>
    <mergeCell ref="Y77:Y78"/>
    <mergeCell ref="H76:K76"/>
    <mergeCell ref="H77:H78"/>
    <mergeCell ref="L77:L78"/>
    <mergeCell ref="N77:N78"/>
    <mergeCell ref="Q77:Q78"/>
    <mergeCell ref="R77:R78"/>
    <mergeCell ref="Y75:AF76"/>
    <mergeCell ref="C56:C59"/>
    <mergeCell ref="D56:D59"/>
    <mergeCell ref="E56:E59"/>
    <mergeCell ref="F56:F59"/>
    <mergeCell ref="G56:G59"/>
    <mergeCell ref="C94:C97"/>
    <mergeCell ref="D94:D97"/>
    <mergeCell ref="E94:E97"/>
    <mergeCell ref="F94:F97"/>
    <mergeCell ref="G94:G97"/>
    <mergeCell ref="X79:X81"/>
    <mergeCell ref="AD77:AD78"/>
    <mergeCell ref="AF96:AF97"/>
    <mergeCell ref="Z77:Z78"/>
    <mergeCell ref="AA77:AA78"/>
    <mergeCell ref="AB77:AB78"/>
    <mergeCell ref="AC77:AC78"/>
    <mergeCell ref="AE58:AE59"/>
    <mergeCell ref="AE77:AE78"/>
    <mergeCell ref="AF77:AF78"/>
    <mergeCell ref="X98:X100"/>
    <mergeCell ref="Z96:Z97"/>
    <mergeCell ref="AA96:AA97"/>
    <mergeCell ref="AB96:AB97"/>
    <mergeCell ref="AC96:AC97"/>
    <mergeCell ref="AD96:AD97"/>
    <mergeCell ref="AE96:AE97"/>
    <mergeCell ref="L94:X95"/>
    <mergeCell ref="Y94:AF95"/>
    <mergeCell ref="L96:L97"/>
    <mergeCell ref="N96:N97"/>
    <mergeCell ref="Q96:Q97"/>
    <mergeCell ref="R96:R97"/>
    <mergeCell ref="X96:X97"/>
    <mergeCell ref="Y96:Y9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8DB1-EE63-4DDB-B585-B9C405F02E73}">
  <dimension ref="B2:AQ22"/>
  <sheetViews>
    <sheetView showGridLines="0" zoomScale="85" zoomScaleNormal="85" workbookViewId="0">
      <pane xSplit="7" topLeftCell="H1" activePane="topRight" state="frozen"/>
      <selection pane="topRight" activeCell="L10" sqref="L10"/>
    </sheetView>
  </sheetViews>
  <sheetFormatPr defaultColWidth="9.33203125" defaultRowHeight="16.5" x14ac:dyDescent="0.3"/>
  <cols>
    <col min="1" max="1" width="4.08203125" style="69" customWidth="1"/>
    <col min="2" max="2" width="14.6640625" style="69" customWidth="1"/>
    <col min="3" max="3" width="26.9140625" style="69" customWidth="1"/>
    <col min="4" max="5" width="21.08203125" style="71" customWidth="1"/>
    <col min="6" max="6" width="22.08203125" style="71" customWidth="1"/>
    <col min="7" max="7" width="21.08203125" style="69" customWidth="1"/>
    <col min="8" max="8" width="22.08203125" style="71" customWidth="1"/>
    <col min="9" max="11" width="25.75" style="72" hidden="1" customWidth="1"/>
    <col min="12" max="12" width="25.75" style="73" customWidth="1"/>
    <col min="13" max="13" width="25.75" style="74" customWidth="1"/>
    <col min="14" max="14" width="25.75" style="73" customWidth="1"/>
    <col min="15" max="15" width="25.75" style="69" customWidth="1"/>
    <col min="16" max="17" width="25.75" style="75" customWidth="1"/>
    <col min="18" max="19" width="25.75" style="73" customWidth="1"/>
    <col min="20" max="20" width="25.75" style="69" customWidth="1"/>
    <col min="21" max="21" width="25.75" style="75" customWidth="1"/>
    <col min="22" max="24" width="25.75" style="73" customWidth="1"/>
    <col min="25" max="25" width="25.75" style="76" customWidth="1"/>
    <col min="26" max="29" width="25.75" style="73" customWidth="1"/>
    <col min="30" max="30" width="25.75" style="75" customWidth="1"/>
    <col min="31" max="33" width="25.75" style="73" customWidth="1"/>
    <col min="34" max="34" width="25.75" style="76" customWidth="1"/>
    <col min="35" max="35" width="25.75" style="73" customWidth="1"/>
    <col min="36" max="36" width="25.75" style="77" customWidth="1"/>
    <col min="37" max="39" width="21.33203125" style="78" customWidth="1"/>
    <col min="40" max="16384" width="9.33203125" style="69"/>
  </cols>
  <sheetData>
    <row r="2" spans="2:43" x14ac:dyDescent="0.3">
      <c r="C2" s="70" t="s">
        <v>38</v>
      </c>
      <c r="G2" s="70"/>
    </row>
    <row r="3" spans="2:43" x14ac:dyDescent="0.3">
      <c r="C3" s="79" t="s">
        <v>68</v>
      </c>
      <c r="G3" s="79"/>
    </row>
    <row r="4" spans="2:43" x14ac:dyDescent="0.3">
      <c r="C4" s="79" t="s">
        <v>69</v>
      </c>
      <c r="G4" s="79"/>
    </row>
    <row r="5" spans="2:43" x14ac:dyDescent="0.3">
      <c r="C5" s="79"/>
      <c r="G5" s="79"/>
    </row>
    <row r="6" spans="2:43" s="109" customFormat="1" ht="22.5" x14ac:dyDescent="0.3">
      <c r="C6" s="110" t="s">
        <v>226</v>
      </c>
      <c r="D6" s="111"/>
      <c r="E6" s="111"/>
      <c r="F6" s="111"/>
      <c r="G6" s="110"/>
      <c r="H6" s="111"/>
      <c r="I6" s="112"/>
      <c r="J6" s="113"/>
      <c r="K6" s="113"/>
      <c r="L6" s="113"/>
      <c r="M6" s="114"/>
      <c r="N6" s="113"/>
      <c r="O6" s="115"/>
      <c r="P6" s="115"/>
      <c r="Q6" s="115"/>
      <c r="R6" s="113"/>
      <c r="S6" s="113"/>
      <c r="U6" s="115"/>
      <c r="V6" s="113"/>
      <c r="W6" s="113"/>
      <c r="X6" s="113"/>
      <c r="Y6" s="116"/>
      <c r="Z6" s="113"/>
      <c r="AA6" s="113"/>
      <c r="AB6" s="113"/>
      <c r="AC6" s="113"/>
      <c r="AD6" s="115"/>
      <c r="AE6" s="113"/>
      <c r="AF6" s="113"/>
      <c r="AG6" s="113"/>
      <c r="AH6" s="116"/>
      <c r="AI6" s="113"/>
      <c r="AJ6" s="117"/>
      <c r="AK6" s="113"/>
      <c r="AL6" s="113"/>
      <c r="AM6" s="113"/>
    </row>
    <row r="7" spans="2:43" x14ac:dyDescent="0.3">
      <c r="C7" s="80" t="s">
        <v>39</v>
      </c>
      <c r="D7" s="81" t="s">
        <v>78</v>
      </c>
      <c r="G7" s="81"/>
    </row>
    <row r="8" spans="2:43" x14ac:dyDescent="0.3">
      <c r="C8" s="82" t="s">
        <v>1</v>
      </c>
      <c r="D8" s="83" t="s">
        <v>227</v>
      </c>
      <c r="G8" s="83"/>
    </row>
    <row r="9" spans="2:43" x14ac:dyDescent="0.3">
      <c r="C9" s="82"/>
      <c r="D9" s="83"/>
      <c r="G9" s="82"/>
    </row>
    <row r="10" spans="2:43" x14ac:dyDescent="0.3">
      <c r="C10" s="82"/>
      <c r="D10" s="83"/>
      <c r="G10" s="82"/>
    </row>
    <row r="11" spans="2:43" x14ac:dyDescent="0.3">
      <c r="C11" s="84"/>
      <c r="D11" s="85"/>
      <c r="G11" s="84"/>
      <c r="AD11" s="73"/>
    </row>
    <row r="12" spans="2:43" s="90" customFormat="1" x14ac:dyDescent="0.3">
      <c r="B12" s="285"/>
      <c r="C12" s="344" t="s">
        <v>40</v>
      </c>
      <c r="D12" s="350" t="s">
        <v>71</v>
      </c>
      <c r="E12" s="320" t="s">
        <v>72</v>
      </c>
      <c r="F12" s="323" t="s">
        <v>73</v>
      </c>
      <c r="G12" s="347" t="s">
        <v>41</v>
      </c>
      <c r="H12" s="334" t="s">
        <v>42</v>
      </c>
      <c r="I12" s="320"/>
      <c r="J12" s="320"/>
      <c r="K12" s="335"/>
      <c r="L12" s="334" t="s">
        <v>66</v>
      </c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35"/>
      <c r="Y12" s="334" t="s">
        <v>43</v>
      </c>
      <c r="Z12" s="320"/>
      <c r="AA12" s="320"/>
      <c r="AB12" s="320"/>
      <c r="AC12" s="320"/>
      <c r="AD12" s="320"/>
      <c r="AE12" s="320"/>
      <c r="AF12" s="335"/>
      <c r="AG12" s="285"/>
      <c r="AH12" s="76"/>
      <c r="AI12" s="76"/>
      <c r="AJ12" s="76"/>
      <c r="AK12" s="76"/>
      <c r="AL12" s="87"/>
      <c r="AM12" s="86"/>
      <c r="AN12" s="88"/>
      <c r="AO12" s="89"/>
      <c r="AP12" s="89"/>
      <c r="AQ12" s="89"/>
    </row>
    <row r="13" spans="2:43" s="90" customFormat="1" x14ac:dyDescent="0.3">
      <c r="B13" s="285"/>
      <c r="C13" s="345"/>
      <c r="D13" s="351"/>
      <c r="E13" s="321"/>
      <c r="F13" s="324"/>
      <c r="G13" s="348"/>
      <c r="H13" s="336" t="s">
        <v>44</v>
      </c>
      <c r="I13" s="322"/>
      <c r="J13" s="322"/>
      <c r="K13" s="337"/>
      <c r="L13" s="336"/>
      <c r="M13" s="322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37"/>
      <c r="Y13" s="336"/>
      <c r="Z13" s="322"/>
      <c r="AA13" s="322"/>
      <c r="AB13" s="322"/>
      <c r="AC13" s="322"/>
      <c r="AD13" s="322"/>
      <c r="AE13" s="322"/>
      <c r="AF13" s="337"/>
      <c r="AG13" s="285"/>
      <c r="AH13" s="76"/>
      <c r="AI13" s="76"/>
      <c r="AJ13" s="76"/>
      <c r="AK13" s="76"/>
      <c r="AL13" s="87"/>
      <c r="AM13" s="86"/>
      <c r="AN13" s="88"/>
      <c r="AO13" s="89"/>
      <c r="AP13" s="89"/>
      <c r="AQ13" s="89"/>
    </row>
    <row r="14" spans="2:43" s="90" customFormat="1" x14ac:dyDescent="0.3">
      <c r="B14" s="285"/>
      <c r="C14" s="345"/>
      <c r="D14" s="351"/>
      <c r="E14" s="321"/>
      <c r="F14" s="324"/>
      <c r="G14" s="348"/>
      <c r="H14" s="340" t="s">
        <v>45</v>
      </c>
      <c r="I14" s="119" t="s">
        <v>46</v>
      </c>
      <c r="J14" s="119" t="s">
        <v>47</v>
      </c>
      <c r="K14" s="120" t="s">
        <v>48</v>
      </c>
      <c r="L14" s="340" t="s">
        <v>49</v>
      </c>
      <c r="M14" s="119" t="s">
        <v>50</v>
      </c>
      <c r="N14" s="332" t="s">
        <v>51</v>
      </c>
      <c r="O14" s="121" t="s">
        <v>52</v>
      </c>
      <c r="P14" s="119" t="s">
        <v>53</v>
      </c>
      <c r="Q14" s="332" t="s">
        <v>13</v>
      </c>
      <c r="R14" s="332" t="s">
        <v>14</v>
      </c>
      <c r="S14" s="119" t="s">
        <v>54</v>
      </c>
      <c r="T14" s="119" t="s">
        <v>31</v>
      </c>
      <c r="U14" s="119" t="s">
        <v>32</v>
      </c>
      <c r="V14" s="119" t="s">
        <v>33</v>
      </c>
      <c r="W14" s="122" t="s">
        <v>55</v>
      </c>
      <c r="X14" s="338" t="s">
        <v>27</v>
      </c>
      <c r="Y14" s="340" t="s">
        <v>28</v>
      </c>
      <c r="Z14" s="332" t="s">
        <v>29</v>
      </c>
      <c r="AA14" s="332" t="s">
        <v>30</v>
      </c>
      <c r="AB14" s="332" t="s">
        <v>31</v>
      </c>
      <c r="AC14" s="332" t="s">
        <v>32</v>
      </c>
      <c r="AD14" s="332" t="s">
        <v>33</v>
      </c>
      <c r="AE14" s="332" t="s">
        <v>34</v>
      </c>
      <c r="AF14" s="342" t="s">
        <v>128</v>
      </c>
      <c r="AG14" s="285"/>
      <c r="AH14" s="76"/>
      <c r="AI14" s="76"/>
      <c r="AJ14" s="76"/>
      <c r="AK14" s="76"/>
      <c r="AL14" s="87"/>
      <c r="AM14" s="86"/>
      <c r="AN14" s="88"/>
      <c r="AO14" s="89"/>
      <c r="AP14" s="89"/>
      <c r="AQ14" s="89"/>
    </row>
    <row r="15" spans="2:43" s="90" customFormat="1" x14ac:dyDescent="0.3">
      <c r="B15" s="285"/>
      <c r="C15" s="346"/>
      <c r="D15" s="352"/>
      <c r="E15" s="322"/>
      <c r="F15" s="325"/>
      <c r="G15" s="349"/>
      <c r="H15" s="341"/>
      <c r="I15" s="123" t="s">
        <v>56</v>
      </c>
      <c r="J15" s="123" t="s">
        <v>56</v>
      </c>
      <c r="K15" s="124" t="s">
        <v>57</v>
      </c>
      <c r="L15" s="341"/>
      <c r="M15" s="123" t="s">
        <v>58</v>
      </c>
      <c r="N15" s="333"/>
      <c r="O15" s="123" t="s">
        <v>59</v>
      </c>
      <c r="P15" s="123" t="s">
        <v>60</v>
      </c>
      <c r="Q15" s="333"/>
      <c r="R15" s="333"/>
      <c r="S15" s="123" t="s">
        <v>61</v>
      </c>
      <c r="T15" s="123" t="s">
        <v>62</v>
      </c>
      <c r="U15" s="123" t="s">
        <v>63</v>
      </c>
      <c r="V15" s="123" t="s">
        <v>64</v>
      </c>
      <c r="W15" s="125" t="s">
        <v>65</v>
      </c>
      <c r="X15" s="339"/>
      <c r="Y15" s="341"/>
      <c r="Z15" s="333"/>
      <c r="AA15" s="333"/>
      <c r="AB15" s="333"/>
      <c r="AC15" s="333"/>
      <c r="AD15" s="333"/>
      <c r="AE15" s="333"/>
      <c r="AF15" s="343"/>
      <c r="AG15" s="285"/>
      <c r="AH15" s="76"/>
      <c r="AI15" s="76"/>
      <c r="AJ15" s="76"/>
      <c r="AK15" s="76"/>
      <c r="AL15" s="87"/>
      <c r="AM15" s="86"/>
      <c r="AN15" s="88"/>
      <c r="AO15" s="89"/>
      <c r="AP15" s="89"/>
      <c r="AQ15" s="89"/>
    </row>
    <row r="16" spans="2:43" s="90" customFormat="1" ht="21" customHeight="1" x14ac:dyDescent="0.3">
      <c r="B16" s="95"/>
      <c r="C16" s="96" t="s">
        <v>79</v>
      </c>
      <c r="D16" s="97" t="s">
        <v>80</v>
      </c>
      <c r="E16" s="97" t="s">
        <v>81</v>
      </c>
      <c r="F16" s="97" t="s">
        <v>82</v>
      </c>
      <c r="G16" s="97" t="s">
        <v>228</v>
      </c>
      <c r="H16" s="98">
        <f>SUM(I16:K16)</f>
        <v>226734.06</v>
      </c>
      <c r="I16" s="99">
        <v>103414.63</v>
      </c>
      <c r="J16" s="100"/>
      <c r="K16" s="101">
        <v>123319.43</v>
      </c>
      <c r="L16" s="102">
        <v>2482262</v>
      </c>
      <c r="M16" s="103">
        <f>H16/L16</f>
        <v>9.1341711712945695E-2</v>
      </c>
      <c r="N16" s="99">
        <v>35112</v>
      </c>
      <c r="O16" s="104">
        <f>N16/L16</f>
        <v>1.4145162758806283E-2</v>
      </c>
      <c r="P16" s="104">
        <f>Q16/N16</f>
        <v>2.7483481430849853E-2</v>
      </c>
      <c r="Q16" s="99">
        <v>965</v>
      </c>
      <c r="R16" s="99">
        <v>955</v>
      </c>
      <c r="S16" s="104">
        <f>R16/Q16</f>
        <v>0.98963730569948183</v>
      </c>
      <c r="T16" s="106">
        <f>H16/Q16</f>
        <v>234.95757512953367</v>
      </c>
      <c r="U16" s="106">
        <f>H16/R16</f>
        <v>237.41786387434556</v>
      </c>
      <c r="V16" s="99">
        <f>R16*X16</f>
        <v>290320</v>
      </c>
      <c r="W16" s="105">
        <f>V16/H16</f>
        <v>1.2804428236322325</v>
      </c>
      <c r="X16" s="107">
        <v>304</v>
      </c>
      <c r="Y16" s="98">
        <v>681</v>
      </c>
      <c r="Z16" s="106">
        <v>673</v>
      </c>
      <c r="AA16" s="104">
        <f>Z16/Y16</f>
        <v>0.98825256975036713</v>
      </c>
      <c r="AB16" s="106">
        <f>H16/Y16</f>
        <v>332.94281938325992</v>
      </c>
      <c r="AC16" s="106">
        <f>H16/Z16</f>
        <v>336.90053491827638</v>
      </c>
      <c r="AD16" s="106">
        <f>Z16*AF16</f>
        <v>432518.24996497144</v>
      </c>
      <c r="AE16" s="105">
        <f>AD16/H16</f>
        <v>1.9076015750124682</v>
      </c>
      <c r="AF16" s="108">
        <v>642.67199103264704</v>
      </c>
      <c r="AG16" s="95"/>
      <c r="AH16" s="76"/>
      <c r="AI16" s="76"/>
      <c r="AJ16" s="76"/>
      <c r="AK16" s="76"/>
      <c r="AL16" s="87"/>
      <c r="AM16" s="86"/>
      <c r="AN16" s="88"/>
      <c r="AO16" s="89"/>
      <c r="AP16" s="89"/>
      <c r="AQ16" s="89"/>
    </row>
    <row r="17" spans="3:39" s="91" customFormat="1" x14ac:dyDescent="0.3">
      <c r="D17" s="71"/>
      <c r="E17" s="71"/>
      <c r="F17" s="71"/>
      <c r="H17" s="71"/>
      <c r="I17" s="72"/>
      <c r="J17" s="72"/>
      <c r="K17" s="72"/>
      <c r="L17" s="73"/>
      <c r="M17" s="74"/>
      <c r="N17" s="73"/>
      <c r="O17" s="92"/>
      <c r="P17" s="75"/>
      <c r="Q17" s="75"/>
      <c r="R17" s="73"/>
      <c r="S17" s="73"/>
      <c r="T17" s="69"/>
      <c r="U17" s="75"/>
      <c r="V17" s="73"/>
      <c r="W17" s="73"/>
      <c r="X17" s="73"/>
      <c r="Y17" s="76"/>
      <c r="Z17" s="73"/>
      <c r="AA17" s="73"/>
      <c r="AB17" s="73"/>
      <c r="AC17" s="73"/>
      <c r="AD17" s="75"/>
      <c r="AE17" s="75"/>
      <c r="AF17" s="75"/>
      <c r="AG17" s="75"/>
      <c r="AH17" s="76"/>
      <c r="AI17" s="76"/>
      <c r="AJ17" s="76"/>
      <c r="AK17" s="76"/>
      <c r="AL17" s="78"/>
      <c r="AM17" s="78"/>
    </row>
    <row r="18" spans="3:39" s="91" customFormat="1" x14ac:dyDescent="0.3">
      <c r="D18" s="71"/>
      <c r="E18" s="71"/>
      <c r="F18" s="71"/>
      <c r="H18" s="71"/>
      <c r="I18" s="72"/>
      <c r="J18" s="72"/>
      <c r="K18" s="72"/>
      <c r="L18" s="73"/>
      <c r="M18" s="74"/>
      <c r="N18" s="73"/>
      <c r="O18" s="69"/>
      <c r="P18" s="75"/>
      <c r="Q18" s="75"/>
      <c r="R18" s="73"/>
      <c r="S18" s="73"/>
      <c r="T18" s="69"/>
      <c r="U18" s="75"/>
      <c r="V18" s="73"/>
      <c r="W18" s="73"/>
      <c r="X18" s="73"/>
      <c r="Y18" s="76"/>
      <c r="Z18" s="73"/>
      <c r="AA18" s="73"/>
      <c r="AB18" s="73"/>
      <c r="AC18" s="73"/>
      <c r="AD18" s="75"/>
      <c r="AE18" s="75"/>
      <c r="AF18" s="75"/>
      <c r="AG18" s="75"/>
      <c r="AH18" s="76"/>
      <c r="AI18" s="73"/>
      <c r="AJ18" s="77"/>
      <c r="AK18" s="78"/>
      <c r="AL18" s="78"/>
      <c r="AM18" s="78"/>
    </row>
    <row r="19" spans="3:39" s="91" customFormat="1" x14ac:dyDescent="0.3">
      <c r="D19" s="71"/>
      <c r="E19" s="71"/>
      <c r="F19" s="71"/>
      <c r="H19" s="71"/>
      <c r="I19" s="72"/>
      <c r="J19" s="72"/>
      <c r="K19" s="72"/>
      <c r="L19" s="73"/>
      <c r="M19" s="74"/>
      <c r="N19" s="73"/>
      <c r="O19" s="69"/>
      <c r="P19" s="75"/>
      <c r="Q19" s="75"/>
      <c r="R19" s="73"/>
      <c r="S19" s="73"/>
      <c r="T19" s="69"/>
      <c r="U19" s="75"/>
      <c r="V19" s="73"/>
      <c r="W19" s="73"/>
      <c r="X19" s="73"/>
      <c r="Y19" s="76"/>
      <c r="Z19" s="73"/>
      <c r="AA19" s="73"/>
      <c r="AB19" s="73"/>
      <c r="AC19" s="73"/>
      <c r="AD19" s="75"/>
      <c r="AE19" s="75"/>
      <c r="AF19" s="75"/>
      <c r="AG19" s="75"/>
      <c r="AH19" s="76"/>
      <c r="AI19" s="73"/>
      <c r="AJ19" s="77"/>
      <c r="AK19" s="78"/>
      <c r="AL19" s="78"/>
      <c r="AM19" s="78"/>
    </row>
    <row r="20" spans="3:39" s="91" customFormat="1" x14ac:dyDescent="0.3">
      <c r="D20" s="71"/>
      <c r="E20" s="71"/>
      <c r="F20" s="71"/>
      <c r="H20" s="71"/>
      <c r="I20" s="72"/>
      <c r="J20" s="72"/>
      <c r="K20" s="72"/>
      <c r="L20" s="73"/>
      <c r="M20" s="74"/>
      <c r="N20" s="73"/>
      <c r="O20" s="69"/>
      <c r="P20" s="75"/>
      <c r="Q20" s="75"/>
      <c r="R20" s="73"/>
      <c r="S20" s="73"/>
      <c r="T20" s="69"/>
      <c r="U20" s="75"/>
      <c r="V20" s="73"/>
      <c r="W20" s="73"/>
      <c r="X20" s="73"/>
      <c r="Y20" s="76"/>
      <c r="Z20" s="73"/>
      <c r="AA20" s="73"/>
      <c r="AB20" s="73"/>
      <c r="AC20" s="73"/>
      <c r="AD20" s="75"/>
      <c r="AE20" s="73"/>
      <c r="AF20" s="73"/>
      <c r="AG20" s="73"/>
      <c r="AH20" s="76"/>
      <c r="AI20" s="73"/>
      <c r="AJ20" s="77"/>
      <c r="AK20" s="78"/>
      <c r="AL20" s="78"/>
      <c r="AM20" s="78"/>
    </row>
    <row r="21" spans="3:39" s="91" customFormat="1" x14ac:dyDescent="0.3">
      <c r="C21" s="79"/>
      <c r="D21" s="71"/>
      <c r="E21" s="71"/>
      <c r="F21" s="71"/>
      <c r="G21" s="79"/>
      <c r="H21" s="71"/>
      <c r="I21" s="72"/>
      <c r="J21" s="72"/>
      <c r="K21" s="72"/>
      <c r="L21" s="73"/>
      <c r="M21" s="74"/>
      <c r="N21" s="73"/>
      <c r="O21" s="69"/>
      <c r="P21" s="75"/>
      <c r="Q21" s="75"/>
      <c r="R21" s="73"/>
      <c r="S21" s="73"/>
      <c r="T21" s="69"/>
      <c r="U21" s="75"/>
      <c r="V21" s="73"/>
      <c r="W21" s="73"/>
      <c r="X21" s="73"/>
      <c r="Y21" s="76"/>
      <c r="Z21" s="73"/>
      <c r="AA21" s="73"/>
      <c r="AB21" s="73"/>
      <c r="AC21" s="73"/>
      <c r="AD21" s="75"/>
      <c r="AE21" s="73"/>
      <c r="AF21" s="73"/>
      <c r="AG21" s="73"/>
      <c r="AH21" s="76"/>
      <c r="AI21" s="73"/>
      <c r="AJ21" s="77"/>
      <c r="AK21" s="78"/>
      <c r="AL21" s="78"/>
      <c r="AM21" s="78"/>
    </row>
    <row r="22" spans="3:39" x14ac:dyDescent="0.3">
      <c r="C22" s="79"/>
      <c r="G22" s="79"/>
    </row>
  </sheetData>
  <mergeCells count="27">
    <mergeCell ref="B12:B13"/>
    <mergeCell ref="C12:C15"/>
    <mergeCell ref="G12:G15"/>
    <mergeCell ref="D12:D15"/>
    <mergeCell ref="E12:E15"/>
    <mergeCell ref="B14:B15"/>
    <mergeCell ref="H14:H15"/>
    <mergeCell ref="L14:L15"/>
    <mergeCell ref="N14:N15"/>
    <mergeCell ref="Q14:Q15"/>
    <mergeCell ref="F12:F15"/>
    <mergeCell ref="AB14:AB15"/>
    <mergeCell ref="H12:K12"/>
    <mergeCell ref="L12:X13"/>
    <mergeCell ref="Y12:AF13"/>
    <mergeCell ref="AG12:AG13"/>
    <mergeCell ref="H13:K13"/>
    <mergeCell ref="R14:R15"/>
    <mergeCell ref="X14:X15"/>
    <mergeCell ref="Y14:Y15"/>
    <mergeCell ref="Z14:Z15"/>
    <mergeCell ref="AA14:AA15"/>
    <mergeCell ref="AC14:AC15"/>
    <mergeCell ref="AD14:AD15"/>
    <mergeCell ref="AE14:AE15"/>
    <mergeCell ref="AF14:AF15"/>
    <mergeCell ref="AG14:AG15"/>
  </mergeCells>
  <phoneticPr fontId="4" type="noConversion"/>
  <pageMargins left="0.7" right="0.7" top="0.75" bottom="0.75" header="0.3" footer="0.3"/>
  <ignoredErrors>
    <ignoredError sqref="H1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55A4-4837-43CD-82F5-3C37304EAEF2}">
  <dimension ref="B2:AQ102"/>
  <sheetViews>
    <sheetView showGridLines="0" zoomScale="83" zoomScaleNormal="100" workbookViewId="0">
      <pane xSplit="7" ySplit="15" topLeftCell="H16" activePane="bottomRight" state="frozen"/>
      <selection pane="topRight" activeCell="H1" sqref="H1"/>
      <selection pane="bottomLeft" activeCell="A16" sqref="A16"/>
      <selection pane="bottomRight" activeCell="D26" sqref="D26"/>
    </sheetView>
  </sheetViews>
  <sheetFormatPr defaultColWidth="9.33203125" defaultRowHeight="16.5" x14ac:dyDescent="0.3"/>
  <cols>
    <col min="1" max="1" width="4.08203125" style="69" customWidth="1"/>
    <col min="2" max="2" width="14.6640625" style="69" customWidth="1"/>
    <col min="3" max="3" width="26.9140625" style="69" customWidth="1"/>
    <col min="4" max="4" width="22.9140625" style="71" customWidth="1"/>
    <col min="5" max="5" width="28.6640625" style="71" customWidth="1"/>
    <col min="6" max="6" width="22.08203125" style="71" customWidth="1"/>
    <col min="7" max="7" width="26.9140625" style="69" customWidth="1"/>
    <col min="8" max="8" width="22.08203125" style="71" customWidth="1"/>
    <col min="9" max="11" width="25.75" style="72" hidden="1" customWidth="1"/>
    <col min="12" max="12" width="25.75" style="73" customWidth="1"/>
    <col min="13" max="13" width="25.75" style="74" customWidth="1"/>
    <col min="14" max="14" width="25.75" style="73" customWidth="1"/>
    <col min="15" max="15" width="25.75" style="69" customWidth="1"/>
    <col min="16" max="17" width="25.75" style="75" customWidth="1"/>
    <col min="18" max="19" width="25.75" style="73" customWidth="1"/>
    <col min="20" max="20" width="25.75" style="69" customWidth="1"/>
    <col min="21" max="21" width="25.75" style="75" customWidth="1"/>
    <col min="22" max="24" width="25.75" style="73" customWidth="1"/>
    <col min="25" max="25" width="25.75" style="76" customWidth="1"/>
    <col min="26" max="29" width="25.75" style="73" customWidth="1"/>
    <col min="30" max="30" width="25.75" style="75" customWidth="1"/>
    <col min="31" max="33" width="25.75" style="73" customWidth="1"/>
    <col min="34" max="34" width="25.75" style="76" customWidth="1"/>
    <col min="35" max="35" width="25.75" style="73" customWidth="1"/>
    <col min="36" max="36" width="25.75" style="77" customWidth="1"/>
    <col min="37" max="39" width="21.33203125" style="78" customWidth="1"/>
    <col min="40" max="16384" width="9.33203125" style="69"/>
  </cols>
  <sheetData>
    <row r="2" spans="2:43" x14ac:dyDescent="0.3">
      <c r="C2" s="70" t="s">
        <v>38</v>
      </c>
      <c r="G2" s="70"/>
    </row>
    <row r="3" spans="2:43" x14ac:dyDescent="0.3">
      <c r="C3" s="79" t="s">
        <v>68</v>
      </c>
      <c r="G3" s="79"/>
    </row>
    <row r="4" spans="2:43" x14ac:dyDescent="0.3">
      <c r="C4" s="79" t="s">
        <v>69</v>
      </c>
      <c r="G4" s="79"/>
    </row>
    <row r="5" spans="2:43" x14ac:dyDescent="0.3">
      <c r="C5" s="79"/>
      <c r="G5" s="79"/>
    </row>
    <row r="6" spans="2:43" s="109" customFormat="1" ht="22.5" x14ac:dyDescent="0.3">
      <c r="C6" s="110" t="s">
        <v>229</v>
      </c>
      <c r="D6" s="111"/>
      <c r="E6" s="111"/>
      <c r="F6" s="111"/>
      <c r="G6" s="110"/>
      <c r="H6" s="111"/>
      <c r="I6" s="112"/>
      <c r="J6" s="113"/>
      <c r="K6" s="113"/>
      <c r="L6" s="113"/>
      <c r="M6" s="114"/>
      <c r="N6" s="113"/>
      <c r="O6" s="115"/>
      <c r="P6" s="115"/>
      <c r="Q6" s="115"/>
      <c r="R6" s="113"/>
      <c r="S6" s="113"/>
      <c r="U6" s="115"/>
      <c r="V6" s="113"/>
      <c r="W6" s="113"/>
      <c r="X6" s="113"/>
      <c r="Y6" s="116"/>
      <c r="Z6" s="113"/>
      <c r="AA6" s="113"/>
      <c r="AB6" s="113"/>
      <c r="AC6" s="113"/>
      <c r="AD6" s="115"/>
      <c r="AE6" s="113"/>
      <c r="AF6" s="113"/>
      <c r="AG6" s="113"/>
      <c r="AH6" s="116"/>
      <c r="AI6" s="113"/>
      <c r="AJ6" s="117"/>
      <c r="AK6" s="113"/>
      <c r="AL6" s="113"/>
      <c r="AM6" s="113"/>
    </row>
    <row r="7" spans="2:43" x14ac:dyDescent="0.3">
      <c r="C7" s="80" t="s">
        <v>39</v>
      </c>
      <c r="D7" s="81" t="s">
        <v>78</v>
      </c>
    </row>
    <row r="8" spans="2:43" x14ac:dyDescent="0.3">
      <c r="C8" s="82" t="s">
        <v>1</v>
      </c>
      <c r="D8" s="83" t="s">
        <v>230</v>
      </c>
    </row>
    <row r="9" spans="2:43" x14ac:dyDescent="0.3">
      <c r="C9" s="82"/>
      <c r="D9" s="83"/>
      <c r="G9" s="82"/>
    </row>
    <row r="10" spans="2:43" x14ac:dyDescent="0.3">
      <c r="C10" s="82"/>
      <c r="D10" s="83"/>
      <c r="G10" s="82"/>
    </row>
    <row r="11" spans="2:43" x14ac:dyDescent="0.3">
      <c r="C11" s="84"/>
      <c r="D11" s="85"/>
      <c r="G11" s="84"/>
      <c r="AD11" s="73"/>
    </row>
    <row r="12" spans="2:43" s="90" customFormat="1" x14ac:dyDescent="0.3">
      <c r="B12" s="285"/>
      <c r="C12" s="357" t="s">
        <v>40</v>
      </c>
      <c r="D12" s="350" t="s">
        <v>71</v>
      </c>
      <c r="E12" s="320" t="s">
        <v>72</v>
      </c>
      <c r="F12" s="323" t="s">
        <v>73</v>
      </c>
      <c r="G12" s="347" t="s">
        <v>41</v>
      </c>
      <c r="H12" s="334" t="s">
        <v>42</v>
      </c>
      <c r="I12" s="320"/>
      <c r="J12" s="320"/>
      <c r="K12" s="335"/>
      <c r="L12" s="357" t="s">
        <v>66</v>
      </c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1"/>
      <c r="Y12" s="357" t="s">
        <v>43</v>
      </c>
      <c r="Z12" s="360"/>
      <c r="AA12" s="360"/>
      <c r="AB12" s="360"/>
      <c r="AC12" s="360"/>
      <c r="AD12" s="360"/>
      <c r="AE12" s="360"/>
      <c r="AF12" s="361"/>
      <c r="AG12" s="285"/>
      <c r="AH12" s="76"/>
      <c r="AI12" s="76"/>
      <c r="AJ12" s="76"/>
      <c r="AK12" s="76"/>
      <c r="AL12" s="87"/>
      <c r="AM12" s="86"/>
      <c r="AN12" s="88"/>
      <c r="AO12" s="89"/>
      <c r="AP12" s="89"/>
      <c r="AQ12" s="89"/>
    </row>
    <row r="13" spans="2:43" s="90" customFormat="1" x14ac:dyDescent="0.3">
      <c r="B13" s="285"/>
      <c r="C13" s="358"/>
      <c r="D13" s="351"/>
      <c r="E13" s="321"/>
      <c r="F13" s="324"/>
      <c r="G13" s="348"/>
      <c r="H13" s="336" t="s">
        <v>44</v>
      </c>
      <c r="I13" s="322"/>
      <c r="J13" s="322"/>
      <c r="K13" s="337"/>
      <c r="L13" s="359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3"/>
      <c r="Y13" s="359"/>
      <c r="Z13" s="362"/>
      <c r="AA13" s="362"/>
      <c r="AB13" s="362"/>
      <c r="AC13" s="362"/>
      <c r="AD13" s="362"/>
      <c r="AE13" s="362"/>
      <c r="AF13" s="363"/>
      <c r="AG13" s="285"/>
      <c r="AH13" s="76"/>
      <c r="AI13" s="76"/>
      <c r="AJ13" s="76"/>
      <c r="AK13" s="76"/>
      <c r="AL13" s="87"/>
      <c r="AM13" s="86"/>
      <c r="AN13" s="88"/>
      <c r="AO13" s="89"/>
      <c r="AP13" s="89"/>
      <c r="AQ13" s="89"/>
    </row>
    <row r="14" spans="2:43" s="90" customFormat="1" x14ac:dyDescent="0.3">
      <c r="B14" s="285"/>
      <c r="C14" s="358"/>
      <c r="D14" s="351"/>
      <c r="E14" s="321"/>
      <c r="F14" s="324"/>
      <c r="G14" s="348"/>
      <c r="H14" s="353" t="s">
        <v>45</v>
      </c>
      <c r="I14" s="119" t="s">
        <v>46</v>
      </c>
      <c r="J14" s="119" t="s">
        <v>47</v>
      </c>
      <c r="K14" s="120" t="s">
        <v>48</v>
      </c>
      <c r="L14" s="353" t="s">
        <v>49</v>
      </c>
      <c r="M14" s="119" t="s">
        <v>50</v>
      </c>
      <c r="N14" s="355" t="s">
        <v>51</v>
      </c>
      <c r="O14" s="121" t="s">
        <v>52</v>
      </c>
      <c r="P14" s="119" t="s">
        <v>53</v>
      </c>
      <c r="Q14" s="355" t="s">
        <v>13</v>
      </c>
      <c r="R14" s="355" t="s">
        <v>14</v>
      </c>
      <c r="S14" s="119" t="s">
        <v>54</v>
      </c>
      <c r="T14" s="119" t="s">
        <v>31</v>
      </c>
      <c r="U14" s="119" t="s">
        <v>32</v>
      </c>
      <c r="V14" s="119" t="s">
        <v>33</v>
      </c>
      <c r="W14" s="122" t="s">
        <v>55</v>
      </c>
      <c r="X14" s="368" t="s">
        <v>27</v>
      </c>
      <c r="Y14" s="367" t="s">
        <v>28</v>
      </c>
      <c r="Z14" s="364" t="s">
        <v>29</v>
      </c>
      <c r="AA14" s="332" t="s">
        <v>30</v>
      </c>
      <c r="AB14" s="364" t="s">
        <v>31</v>
      </c>
      <c r="AC14" s="364" t="s">
        <v>32</v>
      </c>
      <c r="AD14" s="364" t="s">
        <v>33</v>
      </c>
      <c r="AE14" s="364" t="s">
        <v>34</v>
      </c>
      <c r="AF14" s="365" t="s">
        <v>128</v>
      </c>
      <c r="AG14" s="285"/>
      <c r="AH14" s="76"/>
      <c r="AI14" s="76"/>
      <c r="AJ14" s="76"/>
      <c r="AK14" s="76"/>
      <c r="AL14" s="87"/>
      <c r="AM14" s="86"/>
      <c r="AN14" s="88"/>
      <c r="AO14" s="89"/>
      <c r="AP14" s="89"/>
      <c r="AQ14" s="89"/>
    </row>
    <row r="15" spans="2:43" s="90" customFormat="1" x14ac:dyDescent="0.3">
      <c r="B15" s="285"/>
      <c r="C15" s="359"/>
      <c r="D15" s="352"/>
      <c r="E15" s="322"/>
      <c r="F15" s="325"/>
      <c r="G15" s="349"/>
      <c r="H15" s="354"/>
      <c r="I15" s="123" t="s">
        <v>56</v>
      </c>
      <c r="J15" s="123" t="s">
        <v>56</v>
      </c>
      <c r="K15" s="124" t="s">
        <v>57</v>
      </c>
      <c r="L15" s="354"/>
      <c r="M15" s="123" t="s">
        <v>58</v>
      </c>
      <c r="N15" s="356"/>
      <c r="O15" s="123" t="s">
        <v>59</v>
      </c>
      <c r="P15" s="123" t="s">
        <v>60</v>
      </c>
      <c r="Q15" s="356"/>
      <c r="R15" s="356"/>
      <c r="S15" s="123" t="s">
        <v>61</v>
      </c>
      <c r="T15" s="123" t="s">
        <v>62</v>
      </c>
      <c r="U15" s="123" t="s">
        <v>63</v>
      </c>
      <c r="V15" s="123" t="s">
        <v>64</v>
      </c>
      <c r="W15" s="125" t="s">
        <v>65</v>
      </c>
      <c r="X15" s="369"/>
      <c r="Y15" s="354"/>
      <c r="Z15" s="356"/>
      <c r="AA15" s="333"/>
      <c r="AB15" s="356"/>
      <c r="AC15" s="356"/>
      <c r="AD15" s="356"/>
      <c r="AE15" s="356"/>
      <c r="AF15" s="366"/>
      <c r="AG15" s="285"/>
      <c r="AH15" s="76"/>
      <c r="AI15" s="76"/>
      <c r="AJ15" s="76"/>
      <c r="AK15" s="76"/>
      <c r="AL15" s="87"/>
      <c r="AM15" s="86"/>
      <c r="AN15" s="88"/>
      <c r="AO15" s="89"/>
      <c r="AP15" s="89"/>
      <c r="AQ15" s="89"/>
    </row>
    <row r="16" spans="2:43" s="90" customFormat="1" ht="21" customHeight="1" x14ac:dyDescent="0.3">
      <c r="B16" s="95"/>
      <c r="C16" s="96" t="s">
        <v>83</v>
      </c>
      <c r="D16" s="97" t="s">
        <v>84</v>
      </c>
      <c r="E16" s="97" t="s">
        <v>198</v>
      </c>
      <c r="F16" s="97" t="s">
        <v>85</v>
      </c>
      <c r="G16" s="97" t="s">
        <v>231</v>
      </c>
      <c r="H16" s="98">
        <f>SUM(I16:K16)</f>
        <v>204604.37</v>
      </c>
      <c r="I16" s="99">
        <v>136506.37</v>
      </c>
      <c r="J16" s="100"/>
      <c r="K16" s="101">
        <v>68098</v>
      </c>
      <c r="L16" s="102">
        <v>1978148</v>
      </c>
      <c r="M16" s="103">
        <f>H16/L16</f>
        <v>0.10343228615856852</v>
      </c>
      <c r="N16" s="99">
        <v>29519</v>
      </c>
      <c r="O16" s="104">
        <f>N16/L16</f>
        <v>1.492254371260391E-2</v>
      </c>
      <c r="P16" s="104">
        <f>Q16/N16</f>
        <v>4.7528710322165386E-2</v>
      </c>
      <c r="Q16" s="99">
        <v>1403</v>
      </c>
      <c r="R16" s="99">
        <v>1329</v>
      </c>
      <c r="S16" s="104">
        <f>R16/Q16</f>
        <v>0.94725588025659302</v>
      </c>
      <c r="T16" s="106">
        <f>H16/Q16</f>
        <v>145.83347826086955</v>
      </c>
      <c r="U16" s="106">
        <f>H16/R16</f>
        <v>153.95362678705794</v>
      </c>
      <c r="V16" s="99">
        <f>R16*X16</f>
        <v>202008</v>
      </c>
      <c r="W16" s="105">
        <f>V16/H16</f>
        <v>0.98731029058665754</v>
      </c>
      <c r="X16" s="107">
        <v>152</v>
      </c>
      <c r="Y16" s="98">
        <v>5</v>
      </c>
      <c r="Z16" s="106">
        <v>5</v>
      </c>
      <c r="AA16" s="104">
        <f>Z16/Y16</f>
        <v>1</v>
      </c>
      <c r="AB16" s="106">
        <f>H16/Y16</f>
        <v>40920.873999999996</v>
      </c>
      <c r="AC16" s="106">
        <f>H16/Z16</f>
        <v>40920.873999999996</v>
      </c>
      <c r="AD16" s="106">
        <f>Z16*AF16</f>
        <v>950</v>
      </c>
      <c r="AE16" s="126">
        <f>AD16/H16</f>
        <v>4.6431070851517004E-3</v>
      </c>
      <c r="AF16" s="108">
        <v>190</v>
      </c>
      <c r="AG16" s="95"/>
      <c r="AH16" s="76"/>
      <c r="AI16" s="76"/>
      <c r="AJ16" s="76"/>
      <c r="AK16" s="76"/>
      <c r="AL16" s="87"/>
      <c r="AM16" s="86"/>
      <c r="AN16" s="88"/>
      <c r="AO16" s="89"/>
      <c r="AP16" s="89"/>
      <c r="AQ16" s="89"/>
    </row>
    <row r="17" spans="2:43" s="91" customFormat="1" x14ac:dyDescent="0.3">
      <c r="D17" s="71"/>
      <c r="E17" s="71"/>
      <c r="F17" s="71"/>
      <c r="H17" s="71"/>
      <c r="I17" s="72"/>
      <c r="J17" s="72"/>
      <c r="K17" s="72"/>
      <c r="L17" s="73"/>
      <c r="M17" s="74"/>
      <c r="N17" s="73"/>
      <c r="O17" s="92"/>
      <c r="P17" s="75"/>
      <c r="Q17" s="75"/>
      <c r="R17" s="73"/>
      <c r="S17" s="73"/>
      <c r="T17" s="69"/>
      <c r="U17" s="75"/>
      <c r="V17" s="73"/>
      <c r="W17" s="73"/>
      <c r="X17" s="73"/>
      <c r="Y17" s="76"/>
      <c r="Z17" s="73"/>
      <c r="AA17" s="73"/>
      <c r="AB17" s="73"/>
      <c r="AC17" s="73"/>
      <c r="AD17" s="75"/>
      <c r="AE17" s="75"/>
      <c r="AF17" s="75"/>
      <c r="AG17" s="75"/>
      <c r="AH17" s="76"/>
      <c r="AI17" s="76"/>
      <c r="AJ17" s="76"/>
      <c r="AK17" s="76"/>
      <c r="AL17" s="78"/>
      <c r="AM17" s="78"/>
    </row>
    <row r="18" spans="2:43" s="91" customFormat="1" x14ac:dyDescent="0.3">
      <c r="D18" s="71"/>
      <c r="E18" s="71"/>
      <c r="F18" s="71"/>
      <c r="H18" s="71"/>
      <c r="I18" s="72"/>
      <c r="J18" s="72"/>
      <c r="K18" s="72"/>
      <c r="L18" s="73"/>
      <c r="M18" s="74"/>
      <c r="N18" s="73"/>
      <c r="O18" s="69"/>
      <c r="P18" s="75"/>
      <c r="Q18" s="75"/>
      <c r="R18" s="73"/>
      <c r="S18" s="73"/>
      <c r="T18" s="69"/>
      <c r="U18" s="75"/>
      <c r="V18" s="73"/>
      <c r="W18" s="73"/>
      <c r="X18" s="73"/>
      <c r="Y18" s="76"/>
      <c r="Z18" s="73"/>
      <c r="AA18" s="73"/>
      <c r="AB18" s="73"/>
      <c r="AC18" s="73"/>
      <c r="AD18" s="75"/>
      <c r="AE18" s="75"/>
      <c r="AF18" s="75"/>
      <c r="AG18" s="75"/>
      <c r="AH18" s="76"/>
      <c r="AI18" s="73"/>
      <c r="AJ18" s="77"/>
      <c r="AK18" s="78"/>
      <c r="AL18" s="78"/>
      <c r="AM18" s="78"/>
    </row>
    <row r="19" spans="2:43" s="91" customFormat="1" x14ac:dyDescent="0.3">
      <c r="D19" s="71"/>
      <c r="E19" s="71"/>
      <c r="F19" s="71"/>
      <c r="H19" s="71"/>
      <c r="I19" s="72"/>
      <c r="J19" s="72"/>
      <c r="K19" s="72"/>
      <c r="L19" s="73"/>
      <c r="M19" s="74"/>
      <c r="N19" s="73"/>
      <c r="O19" s="69"/>
      <c r="P19" s="75"/>
      <c r="Q19" s="75"/>
      <c r="R19" s="73"/>
      <c r="S19" s="73"/>
      <c r="T19" s="69"/>
      <c r="U19" s="75"/>
      <c r="V19" s="73"/>
      <c r="W19" s="73"/>
      <c r="X19" s="73"/>
      <c r="Y19" s="76"/>
      <c r="Z19" s="73"/>
      <c r="AA19" s="73"/>
      <c r="AB19" s="73"/>
      <c r="AC19" s="73"/>
      <c r="AD19" s="75"/>
      <c r="AE19" s="75"/>
      <c r="AF19" s="75"/>
      <c r="AG19" s="75"/>
      <c r="AH19" s="76"/>
      <c r="AI19" s="73"/>
      <c r="AJ19" s="77"/>
      <c r="AK19" s="78"/>
      <c r="AL19" s="78"/>
      <c r="AM19" s="78"/>
    </row>
    <row r="20" spans="2:43" s="91" customFormat="1" x14ac:dyDescent="0.3">
      <c r="D20" s="71"/>
      <c r="E20" s="71"/>
      <c r="F20" s="71"/>
      <c r="H20" s="71"/>
      <c r="I20" s="72"/>
      <c r="J20" s="72"/>
      <c r="K20" s="72"/>
      <c r="L20" s="73"/>
      <c r="M20" s="74"/>
      <c r="N20" s="73"/>
      <c r="O20" s="69"/>
      <c r="P20" s="75"/>
      <c r="Q20" s="75"/>
      <c r="R20" s="73"/>
      <c r="S20" s="73"/>
      <c r="T20" s="69"/>
      <c r="U20" s="75"/>
      <c r="V20" s="73"/>
      <c r="W20" s="73"/>
      <c r="X20" s="73"/>
      <c r="Y20" s="76"/>
      <c r="Z20" s="73"/>
      <c r="AA20" s="73"/>
      <c r="AB20" s="73"/>
      <c r="AC20" s="73"/>
      <c r="AD20" s="75"/>
      <c r="AE20" s="73"/>
      <c r="AF20" s="73"/>
      <c r="AG20" s="73"/>
      <c r="AH20" s="76"/>
      <c r="AI20" s="73"/>
      <c r="AJ20" s="77"/>
      <c r="AK20" s="78"/>
      <c r="AL20" s="78"/>
      <c r="AM20" s="78"/>
    </row>
    <row r="21" spans="2:43" s="91" customFormat="1" x14ac:dyDescent="0.3">
      <c r="C21" s="79"/>
      <c r="D21" s="71"/>
      <c r="E21" s="71"/>
      <c r="F21" s="71"/>
      <c r="G21" s="79"/>
      <c r="H21" s="71"/>
      <c r="I21" s="72"/>
      <c r="J21" s="72"/>
      <c r="K21" s="72"/>
      <c r="L21" s="73"/>
      <c r="M21" s="74"/>
      <c r="N21" s="73"/>
      <c r="O21" s="69"/>
      <c r="P21" s="75"/>
      <c r="Q21" s="75"/>
      <c r="R21" s="73"/>
      <c r="S21" s="73"/>
      <c r="T21" s="69"/>
      <c r="U21" s="75"/>
      <c r="V21" s="73"/>
      <c r="W21" s="73"/>
      <c r="X21" s="73"/>
      <c r="Y21" s="76"/>
      <c r="Z21" s="73"/>
      <c r="AA21" s="73"/>
      <c r="AB21" s="73"/>
      <c r="AC21" s="73"/>
      <c r="AD21" s="75"/>
      <c r="AE21" s="73"/>
      <c r="AF21" s="73"/>
      <c r="AG21" s="73"/>
      <c r="AH21" s="76"/>
      <c r="AI21" s="73"/>
      <c r="AJ21" s="77"/>
      <c r="AK21" s="78"/>
      <c r="AL21" s="78"/>
      <c r="AM21" s="78"/>
    </row>
    <row r="22" spans="2:43" x14ac:dyDescent="0.3">
      <c r="C22" s="79"/>
      <c r="G22" s="79"/>
    </row>
    <row r="23" spans="2:43" s="109" customFormat="1" ht="22.5" x14ac:dyDescent="0.3">
      <c r="C23" s="110" t="s">
        <v>232</v>
      </c>
      <c r="D23" s="111"/>
      <c r="E23" s="111"/>
      <c r="F23" s="111"/>
      <c r="G23" s="110"/>
      <c r="H23" s="111"/>
      <c r="I23" s="112"/>
      <c r="J23" s="113"/>
      <c r="K23" s="113"/>
      <c r="L23" s="113"/>
      <c r="M23" s="114"/>
      <c r="N23" s="113"/>
      <c r="O23" s="115"/>
      <c r="P23" s="115"/>
      <c r="Q23" s="115"/>
      <c r="R23" s="113"/>
      <c r="S23" s="113"/>
      <c r="U23" s="115"/>
      <c r="V23" s="113"/>
      <c r="W23" s="113"/>
      <c r="X23" s="113"/>
      <c r="Y23" s="116"/>
      <c r="Z23" s="113"/>
      <c r="AA23" s="113"/>
      <c r="AB23" s="113"/>
      <c r="AC23" s="113"/>
      <c r="AD23" s="115"/>
      <c r="AE23" s="113"/>
      <c r="AF23" s="113"/>
      <c r="AG23" s="113"/>
      <c r="AH23" s="116"/>
      <c r="AI23" s="113"/>
      <c r="AJ23" s="117"/>
      <c r="AK23" s="113"/>
      <c r="AL23" s="113"/>
      <c r="AM23" s="113"/>
    </row>
    <row r="24" spans="2:43" x14ac:dyDescent="0.3">
      <c r="C24" s="80" t="s">
        <v>39</v>
      </c>
      <c r="D24" s="81" t="s">
        <v>86</v>
      </c>
    </row>
    <row r="25" spans="2:43" x14ac:dyDescent="0.3">
      <c r="C25" s="82" t="s">
        <v>1</v>
      </c>
      <c r="D25" s="83" t="s">
        <v>233</v>
      </c>
    </row>
    <row r="26" spans="2:43" x14ac:dyDescent="0.3">
      <c r="C26" s="82"/>
      <c r="D26" s="83"/>
      <c r="G26" s="82"/>
    </row>
    <row r="27" spans="2:43" x14ac:dyDescent="0.3">
      <c r="C27" s="82"/>
      <c r="D27" s="83"/>
      <c r="G27" s="82"/>
    </row>
    <row r="28" spans="2:43" x14ac:dyDescent="0.3">
      <c r="C28" s="84"/>
      <c r="D28" s="85"/>
      <c r="G28" s="84"/>
      <c r="AD28" s="73"/>
    </row>
    <row r="29" spans="2:43" s="90" customFormat="1" x14ac:dyDescent="0.3">
      <c r="B29" s="285"/>
      <c r="C29" s="357" t="s">
        <v>40</v>
      </c>
      <c r="D29" s="350" t="s">
        <v>71</v>
      </c>
      <c r="E29" s="320" t="s">
        <v>72</v>
      </c>
      <c r="F29" s="323" t="s">
        <v>73</v>
      </c>
      <c r="G29" s="347" t="s">
        <v>41</v>
      </c>
      <c r="H29" s="334" t="s">
        <v>42</v>
      </c>
      <c r="I29" s="320"/>
      <c r="J29" s="320"/>
      <c r="K29" s="335"/>
      <c r="L29" s="357" t="s">
        <v>66</v>
      </c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1"/>
      <c r="Y29" s="357" t="s">
        <v>43</v>
      </c>
      <c r="Z29" s="360"/>
      <c r="AA29" s="360"/>
      <c r="AB29" s="360"/>
      <c r="AC29" s="360"/>
      <c r="AD29" s="360"/>
      <c r="AE29" s="360"/>
      <c r="AF29" s="361"/>
      <c r="AG29" s="285"/>
      <c r="AH29" s="76"/>
      <c r="AI29" s="76"/>
      <c r="AJ29" s="76"/>
      <c r="AK29" s="76"/>
      <c r="AL29" s="87"/>
      <c r="AM29" s="86"/>
      <c r="AN29" s="88"/>
      <c r="AO29" s="89"/>
      <c r="AP29" s="89"/>
      <c r="AQ29" s="89"/>
    </row>
    <row r="30" spans="2:43" s="90" customFormat="1" x14ac:dyDescent="0.3">
      <c r="B30" s="285"/>
      <c r="C30" s="358"/>
      <c r="D30" s="351"/>
      <c r="E30" s="321"/>
      <c r="F30" s="324"/>
      <c r="G30" s="348"/>
      <c r="H30" s="336" t="s">
        <v>44</v>
      </c>
      <c r="I30" s="322"/>
      <c r="J30" s="322"/>
      <c r="K30" s="337"/>
      <c r="L30" s="359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3"/>
      <c r="Y30" s="359"/>
      <c r="Z30" s="362"/>
      <c r="AA30" s="362"/>
      <c r="AB30" s="362"/>
      <c r="AC30" s="362"/>
      <c r="AD30" s="362"/>
      <c r="AE30" s="362"/>
      <c r="AF30" s="363"/>
      <c r="AG30" s="285"/>
      <c r="AH30" s="76"/>
      <c r="AI30" s="76"/>
      <c r="AJ30" s="76"/>
      <c r="AK30" s="76"/>
      <c r="AL30" s="87"/>
      <c r="AM30" s="86"/>
      <c r="AN30" s="88"/>
      <c r="AO30" s="89"/>
      <c r="AP30" s="89"/>
      <c r="AQ30" s="89"/>
    </row>
    <row r="31" spans="2:43" s="90" customFormat="1" x14ac:dyDescent="0.3">
      <c r="B31" s="285"/>
      <c r="C31" s="358"/>
      <c r="D31" s="351"/>
      <c r="E31" s="321"/>
      <c r="F31" s="324"/>
      <c r="G31" s="348"/>
      <c r="H31" s="353" t="s">
        <v>45</v>
      </c>
      <c r="I31" s="119" t="s">
        <v>46</v>
      </c>
      <c r="J31" s="119" t="s">
        <v>47</v>
      </c>
      <c r="K31" s="120" t="s">
        <v>48</v>
      </c>
      <c r="L31" s="353" t="s">
        <v>49</v>
      </c>
      <c r="M31" s="119" t="s">
        <v>50</v>
      </c>
      <c r="N31" s="355" t="s">
        <v>51</v>
      </c>
      <c r="O31" s="121" t="s">
        <v>52</v>
      </c>
      <c r="P31" s="119" t="s">
        <v>53</v>
      </c>
      <c r="Q31" s="355" t="s">
        <v>13</v>
      </c>
      <c r="R31" s="355" t="s">
        <v>14</v>
      </c>
      <c r="S31" s="119" t="s">
        <v>54</v>
      </c>
      <c r="T31" s="119" t="s">
        <v>31</v>
      </c>
      <c r="U31" s="119" t="s">
        <v>32</v>
      </c>
      <c r="V31" s="119" t="s">
        <v>33</v>
      </c>
      <c r="W31" s="122" t="s">
        <v>55</v>
      </c>
      <c r="X31" s="368" t="s">
        <v>27</v>
      </c>
      <c r="Y31" s="367" t="s">
        <v>28</v>
      </c>
      <c r="Z31" s="364" t="s">
        <v>29</v>
      </c>
      <c r="AA31" s="332" t="s">
        <v>30</v>
      </c>
      <c r="AB31" s="364" t="s">
        <v>31</v>
      </c>
      <c r="AC31" s="364" t="s">
        <v>32</v>
      </c>
      <c r="AD31" s="364" t="s">
        <v>33</v>
      </c>
      <c r="AE31" s="364" t="s">
        <v>34</v>
      </c>
      <c r="AF31" s="365" t="s">
        <v>128</v>
      </c>
      <c r="AG31" s="285"/>
      <c r="AH31" s="76"/>
      <c r="AI31" s="76"/>
      <c r="AJ31" s="76"/>
      <c r="AK31" s="76"/>
      <c r="AL31" s="87"/>
      <c r="AM31" s="86"/>
      <c r="AN31" s="88"/>
      <c r="AO31" s="89"/>
      <c r="AP31" s="89"/>
      <c r="AQ31" s="89"/>
    </row>
    <row r="32" spans="2:43" s="90" customFormat="1" x14ac:dyDescent="0.3">
      <c r="B32" s="285"/>
      <c r="C32" s="359"/>
      <c r="D32" s="352"/>
      <c r="E32" s="322"/>
      <c r="F32" s="325"/>
      <c r="G32" s="349"/>
      <c r="H32" s="354"/>
      <c r="I32" s="123" t="s">
        <v>56</v>
      </c>
      <c r="J32" s="123" t="s">
        <v>56</v>
      </c>
      <c r="K32" s="124" t="s">
        <v>57</v>
      </c>
      <c r="L32" s="354"/>
      <c r="M32" s="123" t="s">
        <v>58</v>
      </c>
      <c r="N32" s="356"/>
      <c r="O32" s="123" t="s">
        <v>59</v>
      </c>
      <c r="P32" s="123" t="s">
        <v>60</v>
      </c>
      <c r="Q32" s="356"/>
      <c r="R32" s="356"/>
      <c r="S32" s="123" t="s">
        <v>61</v>
      </c>
      <c r="T32" s="123" t="s">
        <v>62</v>
      </c>
      <c r="U32" s="123" t="s">
        <v>63</v>
      </c>
      <c r="V32" s="123" t="s">
        <v>64</v>
      </c>
      <c r="W32" s="125" t="s">
        <v>65</v>
      </c>
      <c r="X32" s="369"/>
      <c r="Y32" s="354"/>
      <c r="Z32" s="356"/>
      <c r="AA32" s="333"/>
      <c r="AB32" s="356"/>
      <c r="AC32" s="356"/>
      <c r="AD32" s="356"/>
      <c r="AE32" s="356"/>
      <c r="AF32" s="366"/>
      <c r="AG32" s="285"/>
      <c r="AH32" s="76"/>
      <c r="AI32" s="76"/>
      <c r="AJ32" s="76"/>
      <c r="AK32" s="76"/>
      <c r="AL32" s="87"/>
      <c r="AM32" s="86"/>
      <c r="AN32" s="88"/>
      <c r="AO32" s="89"/>
      <c r="AP32" s="89"/>
      <c r="AQ32" s="89"/>
    </row>
    <row r="33" spans="2:43" s="90" customFormat="1" ht="21" customHeight="1" x14ac:dyDescent="0.3">
      <c r="B33" s="95"/>
      <c r="C33" s="96" t="s">
        <v>87</v>
      </c>
      <c r="D33" s="97" t="s">
        <v>84</v>
      </c>
      <c r="E33" s="97" t="s">
        <v>88</v>
      </c>
      <c r="F33" s="97" t="s">
        <v>89</v>
      </c>
      <c r="G33" s="97" t="s">
        <v>234</v>
      </c>
      <c r="H33" s="98">
        <f>SUM(I33:K33)</f>
        <v>543853.03</v>
      </c>
      <c r="I33" s="99">
        <v>233019.03</v>
      </c>
      <c r="J33" s="100"/>
      <c r="K33" s="101">
        <v>310834</v>
      </c>
      <c r="L33" s="102">
        <v>4662112</v>
      </c>
      <c r="M33" s="103">
        <f>H33/L33</f>
        <v>0.11665378909815981</v>
      </c>
      <c r="N33" s="99">
        <v>36198</v>
      </c>
      <c r="O33" s="104">
        <f>N33/L33</f>
        <v>7.764292234935583E-3</v>
      </c>
      <c r="P33" s="104">
        <f>Q33/N33</f>
        <v>5.0638156804243328E-2</v>
      </c>
      <c r="Q33" s="99">
        <v>1833</v>
      </c>
      <c r="R33" s="99">
        <v>1762</v>
      </c>
      <c r="S33" s="104">
        <f>R33/Q33</f>
        <v>0.96126568466994</v>
      </c>
      <c r="T33" s="106">
        <f>H33/Q33</f>
        <v>296.70105291871249</v>
      </c>
      <c r="U33" s="106">
        <f>H33/R33</f>
        <v>308.65665720771852</v>
      </c>
      <c r="V33" s="99">
        <f>R33*X33</f>
        <v>245693.28</v>
      </c>
      <c r="W33" s="105">
        <f>V33/H33</f>
        <v>0.45176410987358107</v>
      </c>
      <c r="X33" s="107">
        <v>139.44</v>
      </c>
      <c r="Y33" s="98">
        <v>60</v>
      </c>
      <c r="Z33" s="106">
        <v>60</v>
      </c>
      <c r="AA33" s="104">
        <f>Z33/Y33</f>
        <v>1</v>
      </c>
      <c r="AB33" s="106">
        <f>H33/Y33</f>
        <v>9064.2171666666673</v>
      </c>
      <c r="AC33" s="106">
        <f>H33/Z33</f>
        <v>9064.2171666666673</v>
      </c>
      <c r="AD33" s="106">
        <f>Z33*AF33</f>
        <v>9560</v>
      </c>
      <c r="AE33" s="105">
        <f>AD33/H33</f>
        <v>1.7578278455118654E-2</v>
      </c>
      <c r="AF33" s="108">
        <v>159.33333333333334</v>
      </c>
      <c r="AG33" s="95"/>
      <c r="AH33" s="76"/>
      <c r="AI33" s="76"/>
      <c r="AJ33" s="76"/>
      <c r="AK33" s="76"/>
      <c r="AL33" s="87"/>
      <c r="AM33" s="86"/>
      <c r="AN33" s="88"/>
      <c r="AO33" s="89"/>
      <c r="AP33" s="89"/>
      <c r="AQ33" s="89"/>
    </row>
    <row r="34" spans="2:43" s="91" customFormat="1" x14ac:dyDescent="0.3">
      <c r="D34" s="71"/>
      <c r="E34" s="71"/>
      <c r="F34" s="71"/>
      <c r="H34" s="71"/>
      <c r="I34" s="72"/>
      <c r="J34" s="72"/>
      <c r="K34" s="72"/>
      <c r="L34" s="73"/>
      <c r="M34" s="74"/>
      <c r="N34" s="73"/>
      <c r="O34" s="92"/>
      <c r="P34" s="75"/>
      <c r="Q34" s="75"/>
      <c r="R34" s="73"/>
      <c r="S34" s="73"/>
      <c r="T34" s="69"/>
      <c r="U34" s="75"/>
      <c r="V34" s="73"/>
      <c r="W34" s="73"/>
      <c r="X34" s="73"/>
      <c r="Y34" s="76"/>
      <c r="Z34" s="73"/>
      <c r="AA34" s="73"/>
      <c r="AB34" s="73"/>
      <c r="AC34" s="73"/>
      <c r="AD34" s="75"/>
      <c r="AE34" s="75"/>
      <c r="AF34" s="75"/>
      <c r="AG34" s="75"/>
      <c r="AH34" s="76"/>
      <c r="AI34" s="76"/>
      <c r="AJ34" s="76"/>
      <c r="AK34" s="76"/>
      <c r="AL34" s="78"/>
      <c r="AM34" s="78"/>
    </row>
    <row r="35" spans="2:43" s="91" customFormat="1" x14ac:dyDescent="0.3">
      <c r="D35" s="71"/>
      <c r="E35" s="71"/>
      <c r="F35" s="71"/>
      <c r="H35" s="71"/>
      <c r="I35" s="72"/>
      <c r="J35" s="72"/>
      <c r="K35" s="72"/>
      <c r="L35" s="73"/>
      <c r="M35" s="74"/>
      <c r="N35" s="73"/>
      <c r="O35" s="69"/>
      <c r="P35" s="75"/>
      <c r="Q35" s="75"/>
      <c r="R35" s="73"/>
      <c r="S35" s="73"/>
      <c r="T35" s="69"/>
      <c r="U35" s="75"/>
      <c r="V35" s="73"/>
      <c r="W35" s="73"/>
      <c r="X35" s="73"/>
      <c r="Y35" s="76"/>
      <c r="Z35" s="73"/>
      <c r="AA35" s="73"/>
      <c r="AB35" s="73"/>
      <c r="AC35" s="73"/>
      <c r="AD35" s="75"/>
      <c r="AE35" s="75"/>
      <c r="AF35" s="75"/>
      <c r="AG35" s="75"/>
      <c r="AH35" s="76"/>
      <c r="AI35" s="73"/>
      <c r="AJ35" s="77"/>
      <c r="AK35" s="78"/>
      <c r="AL35" s="78"/>
      <c r="AM35" s="78"/>
    </row>
    <row r="36" spans="2:43" s="91" customFormat="1" x14ac:dyDescent="0.3">
      <c r="D36" s="71"/>
      <c r="E36" s="71"/>
      <c r="F36" s="71"/>
      <c r="H36" s="71"/>
      <c r="I36" s="72"/>
      <c r="J36" s="72"/>
      <c r="K36" s="72"/>
      <c r="L36" s="73"/>
      <c r="M36" s="74"/>
      <c r="N36" s="73"/>
      <c r="O36" s="69"/>
      <c r="P36" s="75"/>
      <c r="Q36" s="75"/>
      <c r="R36" s="73"/>
      <c r="S36" s="73"/>
      <c r="T36" s="69"/>
      <c r="U36" s="75"/>
      <c r="V36" s="73"/>
      <c r="W36" s="73"/>
      <c r="X36" s="73"/>
      <c r="Y36" s="76"/>
      <c r="Z36" s="73"/>
      <c r="AA36" s="73"/>
      <c r="AB36" s="73"/>
      <c r="AC36" s="73"/>
      <c r="AD36" s="75"/>
      <c r="AE36" s="75"/>
      <c r="AF36" s="75"/>
      <c r="AG36" s="75"/>
      <c r="AH36" s="76"/>
      <c r="AI36" s="73"/>
      <c r="AJ36" s="77"/>
      <c r="AK36" s="78"/>
      <c r="AL36" s="78"/>
      <c r="AM36" s="78"/>
    </row>
    <row r="37" spans="2:43" s="91" customFormat="1" x14ac:dyDescent="0.3">
      <c r="D37" s="71"/>
      <c r="E37" s="71"/>
      <c r="F37" s="71"/>
      <c r="H37" s="71"/>
      <c r="I37" s="72"/>
      <c r="J37" s="72"/>
      <c r="K37" s="72"/>
      <c r="L37" s="73"/>
      <c r="M37" s="74"/>
      <c r="N37" s="73"/>
      <c r="O37" s="69"/>
      <c r="P37" s="75"/>
      <c r="Q37" s="75"/>
      <c r="R37" s="73"/>
      <c r="S37" s="73"/>
      <c r="T37" s="69"/>
      <c r="U37" s="75"/>
      <c r="V37" s="73"/>
      <c r="W37" s="73"/>
      <c r="X37" s="73"/>
      <c r="Y37" s="76"/>
      <c r="Z37" s="73"/>
      <c r="AA37" s="73"/>
      <c r="AB37" s="73"/>
      <c r="AC37" s="73"/>
      <c r="AD37" s="75"/>
      <c r="AE37" s="73"/>
      <c r="AF37" s="73"/>
      <c r="AG37" s="73"/>
      <c r="AH37" s="76"/>
      <c r="AI37" s="73"/>
      <c r="AJ37" s="77"/>
      <c r="AK37" s="78"/>
      <c r="AL37" s="78"/>
      <c r="AM37" s="78"/>
    </row>
    <row r="38" spans="2:43" s="91" customFormat="1" x14ac:dyDescent="0.3">
      <c r="C38" s="79"/>
      <c r="D38" s="71"/>
      <c r="E38" s="71"/>
      <c r="F38" s="71"/>
      <c r="G38" s="79"/>
      <c r="H38" s="71"/>
      <c r="I38" s="72"/>
      <c r="J38" s="72"/>
      <c r="K38" s="72"/>
      <c r="L38" s="73"/>
      <c r="M38" s="74"/>
      <c r="N38" s="73"/>
      <c r="O38" s="69"/>
      <c r="P38" s="75"/>
      <c r="Q38" s="75"/>
      <c r="R38" s="73"/>
      <c r="S38" s="73"/>
      <c r="T38" s="69"/>
      <c r="U38" s="75"/>
      <c r="V38" s="73"/>
      <c r="W38" s="73"/>
      <c r="X38" s="73"/>
      <c r="Y38" s="76"/>
      <c r="Z38" s="73"/>
      <c r="AA38" s="73"/>
      <c r="AB38" s="73"/>
      <c r="AC38" s="73"/>
      <c r="AD38" s="75"/>
      <c r="AE38" s="73"/>
      <c r="AF38" s="73"/>
      <c r="AG38" s="73"/>
      <c r="AH38" s="76"/>
      <c r="AI38" s="73"/>
      <c r="AJ38" s="77"/>
      <c r="AK38" s="78"/>
      <c r="AL38" s="78"/>
      <c r="AM38" s="78"/>
    </row>
    <row r="39" spans="2:43" x14ac:dyDescent="0.3">
      <c r="C39" s="79"/>
      <c r="G39" s="79"/>
    </row>
    <row r="40" spans="2:43" s="109" customFormat="1" ht="22.5" x14ac:dyDescent="0.3">
      <c r="C40" s="110" t="s">
        <v>235</v>
      </c>
      <c r="D40" s="111"/>
      <c r="E40" s="111"/>
      <c r="F40" s="111"/>
      <c r="G40" s="110"/>
      <c r="H40" s="111"/>
      <c r="I40" s="112"/>
      <c r="J40" s="113"/>
      <c r="K40" s="113"/>
      <c r="L40" s="113"/>
      <c r="M40" s="114"/>
      <c r="N40" s="113"/>
      <c r="O40" s="115"/>
      <c r="P40" s="115"/>
      <c r="Q40" s="115"/>
      <c r="R40" s="113"/>
      <c r="S40" s="113"/>
      <c r="U40" s="115"/>
      <c r="V40" s="113"/>
      <c r="W40" s="113"/>
      <c r="X40" s="113"/>
      <c r="Y40" s="116"/>
      <c r="Z40" s="113"/>
      <c r="AA40" s="113"/>
      <c r="AB40" s="113"/>
      <c r="AC40" s="113"/>
      <c r="AD40" s="115"/>
      <c r="AE40" s="113"/>
      <c r="AF40" s="113"/>
      <c r="AG40" s="113"/>
      <c r="AH40" s="116"/>
      <c r="AI40" s="113"/>
      <c r="AJ40" s="117"/>
      <c r="AK40" s="113"/>
      <c r="AL40" s="113"/>
      <c r="AM40" s="113"/>
    </row>
    <row r="41" spans="2:43" x14ac:dyDescent="0.3">
      <c r="C41" s="80" t="s">
        <v>39</v>
      </c>
      <c r="D41" s="81" t="s">
        <v>90</v>
      </c>
    </row>
    <row r="42" spans="2:43" x14ac:dyDescent="0.3">
      <c r="C42" s="82" t="s">
        <v>1</v>
      </c>
      <c r="D42" s="83" t="s">
        <v>236</v>
      </c>
    </row>
    <row r="43" spans="2:43" x14ac:dyDescent="0.3">
      <c r="C43" s="82"/>
      <c r="D43" s="83"/>
      <c r="G43" s="82"/>
    </row>
    <row r="44" spans="2:43" x14ac:dyDescent="0.3">
      <c r="C44" s="84"/>
      <c r="D44" s="85"/>
      <c r="G44" s="84"/>
      <c r="AD44" s="73"/>
    </row>
    <row r="45" spans="2:43" x14ac:dyDescent="0.3">
      <c r="C45" s="84"/>
      <c r="D45" s="85"/>
      <c r="G45" s="84"/>
      <c r="AD45" s="73"/>
    </row>
    <row r="46" spans="2:43" s="90" customFormat="1" x14ac:dyDescent="0.3">
      <c r="B46" s="285"/>
      <c r="C46" s="357" t="s">
        <v>40</v>
      </c>
      <c r="D46" s="350" t="s">
        <v>71</v>
      </c>
      <c r="E46" s="320" t="s">
        <v>72</v>
      </c>
      <c r="F46" s="323" t="s">
        <v>73</v>
      </c>
      <c r="G46" s="347" t="s">
        <v>41</v>
      </c>
      <c r="H46" s="334" t="s">
        <v>42</v>
      </c>
      <c r="I46" s="320"/>
      <c r="J46" s="320"/>
      <c r="K46" s="335"/>
      <c r="L46" s="357" t="s">
        <v>66</v>
      </c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1"/>
      <c r="Y46" s="357" t="s">
        <v>43</v>
      </c>
      <c r="Z46" s="360"/>
      <c r="AA46" s="360"/>
      <c r="AB46" s="360"/>
      <c r="AC46" s="360"/>
      <c r="AD46" s="360"/>
      <c r="AE46" s="360"/>
      <c r="AF46" s="361"/>
      <c r="AG46" s="285"/>
      <c r="AH46" s="76"/>
      <c r="AI46" s="76"/>
      <c r="AJ46" s="76"/>
      <c r="AK46" s="76"/>
      <c r="AL46" s="87"/>
      <c r="AM46" s="86"/>
      <c r="AN46" s="88"/>
      <c r="AO46" s="89"/>
      <c r="AP46" s="89"/>
      <c r="AQ46" s="89"/>
    </row>
    <row r="47" spans="2:43" s="90" customFormat="1" x14ac:dyDescent="0.3">
      <c r="B47" s="285"/>
      <c r="C47" s="358"/>
      <c r="D47" s="351"/>
      <c r="E47" s="321"/>
      <c r="F47" s="324"/>
      <c r="G47" s="348"/>
      <c r="H47" s="336" t="s">
        <v>44</v>
      </c>
      <c r="I47" s="322"/>
      <c r="J47" s="322"/>
      <c r="K47" s="337"/>
      <c r="L47" s="359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3"/>
      <c r="Y47" s="359"/>
      <c r="Z47" s="362"/>
      <c r="AA47" s="362"/>
      <c r="AB47" s="362"/>
      <c r="AC47" s="362"/>
      <c r="AD47" s="362"/>
      <c r="AE47" s="362"/>
      <c r="AF47" s="363"/>
      <c r="AG47" s="285"/>
      <c r="AH47" s="76"/>
      <c r="AI47" s="76"/>
      <c r="AJ47" s="76"/>
      <c r="AK47" s="76"/>
      <c r="AL47" s="87"/>
      <c r="AM47" s="86"/>
      <c r="AN47" s="88"/>
      <c r="AO47" s="89"/>
      <c r="AP47" s="89"/>
      <c r="AQ47" s="89"/>
    </row>
    <row r="48" spans="2:43" s="90" customFormat="1" x14ac:dyDescent="0.3">
      <c r="B48" s="285"/>
      <c r="C48" s="358"/>
      <c r="D48" s="351"/>
      <c r="E48" s="321"/>
      <c r="F48" s="324"/>
      <c r="G48" s="348"/>
      <c r="H48" s="353" t="s">
        <v>45</v>
      </c>
      <c r="I48" s="119" t="s">
        <v>46</v>
      </c>
      <c r="J48" s="119" t="s">
        <v>47</v>
      </c>
      <c r="K48" s="120" t="s">
        <v>48</v>
      </c>
      <c r="L48" s="353" t="s">
        <v>49</v>
      </c>
      <c r="M48" s="119" t="s">
        <v>50</v>
      </c>
      <c r="N48" s="355" t="s">
        <v>51</v>
      </c>
      <c r="O48" s="121" t="s">
        <v>52</v>
      </c>
      <c r="P48" s="119" t="s">
        <v>53</v>
      </c>
      <c r="Q48" s="355" t="s">
        <v>13</v>
      </c>
      <c r="R48" s="355" t="s">
        <v>14</v>
      </c>
      <c r="S48" s="119" t="s">
        <v>54</v>
      </c>
      <c r="T48" s="119" t="s">
        <v>31</v>
      </c>
      <c r="U48" s="119" t="s">
        <v>32</v>
      </c>
      <c r="V48" s="119" t="s">
        <v>33</v>
      </c>
      <c r="W48" s="122" t="s">
        <v>55</v>
      </c>
      <c r="X48" s="368" t="s">
        <v>27</v>
      </c>
      <c r="Y48" s="367" t="s">
        <v>28</v>
      </c>
      <c r="Z48" s="364" t="s">
        <v>29</v>
      </c>
      <c r="AA48" s="332" t="s">
        <v>30</v>
      </c>
      <c r="AB48" s="364" t="s">
        <v>31</v>
      </c>
      <c r="AC48" s="364" t="s">
        <v>32</v>
      </c>
      <c r="AD48" s="364" t="s">
        <v>33</v>
      </c>
      <c r="AE48" s="364" t="s">
        <v>34</v>
      </c>
      <c r="AF48" s="365" t="s">
        <v>128</v>
      </c>
      <c r="AG48" s="285"/>
      <c r="AH48" s="76"/>
      <c r="AI48" s="76"/>
      <c r="AJ48" s="76"/>
      <c r="AK48" s="76"/>
      <c r="AL48" s="87"/>
      <c r="AM48" s="86"/>
      <c r="AN48" s="88"/>
      <c r="AO48" s="89"/>
      <c r="AP48" s="89"/>
      <c r="AQ48" s="89"/>
    </row>
    <row r="49" spans="2:43" s="90" customFormat="1" x14ac:dyDescent="0.3">
      <c r="B49" s="285"/>
      <c r="C49" s="359"/>
      <c r="D49" s="352"/>
      <c r="E49" s="322"/>
      <c r="F49" s="325"/>
      <c r="G49" s="349"/>
      <c r="H49" s="354"/>
      <c r="I49" s="123" t="s">
        <v>56</v>
      </c>
      <c r="J49" s="123" t="s">
        <v>56</v>
      </c>
      <c r="K49" s="124" t="s">
        <v>57</v>
      </c>
      <c r="L49" s="354"/>
      <c r="M49" s="123" t="s">
        <v>58</v>
      </c>
      <c r="N49" s="356"/>
      <c r="O49" s="123" t="s">
        <v>59</v>
      </c>
      <c r="P49" s="123" t="s">
        <v>60</v>
      </c>
      <c r="Q49" s="356"/>
      <c r="R49" s="356"/>
      <c r="S49" s="123" t="s">
        <v>61</v>
      </c>
      <c r="T49" s="123" t="s">
        <v>62</v>
      </c>
      <c r="U49" s="123" t="s">
        <v>63</v>
      </c>
      <c r="V49" s="123" t="s">
        <v>64</v>
      </c>
      <c r="W49" s="125" t="s">
        <v>65</v>
      </c>
      <c r="X49" s="369"/>
      <c r="Y49" s="354"/>
      <c r="Z49" s="356"/>
      <c r="AA49" s="333"/>
      <c r="AB49" s="356"/>
      <c r="AC49" s="356"/>
      <c r="AD49" s="356"/>
      <c r="AE49" s="356"/>
      <c r="AF49" s="366"/>
      <c r="AG49" s="285"/>
      <c r="AH49" s="76"/>
      <c r="AI49" s="76"/>
      <c r="AJ49" s="76"/>
      <c r="AK49" s="76"/>
      <c r="AL49" s="87"/>
      <c r="AM49" s="86"/>
      <c r="AN49" s="88"/>
      <c r="AO49" s="89"/>
      <c r="AP49" s="89"/>
      <c r="AQ49" s="89"/>
    </row>
    <row r="50" spans="2:43" s="90" customFormat="1" ht="21" customHeight="1" x14ac:dyDescent="0.3">
      <c r="B50" s="95"/>
      <c r="C50" s="96" t="s">
        <v>91</v>
      </c>
      <c r="D50" s="97"/>
      <c r="E50" s="97"/>
      <c r="F50" s="97"/>
      <c r="G50" s="97" t="s">
        <v>237</v>
      </c>
      <c r="H50" s="98">
        <f>SUM(I50:K50)</f>
        <v>1066042</v>
      </c>
      <c r="I50" s="99">
        <v>847231</v>
      </c>
      <c r="J50" s="100"/>
      <c r="K50" s="101">
        <v>218811</v>
      </c>
      <c r="L50" s="102">
        <v>11888953</v>
      </c>
      <c r="M50" s="103">
        <f>H50/L50</f>
        <v>8.9666600582910871E-2</v>
      </c>
      <c r="N50" s="99">
        <v>67267</v>
      </c>
      <c r="O50" s="104">
        <f>N50/L50</f>
        <v>5.6579414520353472E-3</v>
      </c>
      <c r="P50" s="104">
        <f>Q50/N50</f>
        <v>0.20784337044910581</v>
      </c>
      <c r="Q50" s="99">
        <v>13981</v>
      </c>
      <c r="R50" s="99">
        <v>12660</v>
      </c>
      <c r="S50" s="104">
        <f>R50/Q50</f>
        <v>0.90551462699377727</v>
      </c>
      <c r="T50" s="106">
        <f>H50/Q50</f>
        <v>76.249338387812031</v>
      </c>
      <c r="U50" s="106">
        <f>H50/R50</f>
        <v>84.205529225908379</v>
      </c>
      <c r="V50" s="99">
        <f>R50*X50</f>
        <v>1991924.4000000001</v>
      </c>
      <c r="W50" s="105">
        <f>V50/H50</f>
        <v>1.8685233790038291</v>
      </c>
      <c r="X50" s="107">
        <v>157.34</v>
      </c>
      <c r="Y50" s="98">
        <v>1921</v>
      </c>
      <c r="Z50" s="106">
        <v>1735</v>
      </c>
      <c r="AA50" s="104">
        <f>Z50/Y50</f>
        <v>0.9031754294638209</v>
      </c>
      <c r="AB50" s="106">
        <f>H50/Y50</f>
        <v>554.94117647058829</v>
      </c>
      <c r="AC50" s="106">
        <f>H50/Z50</f>
        <v>614.43342939481272</v>
      </c>
      <c r="AD50" s="106">
        <f>Z50*AF50</f>
        <v>319001.0954178939</v>
      </c>
      <c r="AE50" s="105">
        <f>AD50/H50</f>
        <v>0.29923876865817095</v>
      </c>
      <c r="AF50" s="108">
        <v>183.86230283452099</v>
      </c>
      <c r="AG50" s="95"/>
      <c r="AH50" s="76"/>
      <c r="AI50" s="76"/>
      <c r="AJ50" s="76"/>
      <c r="AK50" s="76"/>
      <c r="AL50" s="87"/>
      <c r="AM50" s="86"/>
      <c r="AN50" s="88"/>
      <c r="AO50" s="89"/>
      <c r="AP50" s="89"/>
      <c r="AQ50" s="89"/>
    </row>
    <row r="51" spans="2:43" s="91" customFormat="1" x14ac:dyDescent="0.3">
      <c r="D51" s="71"/>
      <c r="E51" s="71"/>
      <c r="F51" s="71"/>
      <c r="H51" s="71"/>
      <c r="I51" s="72"/>
      <c r="J51" s="72"/>
      <c r="K51" s="72"/>
      <c r="L51" s="73"/>
      <c r="M51" s="74"/>
      <c r="N51" s="73"/>
      <c r="O51" s="92"/>
      <c r="P51" s="75"/>
      <c r="Q51" s="75"/>
      <c r="R51" s="73"/>
      <c r="S51" s="73"/>
      <c r="T51" s="69"/>
      <c r="U51" s="75"/>
      <c r="V51" s="73"/>
      <c r="W51" s="73"/>
      <c r="X51" s="73"/>
      <c r="Y51" s="76"/>
      <c r="Z51" s="73"/>
      <c r="AA51" s="73"/>
      <c r="AB51" s="73"/>
      <c r="AC51" s="73"/>
      <c r="AD51" s="75"/>
      <c r="AE51" s="75"/>
      <c r="AF51" s="75"/>
      <c r="AG51" s="75"/>
      <c r="AH51" s="76"/>
      <c r="AI51" s="76"/>
      <c r="AJ51" s="76"/>
      <c r="AK51" s="76"/>
      <c r="AL51" s="78"/>
      <c r="AM51" s="78"/>
    </row>
    <row r="52" spans="2:43" x14ac:dyDescent="0.3">
      <c r="AH52" s="73"/>
    </row>
    <row r="53" spans="2:43" x14ac:dyDescent="0.3">
      <c r="AH53" s="73"/>
    </row>
    <row r="54" spans="2:43" x14ac:dyDescent="0.3">
      <c r="AE54" s="75"/>
      <c r="AF54" s="75"/>
      <c r="AG54" s="75"/>
    </row>
    <row r="55" spans="2:43" x14ac:dyDescent="0.3">
      <c r="AE55" s="75"/>
      <c r="AF55" s="75"/>
      <c r="AG55" s="75"/>
    </row>
    <row r="57" spans="2:43" x14ac:dyDescent="0.3">
      <c r="C57" s="79"/>
      <c r="G57" s="79"/>
    </row>
    <row r="58" spans="2:43" s="109" customFormat="1" ht="22.5" x14ac:dyDescent="0.3">
      <c r="C58" s="110" t="s">
        <v>238</v>
      </c>
      <c r="D58" s="111"/>
      <c r="E58" s="111"/>
      <c r="F58" s="111"/>
      <c r="G58" s="110"/>
      <c r="H58" s="111"/>
      <c r="I58" s="112"/>
      <c r="J58" s="113"/>
      <c r="K58" s="113"/>
      <c r="L58" s="113"/>
      <c r="M58" s="114"/>
      <c r="N58" s="113"/>
      <c r="O58" s="115"/>
      <c r="P58" s="115"/>
      <c r="Q58" s="115"/>
      <c r="R58" s="113"/>
      <c r="S58" s="113"/>
      <c r="U58" s="115"/>
      <c r="V58" s="113"/>
      <c r="W58" s="113"/>
      <c r="X58" s="113"/>
      <c r="Y58" s="116"/>
      <c r="Z58" s="113"/>
      <c r="AA58" s="113"/>
      <c r="AB58" s="113"/>
      <c r="AC58" s="113"/>
      <c r="AD58" s="115"/>
      <c r="AE58" s="113"/>
      <c r="AF58" s="113"/>
      <c r="AG58" s="113"/>
      <c r="AH58" s="116"/>
      <c r="AI58" s="113"/>
      <c r="AJ58" s="117"/>
      <c r="AK58" s="113"/>
      <c r="AL58" s="113"/>
      <c r="AM58" s="113"/>
    </row>
    <row r="59" spans="2:43" x14ac:dyDescent="0.3">
      <c r="C59" s="80" t="s">
        <v>39</v>
      </c>
      <c r="D59" s="81" t="s">
        <v>92</v>
      </c>
    </row>
    <row r="60" spans="2:43" x14ac:dyDescent="0.3">
      <c r="C60" s="82" t="s">
        <v>1</v>
      </c>
      <c r="D60" s="83" t="s">
        <v>239</v>
      </c>
    </row>
    <row r="61" spans="2:43" x14ac:dyDescent="0.3">
      <c r="C61" s="82"/>
      <c r="D61" s="83"/>
      <c r="G61" s="82"/>
    </row>
    <row r="62" spans="2:43" x14ac:dyDescent="0.3">
      <c r="C62" s="84"/>
      <c r="D62" s="85"/>
      <c r="G62" s="84"/>
      <c r="AD62" s="73"/>
    </row>
    <row r="63" spans="2:43" x14ac:dyDescent="0.3">
      <c r="C63" s="84"/>
      <c r="D63" s="85"/>
      <c r="G63" s="84"/>
      <c r="AD63" s="73"/>
    </row>
    <row r="64" spans="2:43" s="90" customFormat="1" x14ac:dyDescent="0.3">
      <c r="B64" s="285"/>
      <c r="C64" s="357" t="s">
        <v>40</v>
      </c>
      <c r="D64" s="350" t="s">
        <v>71</v>
      </c>
      <c r="E64" s="320" t="s">
        <v>72</v>
      </c>
      <c r="F64" s="323" t="s">
        <v>73</v>
      </c>
      <c r="G64" s="347" t="s">
        <v>41</v>
      </c>
      <c r="H64" s="334" t="s">
        <v>42</v>
      </c>
      <c r="I64" s="320"/>
      <c r="J64" s="320"/>
      <c r="K64" s="335"/>
      <c r="L64" s="357" t="s">
        <v>66</v>
      </c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1"/>
      <c r="Y64" s="357" t="s">
        <v>43</v>
      </c>
      <c r="Z64" s="360"/>
      <c r="AA64" s="360"/>
      <c r="AB64" s="360"/>
      <c r="AC64" s="360"/>
      <c r="AD64" s="360"/>
      <c r="AE64" s="360"/>
      <c r="AF64" s="361"/>
      <c r="AG64" s="285"/>
      <c r="AH64" s="76"/>
      <c r="AI64" s="76"/>
      <c r="AJ64" s="76"/>
      <c r="AK64" s="76"/>
      <c r="AL64" s="87"/>
      <c r="AM64" s="86"/>
      <c r="AN64" s="88"/>
      <c r="AO64" s="89"/>
      <c r="AP64" s="89"/>
      <c r="AQ64" s="89"/>
    </row>
    <row r="65" spans="2:43" s="90" customFormat="1" x14ac:dyDescent="0.3">
      <c r="B65" s="285"/>
      <c r="C65" s="358"/>
      <c r="D65" s="351"/>
      <c r="E65" s="321"/>
      <c r="F65" s="324"/>
      <c r="G65" s="348"/>
      <c r="H65" s="336" t="s">
        <v>44</v>
      </c>
      <c r="I65" s="322"/>
      <c r="J65" s="322"/>
      <c r="K65" s="337"/>
      <c r="L65" s="359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3"/>
      <c r="Y65" s="359"/>
      <c r="Z65" s="362"/>
      <c r="AA65" s="362"/>
      <c r="AB65" s="362"/>
      <c r="AC65" s="362"/>
      <c r="AD65" s="362"/>
      <c r="AE65" s="362"/>
      <c r="AF65" s="363"/>
      <c r="AG65" s="285"/>
      <c r="AH65" s="76"/>
      <c r="AI65" s="76"/>
      <c r="AJ65" s="76"/>
      <c r="AK65" s="76"/>
      <c r="AL65" s="87"/>
      <c r="AM65" s="86"/>
      <c r="AN65" s="88"/>
      <c r="AO65" s="89"/>
      <c r="AP65" s="89"/>
      <c r="AQ65" s="89"/>
    </row>
    <row r="66" spans="2:43" s="90" customFormat="1" x14ac:dyDescent="0.3">
      <c r="B66" s="285"/>
      <c r="C66" s="358"/>
      <c r="D66" s="351"/>
      <c r="E66" s="321"/>
      <c r="F66" s="324"/>
      <c r="G66" s="348"/>
      <c r="H66" s="353" t="s">
        <v>45</v>
      </c>
      <c r="I66" s="119" t="s">
        <v>46</v>
      </c>
      <c r="J66" s="119" t="s">
        <v>47</v>
      </c>
      <c r="K66" s="120" t="s">
        <v>48</v>
      </c>
      <c r="L66" s="353" t="s">
        <v>49</v>
      </c>
      <c r="M66" s="119" t="s">
        <v>50</v>
      </c>
      <c r="N66" s="355" t="s">
        <v>51</v>
      </c>
      <c r="O66" s="121" t="s">
        <v>52</v>
      </c>
      <c r="P66" s="119" t="s">
        <v>53</v>
      </c>
      <c r="Q66" s="355" t="s">
        <v>13</v>
      </c>
      <c r="R66" s="355" t="s">
        <v>14</v>
      </c>
      <c r="S66" s="119" t="s">
        <v>54</v>
      </c>
      <c r="T66" s="119" t="s">
        <v>31</v>
      </c>
      <c r="U66" s="119" t="s">
        <v>32</v>
      </c>
      <c r="V66" s="119" t="s">
        <v>33</v>
      </c>
      <c r="W66" s="122" t="s">
        <v>55</v>
      </c>
      <c r="X66" s="368" t="s">
        <v>27</v>
      </c>
      <c r="Y66" s="367" t="s">
        <v>28</v>
      </c>
      <c r="Z66" s="364" t="s">
        <v>29</v>
      </c>
      <c r="AA66" s="332" t="s">
        <v>30</v>
      </c>
      <c r="AB66" s="364" t="s">
        <v>31</v>
      </c>
      <c r="AC66" s="364" t="s">
        <v>32</v>
      </c>
      <c r="AD66" s="364" t="s">
        <v>33</v>
      </c>
      <c r="AE66" s="364" t="s">
        <v>34</v>
      </c>
      <c r="AF66" s="365" t="s">
        <v>128</v>
      </c>
      <c r="AG66" s="285"/>
      <c r="AH66" s="76"/>
      <c r="AI66" s="76"/>
      <c r="AJ66" s="76"/>
      <c r="AK66" s="76"/>
      <c r="AL66" s="87"/>
      <c r="AM66" s="86"/>
      <c r="AN66" s="88"/>
      <c r="AO66" s="89"/>
      <c r="AP66" s="89"/>
      <c r="AQ66" s="89"/>
    </row>
    <row r="67" spans="2:43" s="90" customFormat="1" x14ac:dyDescent="0.3">
      <c r="B67" s="285"/>
      <c r="C67" s="359"/>
      <c r="D67" s="352"/>
      <c r="E67" s="322"/>
      <c r="F67" s="325"/>
      <c r="G67" s="349"/>
      <c r="H67" s="354"/>
      <c r="I67" s="123" t="s">
        <v>56</v>
      </c>
      <c r="J67" s="123" t="s">
        <v>56</v>
      </c>
      <c r="K67" s="124" t="s">
        <v>57</v>
      </c>
      <c r="L67" s="354"/>
      <c r="M67" s="123" t="s">
        <v>58</v>
      </c>
      <c r="N67" s="356"/>
      <c r="O67" s="123" t="s">
        <v>59</v>
      </c>
      <c r="P67" s="123" t="s">
        <v>60</v>
      </c>
      <c r="Q67" s="356"/>
      <c r="R67" s="356"/>
      <c r="S67" s="123" t="s">
        <v>61</v>
      </c>
      <c r="T67" s="123" t="s">
        <v>62</v>
      </c>
      <c r="U67" s="123" t="s">
        <v>63</v>
      </c>
      <c r="V67" s="123" t="s">
        <v>64</v>
      </c>
      <c r="W67" s="125" t="s">
        <v>65</v>
      </c>
      <c r="X67" s="369"/>
      <c r="Y67" s="354"/>
      <c r="Z67" s="356"/>
      <c r="AA67" s="333"/>
      <c r="AB67" s="356"/>
      <c r="AC67" s="356"/>
      <c r="AD67" s="356"/>
      <c r="AE67" s="356"/>
      <c r="AF67" s="366"/>
      <c r="AG67" s="285"/>
      <c r="AH67" s="76"/>
      <c r="AI67" s="76"/>
      <c r="AJ67" s="76"/>
      <c r="AK67" s="76"/>
      <c r="AL67" s="87"/>
      <c r="AM67" s="86"/>
      <c r="AN67" s="88"/>
      <c r="AO67" s="89"/>
      <c r="AP67" s="89"/>
      <c r="AQ67" s="89"/>
    </row>
    <row r="68" spans="2:43" s="90" customFormat="1" ht="21" customHeight="1" x14ac:dyDescent="0.3">
      <c r="B68" s="95"/>
      <c r="C68" s="96" t="s">
        <v>93</v>
      </c>
      <c r="D68" s="97"/>
      <c r="E68" s="97"/>
      <c r="F68" s="97"/>
      <c r="G68" s="97" t="s">
        <v>237</v>
      </c>
      <c r="H68" s="98">
        <f>SUM(I68:K68)</f>
        <v>835862</v>
      </c>
      <c r="I68" s="99">
        <v>652503</v>
      </c>
      <c r="J68" s="100"/>
      <c r="K68" s="101">
        <v>183359</v>
      </c>
      <c r="L68" s="102">
        <v>10836892</v>
      </c>
      <c r="M68" s="103">
        <f>H68/L68</f>
        <v>7.7131155316487426E-2</v>
      </c>
      <c r="N68" s="99">
        <v>49573</v>
      </c>
      <c r="O68" s="104">
        <f>N68/L68</f>
        <v>4.5744665536945461E-3</v>
      </c>
      <c r="P68" s="104">
        <f>Q68/N68</f>
        <v>0.21009420450648539</v>
      </c>
      <c r="Q68" s="99">
        <v>10415</v>
      </c>
      <c r="R68" s="99">
        <v>9468</v>
      </c>
      <c r="S68" s="104">
        <f>R68/Q68</f>
        <v>0.90907345175228038</v>
      </c>
      <c r="T68" s="106">
        <f>H68/Q68</f>
        <v>80.255592894863184</v>
      </c>
      <c r="U68" s="106">
        <f>H68/R68</f>
        <v>88.282847486269546</v>
      </c>
      <c r="V68" s="99">
        <f>R68*X68</f>
        <v>1489695.12</v>
      </c>
      <c r="W68" s="105">
        <f>V68/H68</f>
        <v>1.7822261569493529</v>
      </c>
      <c r="X68" s="107">
        <v>157.34</v>
      </c>
      <c r="Y68" s="98">
        <v>1472</v>
      </c>
      <c r="Z68" s="106">
        <v>1323</v>
      </c>
      <c r="AA68" s="104">
        <f>Z68/Y68</f>
        <v>0.89877717391304346</v>
      </c>
      <c r="AB68" s="106">
        <f>H68/Y68</f>
        <v>567.84103260869563</v>
      </c>
      <c r="AC68" s="106">
        <f>H68/Z68</f>
        <v>631.79289493575209</v>
      </c>
      <c r="AD68" s="106">
        <f>Z68*AF68</f>
        <v>243249.82665007128</v>
      </c>
      <c r="AE68" s="105">
        <f>AD68/H68</f>
        <v>0.29101673081210927</v>
      </c>
      <c r="AF68" s="108">
        <v>183.86230283452099</v>
      </c>
      <c r="AG68" s="95"/>
      <c r="AH68" s="76"/>
      <c r="AI68" s="76"/>
      <c r="AJ68" s="76"/>
      <c r="AK68" s="76"/>
      <c r="AL68" s="87"/>
      <c r="AM68" s="86"/>
      <c r="AN68" s="88"/>
      <c r="AO68" s="89"/>
      <c r="AP68" s="89"/>
      <c r="AQ68" s="89"/>
    </row>
    <row r="69" spans="2:43" s="91" customFormat="1" x14ac:dyDescent="0.3">
      <c r="D69" s="71"/>
      <c r="E69" s="71"/>
      <c r="F69" s="71"/>
      <c r="H69" s="71"/>
      <c r="I69" s="72"/>
      <c r="J69" s="72"/>
      <c r="K69" s="72"/>
      <c r="L69" s="73"/>
      <c r="M69" s="74"/>
      <c r="N69" s="73"/>
      <c r="O69" s="92"/>
      <c r="P69" s="75"/>
      <c r="Q69" s="75"/>
      <c r="R69" s="73"/>
      <c r="S69" s="73"/>
      <c r="T69" s="69"/>
      <c r="U69" s="75"/>
      <c r="V69" s="73"/>
      <c r="W69" s="73"/>
      <c r="X69" s="73"/>
      <c r="Y69" s="76"/>
      <c r="Z69" s="73"/>
      <c r="AA69" s="73"/>
      <c r="AB69" s="73"/>
      <c r="AC69" s="73"/>
      <c r="AD69" s="75"/>
      <c r="AE69" s="75"/>
      <c r="AF69" s="75"/>
      <c r="AG69" s="75"/>
      <c r="AH69" s="76"/>
      <c r="AI69" s="76"/>
      <c r="AJ69" s="76"/>
      <c r="AK69" s="76"/>
      <c r="AL69" s="78"/>
      <c r="AM69" s="78"/>
    </row>
    <row r="70" spans="2:43" x14ac:dyDescent="0.3">
      <c r="AH70" s="73"/>
    </row>
    <row r="72" spans="2:43" x14ac:dyDescent="0.3">
      <c r="AE72" s="75"/>
      <c r="AF72" s="75"/>
      <c r="AG72" s="75"/>
    </row>
    <row r="73" spans="2:43" x14ac:dyDescent="0.3">
      <c r="AE73" s="75"/>
      <c r="AF73" s="75"/>
      <c r="AG73" s="75"/>
    </row>
    <row r="75" spans="2:43" s="109" customFormat="1" ht="22.5" x14ac:dyDescent="0.3">
      <c r="C75" s="110" t="s">
        <v>240</v>
      </c>
      <c r="D75" s="111"/>
      <c r="E75" s="111"/>
      <c r="F75" s="111"/>
      <c r="G75" s="110"/>
      <c r="H75" s="111"/>
      <c r="I75" s="112"/>
      <c r="J75" s="113"/>
      <c r="K75" s="113"/>
      <c r="L75" s="113"/>
      <c r="M75" s="114"/>
      <c r="N75" s="113"/>
      <c r="O75" s="115"/>
      <c r="P75" s="115"/>
      <c r="Q75" s="115"/>
      <c r="R75" s="113"/>
      <c r="S75" s="113"/>
      <c r="U75" s="115"/>
      <c r="V75" s="113"/>
      <c r="W75" s="113"/>
      <c r="X75" s="113"/>
      <c r="Y75" s="116"/>
      <c r="Z75" s="113"/>
      <c r="AA75" s="113"/>
      <c r="AB75" s="113"/>
      <c r="AC75" s="113"/>
      <c r="AD75" s="115"/>
      <c r="AE75" s="113"/>
      <c r="AF75" s="113"/>
      <c r="AG75" s="113"/>
      <c r="AH75" s="116"/>
      <c r="AI75" s="113"/>
      <c r="AJ75" s="117"/>
      <c r="AK75" s="113"/>
      <c r="AL75" s="113"/>
      <c r="AM75" s="113"/>
    </row>
    <row r="76" spans="2:43" x14ac:dyDescent="0.3">
      <c r="C76" s="80" t="s">
        <v>39</v>
      </c>
      <c r="D76" s="81" t="s">
        <v>94</v>
      </c>
    </row>
    <row r="77" spans="2:43" x14ac:dyDescent="0.3">
      <c r="C77" s="82" t="s">
        <v>1</v>
      </c>
      <c r="D77" s="83" t="s">
        <v>241</v>
      </c>
    </row>
    <row r="78" spans="2:43" x14ac:dyDescent="0.3">
      <c r="C78" s="82"/>
      <c r="D78" s="83"/>
      <c r="G78" s="82"/>
    </row>
    <row r="79" spans="2:43" x14ac:dyDescent="0.3">
      <c r="C79" s="84"/>
      <c r="D79" s="85"/>
      <c r="G79" s="84"/>
      <c r="AD79" s="73"/>
    </row>
    <row r="80" spans="2:43" x14ac:dyDescent="0.3">
      <c r="C80" s="84"/>
      <c r="D80" s="85"/>
      <c r="G80" s="84"/>
      <c r="AD80" s="73"/>
    </row>
    <row r="81" spans="2:43" s="90" customFormat="1" x14ac:dyDescent="0.3">
      <c r="B81" s="285"/>
      <c r="C81" s="357" t="s">
        <v>40</v>
      </c>
      <c r="D81" s="350" t="s">
        <v>71</v>
      </c>
      <c r="E81" s="320" t="s">
        <v>72</v>
      </c>
      <c r="F81" s="323" t="s">
        <v>73</v>
      </c>
      <c r="G81" s="347" t="s">
        <v>41</v>
      </c>
      <c r="H81" s="334" t="s">
        <v>42</v>
      </c>
      <c r="I81" s="320"/>
      <c r="J81" s="320"/>
      <c r="K81" s="335"/>
      <c r="L81" s="357" t="s">
        <v>66</v>
      </c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1"/>
      <c r="Y81" s="357" t="s">
        <v>43</v>
      </c>
      <c r="Z81" s="360"/>
      <c r="AA81" s="360"/>
      <c r="AB81" s="360"/>
      <c r="AC81" s="360"/>
      <c r="AD81" s="360"/>
      <c r="AE81" s="360"/>
      <c r="AF81" s="361"/>
      <c r="AG81" s="285"/>
      <c r="AH81" s="76"/>
      <c r="AI81" s="76"/>
      <c r="AJ81" s="76"/>
      <c r="AK81" s="76"/>
      <c r="AL81" s="87"/>
      <c r="AM81" s="86"/>
      <c r="AN81" s="88"/>
      <c r="AO81" s="89"/>
      <c r="AP81" s="89"/>
      <c r="AQ81" s="89"/>
    </row>
    <row r="82" spans="2:43" s="90" customFormat="1" x14ac:dyDescent="0.3">
      <c r="B82" s="285"/>
      <c r="C82" s="358"/>
      <c r="D82" s="351"/>
      <c r="E82" s="321"/>
      <c r="F82" s="324"/>
      <c r="G82" s="348"/>
      <c r="H82" s="336" t="s">
        <v>44</v>
      </c>
      <c r="I82" s="322"/>
      <c r="J82" s="322"/>
      <c r="K82" s="337"/>
      <c r="L82" s="359"/>
      <c r="M82" s="362"/>
      <c r="N82" s="362"/>
      <c r="O82" s="362"/>
      <c r="P82" s="362"/>
      <c r="Q82" s="362"/>
      <c r="R82" s="362"/>
      <c r="S82" s="362"/>
      <c r="T82" s="362"/>
      <c r="U82" s="362"/>
      <c r="V82" s="362"/>
      <c r="W82" s="362"/>
      <c r="X82" s="363"/>
      <c r="Y82" s="359"/>
      <c r="Z82" s="362"/>
      <c r="AA82" s="362"/>
      <c r="AB82" s="362"/>
      <c r="AC82" s="362"/>
      <c r="AD82" s="362"/>
      <c r="AE82" s="362"/>
      <c r="AF82" s="363"/>
      <c r="AG82" s="285"/>
      <c r="AH82" s="76"/>
      <c r="AI82" s="76"/>
      <c r="AJ82" s="76"/>
      <c r="AK82" s="76"/>
      <c r="AL82" s="87"/>
      <c r="AM82" s="86"/>
      <c r="AN82" s="88"/>
      <c r="AO82" s="89"/>
      <c r="AP82" s="89"/>
      <c r="AQ82" s="89"/>
    </row>
    <row r="83" spans="2:43" s="90" customFormat="1" x14ac:dyDescent="0.3">
      <c r="B83" s="285"/>
      <c r="C83" s="358"/>
      <c r="D83" s="351"/>
      <c r="E83" s="321"/>
      <c r="F83" s="324"/>
      <c r="G83" s="348"/>
      <c r="H83" s="353" t="s">
        <v>45</v>
      </c>
      <c r="I83" s="119" t="s">
        <v>46</v>
      </c>
      <c r="J83" s="119" t="s">
        <v>47</v>
      </c>
      <c r="K83" s="120" t="s">
        <v>48</v>
      </c>
      <c r="L83" s="353" t="s">
        <v>49</v>
      </c>
      <c r="M83" s="119" t="s">
        <v>50</v>
      </c>
      <c r="N83" s="355" t="s">
        <v>51</v>
      </c>
      <c r="O83" s="121" t="s">
        <v>52</v>
      </c>
      <c r="P83" s="119" t="s">
        <v>53</v>
      </c>
      <c r="Q83" s="355" t="s">
        <v>13</v>
      </c>
      <c r="R83" s="355" t="s">
        <v>14</v>
      </c>
      <c r="S83" s="119" t="s">
        <v>54</v>
      </c>
      <c r="T83" s="119" t="s">
        <v>31</v>
      </c>
      <c r="U83" s="119" t="s">
        <v>32</v>
      </c>
      <c r="V83" s="119" t="s">
        <v>33</v>
      </c>
      <c r="W83" s="122" t="s">
        <v>55</v>
      </c>
      <c r="X83" s="368" t="s">
        <v>27</v>
      </c>
      <c r="Y83" s="367" t="s">
        <v>28</v>
      </c>
      <c r="Z83" s="364" t="s">
        <v>29</v>
      </c>
      <c r="AA83" s="332" t="s">
        <v>30</v>
      </c>
      <c r="AB83" s="364" t="s">
        <v>31</v>
      </c>
      <c r="AC83" s="364" t="s">
        <v>32</v>
      </c>
      <c r="AD83" s="364" t="s">
        <v>33</v>
      </c>
      <c r="AE83" s="364" t="s">
        <v>34</v>
      </c>
      <c r="AF83" s="365" t="s">
        <v>128</v>
      </c>
      <c r="AG83" s="285"/>
      <c r="AH83" s="76"/>
      <c r="AI83" s="76"/>
      <c r="AJ83" s="76"/>
      <c r="AK83" s="76"/>
      <c r="AL83" s="87"/>
      <c r="AM83" s="86"/>
      <c r="AN83" s="88"/>
      <c r="AO83" s="89"/>
      <c r="AP83" s="89"/>
      <c r="AQ83" s="89"/>
    </row>
    <row r="84" spans="2:43" s="90" customFormat="1" x14ac:dyDescent="0.3">
      <c r="B84" s="285"/>
      <c r="C84" s="359"/>
      <c r="D84" s="352"/>
      <c r="E84" s="322"/>
      <c r="F84" s="325"/>
      <c r="G84" s="349"/>
      <c r="H84" s="354"/>
      <c r="I84" s="123" t="s">
        <v>56</v>
      </c>
      <c r="J84" s="123" t="s">
        <v>56</v>
      </c>
      <c r="K84" s="124" t="s">
        <v>57</v>
      </c>
      <c r="L84" s="354"/>
      <c r="M84" s="123" t="s">
        <v>58</v>
      </c>
      <c r="N84" s="356"/>
      <c r="O84" s="123" t="s">
        <v>59</v>
      </c>
      <c r="P84" s="123" t="s">
        <v>60</v>
      </c>
      <c r="Q84" s="356"/>
      <c r="R84" s="356"/>
      <c r="S84" s="123" t="s">
        <v>61</v>
      </c>
      <c r="T84" s="123" t="s">
        <v>62</v>
      </c>
      <c r="U84" s="123" t="s">
        <v>63</v>
      </c>
      <c r="V84" s="123" t="s">
        <v>64</v>
      </c>
      <c r="W84" s="125" t="s">
        <v>65</v>
      </c>
      <c r="X84" s="369"/>
      <c r="Y84" s="354"/>
      <c r="Z84" s="356"/>
      <c r="AA84" s="333"/>
      <c r="AB84" s="356"/>
      <c r="AC84" s="356"/>
      <c r="AD84" s="356"/>
      <c r="AE84" s="356"/>
      <c r="AF84" s="366"/>
      <c r="AG84" s="285"/>
      <c r="AH84" s="76"/>
      <c r="AI84" s="76"/>
      <c r="AJ84" s="76"/>
      <c r="AK84" s="76"/>
      <c r="AL84" s="87"/>
      <c r="AM84" s="86"/>
      <c r="AN84" s="88"/>
      <c r="AO84" s="89"/>
      <c r="AP84" s="89"/>
      <c r="AQ84" s="89"/>
    </row>
    <row r="85" spans="2:43" s="90" customFormat="1" ht="21" customHeight="1" x14ac:dyDescent="0.3">
      <c r="B85" s="95"/>
      <c r="C85" s="96" t="s">
        <v>95</v>
      </c>
      <c r="D85" s="97"/>
      <c r="E85" s="97"/>
      <c r="F85" s="97"/>
      <c r="G85" s="97" t="s">
        <v>237</v>
      </c>
      <c r="H85" s="98">
        <f>SUM(I85:K85)</f>
        <v>691502</v>
      </c>
      <c r="I85" s="99">
        <v>508143</v>
      </c>
      <c r="J85" s="100"/>
      <c r="K85" s="101">
        <v>183359</v>
      </c>
      <c r="L85" s="102">
        <v>9595117</v>
      </c>
      <c r="M85" s="103">
        <f>H85/L85</f>
        <v>7.2068115479988412E-2</v>
      </c>
      <c r="N85" s="99">
        <v>42409</v>
      </c>
      <c r="O85" s="104">
        <f>N85/L85</f>
        <v>4.4198523061261263E-3</v>
      </c>
      <c r="P85" s="104">
        <f>Q85/N85</f>
        <v>0.20606475040675329</v>
      </c>
      <c r="Q85" s="99">
        <v>8739</v>
      </c>
      <c r="R85" s="99">
        <v>7966</v>
      </c>
      <c r="S85" s="104">
        <f>R85/Q85</f>
        <v>0.91154594347179307</v>
      </c>
      <c r="T85" s="106">
        <f>H85/Q85</f>
        <v>79.128275546401184</v>
      </c>
      <c r="U85" s="106">
        <f>H85/R85</f>
        <v>86.8066783831283</v>
      </c>
      <c r="V85" s="99">
        <f>R85*X85</f>
        <v>1253370.44</v>
      </c>
      <c r="W85" s="105">
        <f>V85/H85</f>
        <v>1.812533354928836</v>
      </c>
      <c r="X85" s="107">
        <v>157.34</v>
      </c>
      <c r="Y85" s="98">
        <v>1418</v>
      </c>
      <c r="Z85" s="106">
        <v>1286</v>
      </c>
      <c r="AA85" s="104">
        <f>Z85/Y85</f>
        <v>0.90691114245416082</v>
      </c>
      <c r="AB85" s="106">
        <f>H85/Y85</f>
        <v>487.66008462623415</v>
      </c>
      <c r="AC85" s="106">
        <f>H85/Z85</f>
        <v>537.71539657853805</v>
      </c>
      <c r="AD85" s="106">
        <f>Z85*AF85</f>
        <v>236446.92144519399</v>
      </c>
      <c r="AE85" s="105">
        <f>AD85/H85</f>
        <v>0.34193237538748117</v>
      </c>
      <c r="AF85" s="108">
        <v>183.86230283452099</v>
      </c>
      <c r="AG85" s="95"/>
      <c r="AH85" s="76"/>
      <c r="AI85" s="76"/>
      <c r="AJ85" s="76"/>
      <c r="AK85" s="76"/>
      <c r="AL85" s="87"/>
      <c r="AM85" s="86"/>
      <c r="AN85" s="88"/>
      <c r="AO85" s="89"/>
      <c r="AP85" s="89"/>
      <c r="AQ85" s="89"/>
    </row>
    <row r="86" spans="2:43" s="91" customFormat="1" x14ac:dyDescent="0.3">
      <c r="D86" s="71"/>
      <c r="E86" s="71"/>
      <c r="F86" s="71"/>
      <c r="H86" s="71"/>
      <c r="I86" s="72"/>
      <c r="J86" s="72"/>
      <c r="K86" s="72"/>
      <c r="L86" s="73"/>
      <c r="M86" s="74"/>
      <c r="N86" s="73"/>
      <c r="O86" s="92"/>
      <c r="P86" s="75"/>
      <c r="Q86" s="75"/>
      <c r="R86" s="73"/>
      <c r="S86" s="73"/>
      <c r="T86" s="69"/>
      <c r="U86" s="75"/>
      <c r="V86" s="73"/>
      <c r="W86" s="73"/>
      <c r="X86" s="73"/>
      <c r="Y86" s="76"/>
      <c r="Z86" s="73"/>
      <c r="AA86" s="73"/>
      <c r="AB86" s="73"/>
      <c r="AC86" s="73"/>
      <c r="AD86" s="75"/>
      <c r="AE86" s="75"/>
      <c r="AF86" s="75"/>
      <c r="AG86" s="75"/>
      <c r="AH86" s="76"/>
      <c r="AI86" s="76"/>
      <c r="AJ86" s="76"/>
      <c r="AK86" s="76"/>
      <c r="AL86" s="78"/>
      <c r="AM86" s="78"/>
    </row>
    <row r="87" spans="2:43" x14ac:dyDescent="0.3">
      <c r="AE87" s="75"/>
      <c r="AF87" s="75"/>
      <c r="AG87" s="75"/>
    </row>
    <row r="88" spans="2:43" x14ac:dyDescent="0.3">
      <c r="AE88" s="75"/>
      <c r="AF88" s="75"/>
      <c r="AG88" s="75"/>
    </row>
    <row r="89" spans="2:43" x14ac:dyDescent="0.3">
      <c r="AE89" s="75"/>
      <c r="AF89" s="75"/>
      <c r="AG89" s="75"/>
    </row>
    <row r="91" spans="2:43" s="109" customFormat="1" ht="22.5" x14ac:dyDescent="0.3">
      <c r="C91" s="110" t="s">
        <v>242</v>
      </c>
      <c r="D91" s="111"/>
      <c r="E91" s="111"/>
      <c r="F91" s="111"/>
      <c r="G91" s="110"/>
      <c r="H91" s="111"/>
      <c r="I91" s="112"/>
      <c r="J91" s="113"/>
      <c r="K91" s="113"/>
      <c r="L91" s="113"/>
      <c r="M91" s="114"/>
      <c r="N91" s="113"/>
      <c r="O91" s="115"/>
      <c r="P91" s="115"/>
      <c r="Q91" s="115"/>
      <c r="R91" s="113"/>
      <c r="S91" s="113"/>
      <c r="U91" s="115"/>
      <c r="V91" s="113"/>
      <c r="W91" s="113"/>
      <c r="X91" s="113"/>
      <c r="Y91" s="116"/>
      <c r="Z91" s="113"/>
      <c r="AA91" s="113"/>
      <c r="AB91" s="113"/>
      <c r="AC91" s="113"/>
      <c r="AD91" s="115"/>
      <c r="AE91" s="113"/>
      <c r="AF91" s="113"/>
      <c r="AG91" s="113"/>
      <c r="AH91" s="116"/>
      <c r="AI91" s="113"/>
      <c r="AJ91" s="117"/>
      <c r="AK91" s="113"/>
      <c r="AL91" s="113"/>
      <c r="AM91" s="113"/>
    </row>
    <row r="92" spans="2:43" x14ac:dyDescent="0.3">
      <c r="C92" s="80" t="s">
        <v>39</v>
      </c>
      <c r="D92" s="81" t="s">
        <v>96</v>
      </c>
    </row>
    <row r="93" spans="2:43" x14ac:dyDescent="0.3">
      <c r="C93" s="82" t="s">
        <v>1</v>
      </c>
      <c r="D93" s="83" t="s">
        <v>243</v>
      </c>
    </row>
    <row r="94" spans="2:43" x14ac:dyDescent="0.3">
      <c r="C94" s="82"/>
      <c r="D94" s="83"/>
      <c r="G94" s="82"/>
    </row>
    <row r="95" spans="2:43" x14ac:dyDescent="0.3">
      <c r="C95" s="84"/>
      <c r="D95" s="85"/>
      <c r="G95" s="84"/>
      <c r="AD95" s="73"/>
    </row>
    <row r="96" spans="2:43" x14ac:dyDescent="0.3">
      <c r="C96" s="84"/>
      <c r="D96" s="85"/>
      <c r="G96" s="84"/>
      <c r="AD96" s="73"/>
    </row>
    <row r="97" spans="2:43" s="90" customFormat="1" x14ac:dyDescent="0.3">
      <c r="B97" s="285"/>
      <c r="C97" s="357" t="s">
        <v>40</v>
      </c>
      <c r="D97" s="350" t="s">
        <v>71</v>
      </c>
      <c r="E97" s="320" t="s">
        <v>72</v>
      </c>
      <c r="F97" s="323" t="s">
        <v>73</v>
      </c>
      <c r="G97" s="347" t="s">
        <v>41</v>
      </c>
      <c r="H97" s="334" t="s">
        <v>42</v>
      </c>
      <c r="I97" s="320"/>
      <c r="J97" s="320"/>
      <c r="K97" s="335"/>
      <c r="L97" s="357" t="s">
        <v>66</v>
      </c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1"/>
      <c r="Y97" s="357" t="s">
        <v>43</v>
      </c>
      <c r="Z97" s="360"/>
      <c r="AA97" s="360"/>
      <c r="AB97" s="360"/>
      <c r="AC97" s="360"/>
      <c r="AD97" s="360"/>
      <c r="AE97" s="360"/>
      <c r="AF97" s="361"/>
      <c r="AG97" s="285"/>
      <c r="AH97" s="76"/>
      <c r="AI97" s="76"/>
      <c r="AJ97" s="76"/>
      <c r="AK97" s="76"/>
      <c r="AL97" s="87"/>
      <c r="AM97" s="86"/>
      <c r="AN97" s="88"/>
      <c r="AO97" s="89"/>
      <c r="AP97" s="89"/>
      <c r="AQ97" s="89"/>
    </row>
    <row r="98" spans="2:43" s="90" customFormat="1" x14ac:dyDescent="0.3">
      <c r="B98" s="285"/>
      <c r="C98" s="358"/>
      <c r="D98" s="351"/>
      <c r="E98" s="321"/>
      <c r="F98" s="324"/>
      <c r="G98" s="348"/>
      <c r="H98" s="336" t="s">
        <v>44</v>
      </c>
      <c r="I98" s="322"/>
      <c r="J98" s="322"/>
      <c r="K98" s="337"/>
      <c r="L98" s="359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3"/>
      <c r="Y98" s="359"/>
      <c r="Z98" s="362"/>
      <c r="AA98" s="362"/>
      <c r="AB98" s="362"/>
      <c r="AC98" s="362"/>
      <c r="AD98" s="362"/>
      <c r="AE98" s="362"/>
      <c r="AF98" s="363"/>
      <c r="AG98" s="285"/>
      <c r="AH98" s="76"/>
      <c r="AI98" s="76"/>
      <c r="AJ98" s="76"/>
      <c r="AK98" s="76"/>
      <c r="AL98" s="87"/>
      <c r="AM98" s="86"/>
      <c r="AN98" s="88"/>
      <c r="AO98" s="89"/>
      <c r="AP98" s="89"/>
      <c r="AQ98" s="89"/>
    </row>
    <row r="99" spans="2:43" s="90" customFormat="1" x14ac:dyDescent="0.3">
      <c r="B99" s="285"/>
      <c r="C99" s="358"/>
      <c r="D99" s="351"/>
      <c r="E99" s="321"/>
      <c r="F99" s="324"/>
      <c r="G99" s="348"/>
      <c r="H99" s="353" t="s">
        <v>45</v>
      </c>
      <c r="I99" s="119" t="s">
        <v>46</v>
      </c>
      <c r="J99" s="119" t="s">
        <v>47</v>
      </c>
      <c r="K99" s="120" t="s">
        <v>48</v>
      </c>
      <c r="L99" s="353" t="s">
        <v>49</v>
      </c>
      <c r="M99" s="119" t="s">
        <v>50</v>
      </c>
      <c r="N99" s="355" t="s">
        <v>51</v>
      </c>
      <c r="O99" s="121" t="s">
        <v>52</v>
      </c>
      <c r="P99" s="119" t="s">
        <v>53</v>
      </c>
      <c r="Q99" s="355" t="s">
        <v>13</v>
      </c>
      <c r="R99" s="355" t="s">
        <v>14</v>
      </c>
      <c r="S99" s="119" t="s">
        <v>54</v>
      </c>
      <c r="T99" s="119" t="s">
        <v>31</v>
      </c>
      <c r="U99" s="119" t="s">
        <v>32</v>
      </c>
      <c r="V99" s="119" t="s">
        <v>33</v>
      </c>
      <c r="W99" s="122" t="s">
        <v>55</v>
      </c>
      <c r="X99" s="368" t="s">
        <v>27</v>
      </c>
      <c r="Y99" s="367" t="s">
        <v>28</v>
      </c>
      <c r="Z99" s="364" t="s">
        <v>29</v>
      </c>
      <c r="AA99" s="332" t="s">
        <v>30</v>
      </c>
      <c r="AB99" s="364" t="s">
        <v>31</v>
      </c>
      <c r="AC99" s="364" t="s">
        <v>32</v>
      </c>
      <c r="AD99" s="364" t="s">
        <v>33</v>
      </c>
      <c r="AE99" s="364" t="s">
        <v>34</v>
      </c>
      <c r="AF99" s="365" t="s">
        <v>128</v>
      </c>
      <c r="AG99" s="285"/>
      <c r="AH99" s="76"/>
      <c r="AI99" s="76"/>
      <c r="AJ99" s="76"/>
      <c r="AK99" s="76"/>
      <c r="AL99" s="87"/>
      <c r="AM99" s="86"/>
      <c r="AN99" s="88"/>
      <c r="AO99" s="89"/>
      <c r="AP99" s="89"/>
      <c r="AQ99" s="89"/>
    </row>
    <row r="100" spans="2:43" s="90" customFormat="1" x14ac:dyDescent="0.3">
      <c r="B100" s="285"/>
      <c r="C100" s="359"/>
      <c r="D100" s="352"/>
      <c r="E100" s="322"/>
      <c r="F100" s="325"/>
      <c r="G100" s="349"/>
      <c r="H100" s="354"/>
      <c r="I100" s="123" t="s">
        <v>56</v>
      </c>
      <c r="J100" s="123" t="s">
        <v>56</v>
      </c>
      <c r="K100" s="124" t="s">
        <v>57</v>
      </c>
      <c r="L100" s="354"/>
      <c r="M100" s="123" t="s">
        <v>58</v>
      </c>
      <c r="N100" s="356"/>
      <c r="O100" s="123" t="s">
        <v>59</v>
      </c>
      <c r="P100" s="123" t="s">
        <v>60</v>
      </c>
      <c r="Q100" s="356"/>
      <c r="R100" s="356"/>
      <c r="S100" s="123" t="s">
        <v>61</v>
      </c>
      <c r="T100" s="123" t="s">
        <v>62</v>
      </c>
      <c r="U100" s="123" t="s">
        <v>63</v>
      </c>
      <c r="V100" s="123" t="s">
        <v>64</v>
      </c>
      <c r="W100" s="125" t="s">
        <v>65</v>
      </c>
      <c r="X100" s="369"/>
      <c r="Y100" s="354"/>
      <c r="Z100" s="356"/>
      <c r="AA100" s="333"/>
      <c r="AB100" s="356"/>
      <c r="AC100" s="356"/>
      <c r="AD100" s="356"/>
      <c r="AE100" s="356"/>
      <c r="AF100" s="366"/>
      <c r="AG100" s="285"/>
      <c r="AH100" s="76"/>
      <c r="AI100" s="76"/>
      <c r="AJ100" s="76"/>
      <c r="AK100" s="76"/>
      <c r="AL100" s="87"/>
      <c r="AM100" s="86"/>
      <c r="AN100" s="88"/>
      <c r="AO100" s="89"/>
      <c r="AP100" s="89"/>
      <c r="AQ100" s="89"/>
    </row>
    <row r="101" spans="2:43" s="90" customFormat="1" ht="21" customHeight="1" x14ac:dyDescent="0.3">
      <c r="B101" s="95"/>
      <c r="C101" s="96" t="s">
        <v>97</v>
      </c>
      <c r="D101" s="97"/>
      <c r="E101" s="97"/>
      <c r="F101" s="97"/>
      <c r="G101" s="97" t="s">
        <v>237</v>
      </c>
      <c r="H101" s="98">
        <f>SUM(I101:K101)</f>
        <v>536311</v>
      </c>
      <c r="I101" s="99">
        <v>400526</v>
      </c>
      <c r="J101" s="100"/>
      <c r="K101" s="101">
        <v>135785</v>
      </c>
      <c r="L101" s="102">
        <v>8371328</v>
      </c>
      <c r="M101" s="103">
        <f>H101/L101</f>
        <v>6.4065223582208217E-2</v>
      </c>
      <c r="N101" s="99">
        <v>14214</v>
      </c>
      <c r="O101" s="104">
        <f>N101/L101</f>
        <v>1.6979384871790952E-3</v>
      </c>
      <c r="P101" s="104">
        <f>Q101/N101</f>
        <v>0.45201913606303645</v>
      </c>
      <c r="Q101" s="99">
        <v>6425</v>
      </c>
      <c r="R101" s="99">
        <v>5860</v>
      </c>
      <c r="S101" s="104">
        <f>R101/Q101</f>
        <v>0.9120622568093385</v>
      </c>
      <c r="T101" s="106">
        <f>H101/Q101</f>
        <v>83.472529182879384</v>
      </c>
      <c r="U101" s="106">
        <f>H101/R101</f>
        <v>91.520648464163827</v>
      </c>
      <c r="V101" s="99">
        <f>R101*X101</f>
        <v>922012.4</v>
      </c>
      <c r="W101" s="105">
        <f>V101/H101</f>
        <v>1.7191748817383943</v>
      </c>
      <c r="X101" s="107">
        <v>157.34</v>
      </c>
      <c r="Y101" s="98">
        <v>1216</v>
      </c>
      <c r="Z101" s="106">
        <v>1106</v>
      </c>
      <c r="AA101" s="104">
        <f>Z101/Y101</f>
        <v>0.90953947368421051</v>
      </c>
      <c r="AB101" s="106">
        <f>H101/Y101</f>
        <v>441.04523026315792</v>
      </c>
      <c r="AC101" s="106">
        <f>H101/Z101</f>
        <v>484.91048824593128</v>
      </c>
      <c r="AD101" s="106">
        <f>Z101*AF101</f>
        <v>203351.7069349802</v>
      </c>
      <c r="AE101" s="105">
        <f>AD101/H101</f>
        <v>0.37916751089382877</v>
      </c>
      <c r="AF101" s="108">
        <v>183.86230283452099</v>
      </c>
      <c r="AG101" s="95"/>
      <c r="AH101" s="76"/>
      <c r="AI101" s="76"/>
      <c r="AJ101" s="76"/>
      <c r="AK101" s="76"/>
      <c r="AL101" s="87"/>
      <c r="AM101" s="86"/>
      <c r="AN101" s="88"/>
      <c r="AO101" s="89"/>
      <c r="AP101" s="89"/>
      <c r="AQ101" s="89"/>
    </row>
    <row r="102" spans="2:43" s="91" customFormat="1" x14ac:dyDescent="0.3">
      <c r="D102" s="71"/>
      <c r="E102" s="71"/>
      <c r="F102" s="71"/>
      <c r="H102" s="71"/>
      <c r="I102" s="72"/>
      <c r="J102" s="72"/>
      <c r="K102" s="72"/>
      <c r="L102" s="73"/>
      <c r="M102" s="74"/>
      <c r="N102" s="73"/>
      <c r="O102" s="92"/>
      <c r="P102" s="75"/>
      <c r="Q102" s="75"/>
      <c r="R102" s="73"/>
      <c r="S102" s="73"/>
      <c r="T102" s="69"/>
      <c r="U102" s="75"/>
      <c r="V102" s="73"/>
      <c r="W102" s="73"/>
      <c r="X102" s="73"/>
      <c r="Y102" s="76"/>
      <c r="Z102" s="73"/>
      <c r="AA102" s="73"/>
      <c r="AB102" s="73"/>
      <c r="AC102" s="73"/>
      <c r="AD102" s="75"/>
      <c r="AE102" s="75"/>
      <c r="AF102" s="75"/>
      <c r="AG102" s="75"/>
      <c r="AH102" s="76"/>
      <c r="AI102" s="76"/>
      <c r="AJ102" s="76"/>
      <c r="AK102" s="76"/>
      <c r="AL102" s="78"/>
      <c r="AM102" s="78"/>
    </row>
  </sheetData>
  <mergeCells count="162">
    <mergeCell ref="B99:B100"/>
    <mergeCell ref="H99:H100"/>
    <mergeCell ref="L99:L100"/>
    <mergeCell ref="N99:N100"/>
    <mergeCell ref="Q99:Q100"/>
    <mergeCell ref="R99:R100"/>
    <mergeCell ref="F97:F100"/>
    <mergeCell ref="H97:K97"/>
    <mergeCell ref="L97:X98"/>
    <mergeCell ref="H98:K98"/>
    <mergeCell ref="X99:X100"/>
    <mergeCell ref="B97:B98"/>
    <mergeCell ref="C97:C100"/>
    <mergeCell ref="G97:G100"/>
    <mergeCell ref="D97:D100"/>
    <mergeCell ref="E97:E100"/>
    <mergeCell ref="AG81:AG82"/>
    <mergeCell ref="H82:K82"/>
    <mergeCell ref="AC83:AC84"/>
    <mergeCell ref="AD83:AD84"/>
    <mergeCell ref="AE83:AE84"/>
    <mergeCell ref="AF83:AF84"/>
    <mergeCell ref="AG83:AG84"/>
    <mergeCell ref="AA83:AA84"/>
    <mergeCell ref="AB83:AB84"/>
    <mergeCell ref="R83:R84"/>
    <mergeCell ref="AB99:AB100"/>
    <mergeCell ref="AC99:AC100"/>
    <mergeCell ref="AD99:AD100"/>
    <mergeCell ref="AE99:AE100"/>
    <mergeCell ref="AF99:AF100"/>
    <mergeCell ref="AG99:AG100"/>
    <mergeCell ref="Y97:AF98"/>
    <mergeCell ref="AG97:AG98"/>
    <mergeCell ref="Y99:Y100"/>
    <mergeCell ref="Z99:Z100"/>
    <mergeCell ref="AA99:AA100"/>
    <mergeCell ref="B81:B82"/>
    <mergeCell ref="C81:C84"/>
    <mergeCell ref="G81:G84"/>
    <mergeCell ref="D81:D84"/>
    <mergeCell ref="E81:E84"/>
    <mergeCell ref="F81:F84"/>
    <mergeCell ref="H81:K81"/>
    <mergeCell ref="L81:X82"/>
    <mergeCell ref="Y81:AF82"/>
    <mergeCell ref="X83:X84"/>
    <mergeCell ref="Y83:Y84"/>
    <mergeCell ref="Z83:Z84"/>
    <mergeCell ref="B83:B84"/>
    <mergeCell ref="H83:H84"/>
    <mergeCell ref="L83:L84"/>
    <mergeCell ref="N83:N84"/>
    <mergeCell ref="Q83:Q84"/>
    <mergeCell ref="B66:B67"/>
    <mergeCell ref="H66:H67"/>
    <mergeCell ref="L66:L67"/>
    <mergeCell ref="N66:N67"/>
    <mergeCell ref="Q66:Q67"/>
    <mergeCell ref="R66:R67"/>
    <mergeCell ref="F64:F67"/>
    <mergeCell ref="H64:K64"/>
    <mergeCell ref="L64:X65"/>
    <mergeCell ref="H65:K65"/>
    <mergeCell ref="X66:X67"/>
    <mergeCell ref="B64:B65"/>
    <mergeCell ref="C64:C67"/>
    <mergeCell ref="G64:G67"/>
    <mergeCell ref="D64:D67"/>
    <mergeCell ref="E64:E67"/>
    <mergeCell ref="AG46:AG47"/>
    <mergeCell ref="H47:K47"/>
    <mergeCell ref="AC48:AC49"/>
    <mergeCell ref="AD48:AD49"/>
    <mergeCell ref="AE48:AE49"/>
    <mergeCell ref="AF48:AF49"/>
    <mergeCell ref="AG48:AG49"/>
    <mergeCell ref="AA48:AA49"/>
    <mergeCell ref="AB48:AB49"/>
    <mergeCell ref="R48:R49"/>
    <mergeCell ref="AB66:AB67"/>
    <mergeCell ref="AC66:AC67"/>
    <mergeCell ref="AD66:AD67"/>
    <mergeCell ref="AE66:AE67"/>
    <mergeCell ref="AF66:AF67"/>
    <mergeCell ref="AG66:AG67"/>
    <mergeCell ref="Y64:AF65"/>
    <mergeCell ref="AG64:AG65"/>
    <mergeCell ref="Y66:Y67"/>
    <mergeCell ref="Z66:Z67"/>
    <mergeCell ref="AA66:AA67"/>
    <mergeCell ref="B46:B47"/>
    <mergeCell ref="C46:C49"/>
    <mergeCell ref="G46:G49"/>
    <mergeCell ref="D46:D49"/>
    <mergeCell ref="E46:E49"/>
    <mergeCell ref="F46:F49"/>
    <mergeCell ref="H46:K46"/>
    <mergeCell ref="L46:X47"/>
    <mergeCell ref="Y46:AF47"/>
    <mergeCell ref="X48:X49"/>
    <mergeCell ref="Y48:Y49"/>
    <mergeCell ref="Z48:Z49"/>
    <mergeCell ref="B48:B49"/>
    <mergeCell ref="H48:H49"/>
    <mergeCell ref="L48:L49"/>
    <mergeCell ref="N48:N49"/>
    <mergeCell ref="Q48:Q49"/>
    <mergeCell ref="B31:B32"/>
    <mergeCell ref="H31:H32"/>
    <mergeCell ref="L31:L32"/>
    <mergeCell ref="N31:N32"/>
    <mergeCell ref="Q31:Q32"/>
    <mergeCell ref="R31:R32"/>
    <mergeCell ref="F29:F32"/>
    <mergeCell ref="H29:K29"/>
    <mergeCell ref="L29:X30"/>
    <mergeCell ref="H30:K30"/>
    <mergeCell ref="X31:X32"/>
    <mergeCell ref="B29:B30"/>
    <mergeCell ref="C29:C32"/>
    <mergeCell ref="G29:G32"/>
    <mergeCell ref="D29:D32"/>
    <mergeCell ref="E29:E32"/>
    <mergeCell ref="AG12:AG13"/>
    <mergeCell ref="H13:K13"/>
    <mergeCell ref="AC14:AC15"/>
    <mergeCell ref="AD14:AD15"/>
    <mergeCell ref="AE14:AE15"/>
    <mergeCell ref="AF14:AF15"/>
    <mergeCell ref="AG14:AG15"/>
    <mergeCell ref="AA14:AA15"/>
    <mergeCell ref="AB14:AB15"/>
    <mergeCell ref="R14:R15"/>
    <mergeCell ref="X14:X15"/>
    <mergeCell ref="Y14:Y15"/>
    <mergeCell ref="Z14:Z15"/>
    <mergeCell ref="Y12:AF13"/>
    <mergeCell ref="AB31:AB32"/>
    <mergeCell ref="AC31:AC32"/>
    <mergeCell ref="AD31:AD32"/>
    <mergeCell ref="AE31:AE32"/>
    <mergeCell ref="AF31:AF32"/>
    <mergeCell ref="AG31:AG32"/>
    <mergeCell ref="Y29:AF30"/>
    <mergeCell ref="AG29:AG30"/>
    <mergeCell ref="Y31:Y32"/>
    <mergeCell ref="Z31:Z32"/>
    <mergeCell ref="AA31:AA32"/>
    <mergeCell ref="B14:B15"/>
    <mergeCell ref="H14:H15"/>
    <mergeCell ref="L14:L15"/>
    <mergeCell ref="N14:N15"/>
    <mergeCell ref="Q14:Q15"/>
    <mergeCell ref="B12:B13"/>
    <mergeCell ref="C12:C15"/>
    <mergeCell ref="G12:G15"/>
    <mergeCell ref="D12:D15"/>
    <mergeCell ref="E12:E15"/>
    <mergeCell ref="F12:F15"/>
    <mergeCell ref="H12:K12"/>
    <mergeCell ref="L12:X1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D515-3659-4EDF-8DCC-33D3E7514750}">
  <sheetPr>
    <pageSetUpPr autoPageBreaks="0"/>
  </sheetPr>
  <dimension ref="A1:AQ142"/>
  <sheetViews>
    <sheetView showGridLines="0" zoomScale="85" zoomScaleNormal="85" workbookViewId="0">
      <pane xSplit="7" ySplit="17" topLeftCell="H18" activePane="bottomRight" state="frozen"/>
      <selection pane="topRight" activeCell="H1" sqref="H1"/>
      <selection pane="bottomLeft" activeCell="A18" sqref="A18"/>
      <selection pane="bottomRight" activeCell="D50" sqref="D50"/>
    </sheetView>
  </sheetViews>
  <sheetFormatPr defaultColWidth="8.6640625" defaultRowHeight="16.5" x14ac:dyDescent="0.3"/>
  <cols>
    <col min="1" max="1" width="4" style="69" customWidth="1"/>
    <col min="2" max="2" width="14.4140625" style="69" customWidth="1"/>
    <col min="3" max="3" width="26.9140625" style="225" customWidth="1"/>
    <col min="4" max="4" width="22.9140625" style="225" customWidth="1"/>
    <col min="5" max="5" width="28.4140625" style="225" customWidth="1"/>
    <col min="6" max="7" width="22" style="225" customWidth="1"/>
    <col min="8" max="8" width="21.6640625" style="225" customWidth="1"/>
    <col min="9" max="11" width="21.6640625" style="225" hidden="1" customWidth="1"/>
    <col min="12" max="14" width="25.6640625" style="225" hidden="1" customWidth="1"/>
    <col min="15" max="16" width="25.6640625" style="225" customWidth="1"/>
    <col min="17" max="17" width="25.6640625" style="225" hidden="1" customWidth="1"/>
    <col min="18" max="19" width="25.6640625" style="225" customWidth="1"/>
    <col min="20" max="20" width="25.6640625" style="225" hidden="1" customWidth="1"/>
    <col min="21" max="32" width="25.6640625" style="225" customWidth="1"/>
    <col min="33" max="33" width="33.33203125" style="225" customWidth="1"/>
    <col min="34" max="16384" width="8.6640625" style="225"/>
  </cols>
  <sheetData>
    <row r="1" spans="1:43" x14ac:dyDescent="0.3">
      <c r="C1" s="220"/>
      <c r="D1" s="221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4"/>
      <c r="AP1" s="224"/>
      <c r="AQ1" s="224"/>
    </row>
    <row r="2" spans="1:43" ht="15" customHeight="1" x14ac:dyDescent="0.3">
      <c r="C2" s="70" t="s">
        <v>38</v>
      </c>
      <c r="D2" s="71"/>
      <c r="E2" s="71"/>
      <c r="F2" s="71"/>
      <c r="G2" s="71"/>
      <c r="H2" s="71"/>
      <c r="I2" s="72"/>
      <c r="J2" s="72"/>
      <c r="K2" s="72"/>
      <c r="L2" s="72"/>
      <c r="M2" s="226"/>
      <c r="N2" s="72"/>
      <c r="O2" s="71"/>
      <c r="P2" s="227"/>
      <c r="Q2" s="227"/>
      <c r="R2" s="72"/>
      <c r="S2" s="72"/>
      <c r="T2" s="71"/>
      <c r="U2" s="227"/>
      <c r="V2" s="72"/>
      <c r="W2" s="72"/>
      <c r="X2" s="72"/>
      <c r="Y2" s="228"/>
      <c r="Z2" s="72"/>
      <c r="AA2" s="72"/>
      <c r="AB2" s="72"/>
      <c r="AC2" s="72"/>
      <c r="AD2" s="227"/>
      <c r="AE2" s="72"/>
      <c r="AF2" s="72"/>
      <c r="AG2" s="229"/>
      <c r="AH2" s="229"/>
      <c r="AI2" s="229"/>
      <c r="AJ2" s="230"/>
      <c r="AK2" s="231"/>
      <c r="AL2" s="231"/>
      <c r="AM2" s="231"/>
      <c r="AN2" s="224"/>
      <c r="AO2" s="224"/>
      <c r="AP2" s="224"/>
    </row>
    <row r="3" spans="1:43" ht="15" customHeight="1" x14ac:dyDescent="0.3">
      <c r="C3" s="70" t="s">
        <v>129</v>
      </c>
      <c r="D3" s="71"/>
      <c r="E3" s="71"/>
      <c r="F3" s="71"/>
      <c r="G3" s="71"/>
      <c r="H3" s="71"/>
      <c r="I3" s="72"/>
      <c r="J3" s="72"/>
      <c r="K3" s="72"/>
      <c r="L3" s="72"/>
      <c r="M3" s="226"/>
      <c r="N3" s="72"/>
      <c r="O3" s="71"/>
      <c r="P3" s="227"/>
      <c r="Q3" s="227"/>
      <c r="R3" s="72"/>
      <c r="S3" s="72"/>
      <c r="T3" s="71"/>
      <c r="U3" s="227"/>
      <c r="V3" s="72"/>
      <c r="W3" s="72"/>
      <c r="X3" s="72"/>
      <c r="Y3" s="228"/>
      <c r="Z3" s="72"/>
      <c r="AA3" s="72"/>
      <c r="AB3" s="72"/>
      <c r="AC3" s="72"/>
      <c r="AD3" s="227"/>
      <c r="AE3" s="72"/>
      <c r="AF3" s="72"/>
      <c r="AG3" s="229"/>
      <c r="AH3" s="229"/>
      <c r="AI3" s="229"/>
      <c r="AJ3" s="230"/>
      <c r="AK3" s="231"/>
      <c r="AL3" s="231"/>
      <c r="AM3" s="231"/>
      <c r="AN3" s="224"/>
      <c r="AO3" s="224"/>
      <c r="AP3" s="224"/>
    </row>
    <row r="4" spans="1:43" ht="15" customHeight="1" x14ac:dyDescent="0.3">
      <c r="C4" s="79" t="s">
        <v>68</v>
      </c>
      <c r="D4" s="71"/>
      <c r="E4" s="71"/>
      <c r="F4" s="71"/>
      <c r="G4" s="71"/>
      <c r="H4" s="71"/>
      <c r="I4" s="72"/>
      <c r="J4" s="72"/>
      <c r="K4" s="72"/>
      <c r="L4" s="72"/>
      <c r="M4" s="226"/>
      <c r="N4" s="72"/>
      <c r="O4" s="71"/>
      <c r="P4" s="227"/>
      <c r="Q4" s="227"/>
      <c r="R4" s="72"/>
      <c r="S4" s="72"/>
      <c r="T4" s="71"/>
      <c r="U4" s="227"/>
      <c r="V4" s="72"/>
      <c r="W4" s="72"/>
      <c r="X4" s="72"/>
      <c r="Y4" s="228"/>
      <c r="Z4" s="72"/>
      <c r="AA4" s="72"/>
      <c r="AB4" s="72"/>
      <c r="AC4" s="72"/>
      <c r="AD4" s="227"/>
      <c r="AE4" s="72"/>
      <c r="AF4" s="72"/>
      <c r="AG4" s="229"/>
      <c r="AH4" s="229"/>
      <c r="AI4" s="229"/>
      <c r="AJ4" s="230"/>
      <c r="AK4" s="231"/>
      <c r="AL4" s="231"/>
      <c r="AM4" s="231"/>
      <c r="AN4" s="224"/>
      <c r="AO4" s="224"/>
      <c r="AP4" s="224"/>
    </row>
    <row r="5" spans="1:43" ht="15" customHeight="1" x14ac:dyDescent="0.3">
      <c r="C5" s="79" t="s">
        <v>69</v>
      </c>
      <c r="D5" s="71"/>
      <c r="E5" s="71"/>
      <c r="F5" s="71"/>
      <c r="G5" s="71"/>
      <c r="H5" s="71"/>
      <c r="I5" s="72"/>
      <c r="J5" s="72"/>
      <c r="K5" s="72"/>
      <c r="L5" s="72"/>
      <c r="M5" s="226"/>
      <c r="N5" s="72"/>
      <c r="O5" s="71"/>
      <c r="P5" s="227"/>
      <c r="Q5" s="227"/>
      <c r="R5" s="72"/>
      <c r="S5" s="72"/>
      <c r="T5" s="71"/>
      <c r="U5" s="227"/>
      <c r="V5" s="72"/>
      <c r="W5" s="72"/>
      <c r="X5" s="72"/>
      <c r="Y5" s="228"/>
      <c r="Z5" s="72"/>
      <c r="AA5" s="72"/>
      <c r="AB5" s="72"/>
      <c r="AC5" s="72"/>
      <c r="AD5" s="227"/>
      <c r="AE5" s="72"/>
      <c r="AF5" s="72"/>
      <c r="AG5" s="229"/>
      <c r="AH5" s="229"/>
      <c r="AI5" s="229"/>
      <c r="AJ5" s="230"/>
      <c r="AK5" s="231"/>
      <c r="AL5" s="231"/>
      <c r="AM5" s="231"/>
      <c r="AN5" s="224"/>
      <c r="AO5" s="224"/>
      <c r="AP5" s="224"/>
    </row>
    <row r="6" spans="1:43" ht="15" customHeight="1" x14ac:dyDescent="0.3">
      <c r="C6" s="79"/>
      <c r="D6" s="71"/>
      <c r="E6" s="71"/>
      <c r="F6" s="71"/>
      <c r="G6" s="71"/>
      <c r="H6" s="71"/>
      <c r="I6" s="72"/>
      <c r="J6" s="72"/>
      <c r="K6" s="72"/>
      <c r="L6" s="72"/>
      <c r="M6" s="226"/>
      <c r="N6" s="72"/>
      <c r="O6" s="71"/>
      <c r="P6" s="227"/>
      <c r="Q6" s="227"/>
      <c r="R6" s="72"/>
      <c r="S6" s="72"/>
      <c r="T6" s="71"/>
      <c r="U6" s="227"/>
      <c r="V6" s="72"/>
      <c r="W6" s="72"/>
      <c r="X6" s="72"/>
      <c r="Y6" s="228"/>
      <c r="Z6" s="72"/>
      <c r="AA6" s="72"/>
      <c r="AB6" s="72"/>
      <c r="AC6" s="72"/>
      <c r="AD6" s="227"/>
      <c r="AE6" s="72"/>
      <c r="AF6" s="72"/>
      <c r="AG6" s="229"/>
      <c r="AH6" s="229"/>
      <c r="AI6" s="229"/>
      <c r="AJ6" s="230"/>
      <c r="AK6" s="231"/>
      <c r="AL6" s="231"/>
      <c r="AM6" s="231"/>
      <c r="AN6" s="224"/>
      <c r="AO6" s="224"/>
      <c r="AP6" s="224"/>
    </row>
    <row r="7" spans="1:43" s="127" customFormat="1" ht="22.5" x14ac:dyDescent="0.3">
      <c r="C7" s="128" t="s">
        <v>244</v>
      </c>
      <c r="D7" s="129"/>
      <c r="E7" s="129"/>
      <c r="F7" s="129"/>
      <c r="G7" s="129"/>
      <c r="H7" s="129"/>
      <c r="I7" s="130"/>
      <c r="J7" s="131"/>
      <c r="K7" s="131"/>
      <c r="L7" s="131"/>
      <c r="M7" s="132"/>
      <c r="N7" s="131"/>
      <c r="O7" s="133"/>
      <c r="P7" s="133"/>
      <c r="Q7" s="133"/>
      <c r="R7" s="131"/>
      <c r="S7" s="131"/>
      <c r="U7" s="133"/>
      <c r="V7" s="131"/>
      <c r="W7" s="131"/>
      <c r="X7" s="131"/>
      <c r="Y7" s="134"/>
      <c r="Z7" s="131"/>
      <c r="AA7" s="131"/>
      <c r="AB7" s="131"/>
      <c r="AC7" s="131"/>
      <c r="AD7" s="133"/>
      <c r="AE7" s="131"/>
      <c r="AF7" s="131"/>
      <c r="AG7" s="131"/>
      <c r="AH7" s="134"/>
      <c r="AI7" s="131"/>
      <c r="AJ7" s="135"/>
      <c r="AK7" s="131"/>
      <c r="AL7" s="131"/>
      <c r="AM7" s="131"/>
    </row>
    <row r="8" spans="1:43" x14ac:dyDescent="0.3">
      <c r="C8" s="80" t="s">
        <v>39</v>
      </c>
      <c r="D8" s="80" t="s">
        <v>99</v>
      </c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30"/>
      <c r="AK8" s="231"/>
      <c r="AL8" s="231"/>
      <c r="AM8" s="231"/>
      <c r="AN8" s="224"/>
      <c r="AO8" s="224"/>
      <c r="AP8" s="224"/>
    </row>
    <row r="9" spans="1:43" x14ac:dyDescent="0.3">
      <c r="C9" s="82" t="s">
        <v>1</v>
      </c>
      <c r="D9" s="82" t="s">
        <v>130</v>
      </c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30"/>
      <c r="AK9" s="231"/>
      <c r="AL9" s="231"/>
      <c r="AM9" s="231"/>
      <c r="AN9" s="224"/>
      <c r="AO9" s="224"/>
      <c r="AP9" s="224"/>
    </row>
    <row r="10" spans="1:43" x14ac:dyDescent="0.3">
      <c r="C10" s="232" t="s">
        <v>131</v>
      </c>
      <c r="D10" s="379" t="s">
        <v>132</v>
      </c>
      <c r="E10" s="379"/>
      <c r="F10" s="379"/>
      <c r="G10" s="37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30"/>
      <c r="AK10" s="231"/>
      <c r="AL10" s="231"/>
      <c r="AM10" s="231"/>
      <c r="AN10" s="224"/>
      <c r="AO10" s="224"/>
      <c r="AP10" s="224"/>
    </row>
    <row r="11" spans="1:43" x14ac:dyDescent="0.3">
      <c r="C11" s="232"/>
      <c r="D11" s="374" t="s">
        <v>133</v>
      </c>
      <c r="E11" s="374"/>
      <c r="F11" s="374"/>
      <c r="G11" s="374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30"/>
      <c r="AK11" s="231"/>
      <c r="AL11" s="231"/>
      <c r="AM11" s="231"/>
      <c r="AN11" s="224"/>
      <c r="AO11" s="224"/>
      <c r="AP11" s="224"/>
    </row>
    <row r="12" spans="1:43" x14ac:dyDescent="0.3">
      <c r="C12" s="232"/>
      <c r="D12" s="374" t="s">
        <v>134</v>
      </c>
      <c r="E12" s="374"/>
      <c r="F12" s="374"/>
      <c r="G12" s="374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30"/>
      <c r="AK12" s="231"/>
      <c r="AL12" s="231"/>
      <c r="AM12" s="231"/>
      <c r="AN12" s="224"/>
      <c r="AO12" s="224"/>
      <c r="AP12" s="224"/>
    </row>
    <row r="13" spans="1:43" x14ac:dyDescent="0.3">
      <c r="A13" s="90"/>
      <c r="B13" s="285"/>
      <c r="C13" s="234"/>
      <c r="D13" s="223"/>
      <c r="E13" s="235"/>
      <c r="F13" s="235"/>
      <c r="G13" s="235"/>
      <c r="H13" s="235"/>
      <c r="I13" s="235"/>
      <c r="J13" s="223"/>
      <c r="K13" s="223"/>
      <c r="L13" s="223"/>
      <c r="M13" s="223"/>
      <c r="N13" s="223"/>
      <c r="O13" s="223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4"/>
      <c r="AP13" s="224"/>
      <c r="AQ13" s="224"/>
    </row>
    <row r="14" spans="1:43" ht="16.5" customHeight="1" x14ac:dyDescent="0.3">
      <c r="A14" s="90"/>
      <c r="B14" s="285"/>
      <c r="C14" s="300" t="s">
        <v>40</v>
      </c>
      <c r="D14" s="313" t="s">
        <v>71</v>
      </c>
      <c r="E14" s="307" t="s">
        <v>72</v>
      </c>
      <c r="F14" s="317" t="s">
        <v>73</v>
      </c>
      <c r="G14" s="303" t="s">
        <v>41</v>
      </c>
      <c r="H14" s="306" t="s">
        <v>42</v>
      </c>
      <c r="I14" s="307"/>
      <c r="J14" s="307"/>
      <c r="K14" s="308"/>
      <c r="L14" s="300" t="s">
        <v>135</v>
      </c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10"/>
      <c r="Y14" s="300" t="s">
        <v>43</v>
      </c>
      <c r="Z14" s="309"/>
      <c r="AA14" s="309"/>
      <c r="AB14" s="309"/>
      <c r="AC14" s="309"/>
      <c r="AD14" s="309"/>
      <c r="AE14" s="309"/>
      <c r="AF14" s="310"/>
      <c r="AG14" s="372"/>
      <c r="AH14" s="370"/>
      <c r="AI14" s="370"/>
      <c r="AJ14" s="370"/>
      <c r="AK14" s="370"/>
      <c r="AL14" s="370"/>
      <c r="AM14" s="370"/>
      <c r="AN14" s="370"/>
      <c r="AO14" s="370"/>
      <c r="AP14" s="370"/>
      <c r="AQ14" s="370"/>
    </row>
    <row r="15" spans="1:43" ht="16.5" customHeight="1" x14ac:dyDescent="0.45">
      <c r="A15" s="90"/>
      <c r="B15" s="118"/>
      <c r="C15" s="301"/>
      <c r="D15" s="314"/>
      <c r="E15" s="316"/>
      <c r="F15" s="318"/>
      <c r="G15" s="304"/>
      <c r="H15" s="296" t="s">
        <v>44</v>
      </c>
      <c r="I15" s="297"/>
      <c r="J15" s="297"/>
      <c r="K15" s="298"/>
      <c r="L15" s="302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2"/>
      <c r="Y15" s="302"/>
      <c r="Z15" s="311"/>
      <c r="AA15" s="311"/>
      <c r="AB15" s="311"/>
      <c r="AC15" s="311"/>
      <c r="AD15" s="311"/>
      <c r="AE15" s="311"/>
      <c r="AF15" s="312"/>
      <c r="AG15" s="372"/>
      <c r="AH15" s="370"/>
      <c r="AI15" s="370"/>
      <c r="AJ15" s="370"/>
      <c r="AK15" s="370"/>
      <c r="AL15" s="370"/>
      <c r="AM15" s="370"/>
      <c r="AN15" s="370"/>
      <c r="AO15" s="370"/>
      <c r="AP15" s="370"/>
      <c r="AQ15" s="370"/>
    </row>
    <row r="16" spans="1:43" ht="16.5" customHeight="1" x14ac:dyDescent="0.45">
      <c r="A16" s="90"/>
      <c r="B16" s="118"/>
      <c r="C16" s="301"/>
      <c r="D16" s="314"/>
      <c r="E16" s="316"/>
      <c r="F16" s="318"/>
      <c r="G16" s="304"/>
      <c r="H16" s="299" t="s">
        <v>45</v>
      </c>
      <c r="I16" s="143" t="s">
        <v>46</v>
      </c>
      <c r="J16" s="143" t="s">
        <v>47</v>
      </c>
      <c r="K16" s="144" t="s">
        <v>48</v>
      </c>
      <c r="L16" s="299" t="s">
        <v>49</v>
      </c>
      <c r="M16" s="143" t="s">
        <v>50</v>
      </c>
      <c r="N16" s="289" t="s">
        <v>51</v>
      </c>
      <c r="O16" s="145" t="s">
        <v>52</v>
      </c>
      <c r="P16" s="143" t="s">
        <v>53</v>
      </c>
      <c r="Q16" s="289" t="s">
        <v>13</v>
      </c>
      <c r="R16" s="289" t="s">
        <v>14</v>
      </c>
      <c r="S16" s="143" t="s">
        <v>54</v>
      </c>
      <c r="T16" s="143" t="s">
        <v>31</v>
      </c>
      <c r="U16" s="143" t="s">
        <v>32</v>
      </c>
      <c r="V16" s="143" t="s">
        <v>33</v>
      </c>
      <c r="W16" s="146" t="s">
        <v>55</v>
      </c>
      <c r="X16" s="290" t="s">
        <v>27</v>
      </c>
      <c r="Y16" s="292" t="s">
        <v>28</v>
      </c>
      <c r="Z16" s="281" t="s">
        <v>29</v>
      </c>
      <c r="AA16" s="294" t="s">
        <v>30</v>
      </c>
      <c r="AB16" s="281" t="s">
        <v>31</v>
      </c>
      <c r="AC16" s="281" t="s">
        <v>32</v>
      </c>
      <c r="AD16" s="281" t="s">
        <v>33</v>
      </c>
      <c r="AE16" s="281" t="s">
        <v>34</v>
      </c>
      <c r="AF16" s="283" t="s">
        <v>128</v>
      </c>
      <c r="AG16" s="371"/>
      <c r="AH16" s="370"/>
      <c r="AI16" s="370"/>
      <c r="AJ16" s="370"/>
      <c r="AK16" s="370"/>
      <c r="AL16" s="370"/>
      <c r="AM16" s="370"/>
      <c r="AN16" s="370"/>
      <c r="AO16" s="370"/>
      <c r="AP16" s="370"/>
      <c r="AQ16" s="370"/>
    </row>
    <row r="17" spans="1:43" ht="16.5" customHeight="1" x14ac:dyDescent="0.45">
      <c r="A17" s="90"/>
      <c r="B17" s="118"/>
      <c r="C17" s="302"/>
      <c r="D17" s="315"/>
      <c r="E17" s="297"/>
      <c r="F17" s="319"/>
      <c r="G17" s="305"/>
      <c r="H17" s="293"/>
      <c r="I17" s="148" t="s">
        <v>56</v>
      </c>
      <c r="J17" s="148" t="s">
        <v>56</v>
      </c>
      <c r="K17" s="149" t="s">
        <v>57</v>
      </c>
      <c r="L17" s="293"/>
      <c r="M17" s="148" t="s">
        <v>58</v>
      </c>
      <c r="N17" s="282"/>
      <c r="O17" s="148" t="s">
        <v>59</v>
      </c>
      <c r="P17" s="148" t="s">
        <v>60</v>
      </c>
      <c r="Q17" s="282"/>
      <c r="R17" s="282"/>
      <c r="S17" s="148" t="s">
        <v>61</v>
      </c>
      <c r="T17" s="148" t="s">
        <v>62</v>
      </c>
      <c r="U17" s="148" t="s">
        <v>63</v>
      </c>
      <c r="V17" s="148" t="s">
        <v>64</v>
      </c>
      <c r="W17" s="150" t="s">
        <v>65</v>
      </c>
      <c r="X17" s="291"/>
      <c r="Y17" s="293"/>
      <c r="Z17" s="282"/>
      <c r="AA17" s="295"/>
      <c r="AB17" s="282"/>
      <c r="AC17" s="282"/>
      <c r="AD17" s="282"/>
      <c r="AE17" s="282"/>
      <c r="AF17" s="284"/>
      <c r="AG17" s="371"/>
      <c r="AH17" s="370"/>
      <c r="AI17" s="370"/>
      <c r="AJ17" s="370"/>
      <c r="AK17" s="370"/>
      <c r="AL17" s="370"/>
      <c r="AM17" s="370"/>
      <c r="AN17" s="370"/>
      <c r="AO17" s="370"/>
      <c r="AP17" s="370"/>
      <c r="AQ17" s="370"/>
    </row>
    <row r="18" spans="1:43" ht="17.149999999999999" customHeight="1" x14ac:dyDescent="0.45">
      <c r="A18" s="90"/>
      <c r="B18" s="118"/>
      <c r="C18" s="151" t="s">
        <v>136</v>
      </c>
      <c r="D18" s="152" t="s">
        <v>137</v>
      </c>
      <c r="E18" s="152" t="s">
        <v>138</v>
      </c>
      <c r="F18" s="152" t="s">
        <v>139</v>
      </c>
      <c r="G18" s="153" t="s">
        <v>245</v>
      </c>
      <c r="H18" s="154">
        <f>I18+J18+K18</f>
        <v>1518476.8</v>
      </c>
      <c r="I18" s="155">
        <v>448510.8</v>
      </c>
      <c r="J18" s="156">
        <v>0</v>
      </c>
      <c r="K18" s="157">
        <v>1069966</v>
      </c>
      <c r="L18" s="158">
        <v>15664771</v>
      </c>
      <c r="M18" s="159">
        <f>H18/L18</f>
        <v>9.6935780293245274E-2</v>
      </c>
      <c r="N18" s="155">
        <v>356049</v>
      </c>
      <c r="O18" s="160">
        <f>N18/L18</f>
        <v>2.2729282158034738E-2</v>
      </c>
      <c r="P18" s="160">
        <f>Q18/N18</f>
        <v>5.5326654477333176E-2</v>
      </c>
      <c r="Q18" s="155">
        <v>19699</v>
      </c>
      <c r="R18" s="155">
        <v>17682</v>
      </c>
      <c r="S18" s="160">
        <f>R18/Q18</f>
        <v>0.89760901568607543</v>
      </c>
      <c r="T18" s="162">
        <f>H18/Q18</f>
        <v>77.083953500177671</v>
      </c>
      <c r="U18" s="162">
        <f>H18/R18</f>
        <v>85.876982241827847</v>
      </c>
      <c r="V18" s="155">
        <f>R18*X18</f>
        <v>4061178.9919589092</v>
      </c>
      <c r="W18" s="161">
        <f>V18/H18</f>
        <v>2.6745084231506921</v>
      </c>
      <c r="X18" s="286">
        <v>229.67871236053099</v>
      </c>
      <c r="Y18" s="154">
        <v>1433</v>
      </c>
      <c r="Z18" s="162">
        <v>1295</v>
      </c>
      <c r="AA18" s="160">
        <f>Z18/Y18</f>
        <v>0.90369853454291693</v>
      </c>
      <c r="AB18" s="162">
        <f>H18/Y18</f>
        <v>1059.6488485694347</v>
      </c>
      <c r="AC18" s="162">
        <f>H18/Z18</f>
        <v>1172.5689575289575</v>
      </c>
      <c r="AD18" s="162">
        <f>AF18*Z18</f>
        <v>486288.76618408127</v>
      </c>
      <c r="AE18" s="161">
        <f>AD18/H18</f>
        <v>0.32024774180552595</v>
      </c>
      <c r="AF18" s="163">
        <v>375.5125607599083</v>
      </c>
      <c r="AG18" s="138" t="s">
        <v>140</v>
      </c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</row>
    <row r="19" spans="1:43" ht="17.149999999999999" customHeight="1" x14ac:dyDescent="0.45">
      <c r="A19" s="90"/>
      <c r="B19" s="118"/>
      <c r="C19" s="151" t="s">
        <v>136</v>
      </c>
      <c r="D19" s="152" t="s">
        <v>137</v>
      </c>
      <c r="E19" s="152" t="s">
        <v>141</v>
      </c>
      <c r="F19" s="152" t="s">
        <v>139</v>
      </c>
      <c r="G19" s="153" t="s">
        <v>246</v>
      </c>
      <c r="H19" s="154">
        <f>I19+J19+K19</f>
        <v>2628492.06</v>
      </c>
      <c r="I19" s="155">
        <v>636173.06000000006</v>
      </c>
      <c r="J19" s="156">
        <v>150000</v>
      </c>
      <c r="K19" s="157">
        <v>1842319</v>
      </c>
      <c r="L19" s="158">
        <v>23009184</v>
      </c>
      <c r="M19" s="159">
        <f t="shared" ref="M19:M22" si="0">H19/L19</f>
        <v>0.11423664828791842</v>
      </c>
      <c r="N19" s="155">
        <v>773066</v>
      </c>
      <c r="O19" s="160">
        <f t="shared" ref="O19:O21" si="1">N19/L19</f>
        <v>3.3598149330284814E-2</v>
      </c>
      <c r="P19" s="160">
        <f t="shared" ref="P19:P22" si="2">Q19/N19</f>
        <v>7.854568691418326E-2</v>
      </c>
      <c r="Q19" s="155">
        <v>60721</v>
      </c>
      <c r="R19" s="155">
        <v>53389</v>
      </c>
      <c r="S19" s="160">
        <f>R19/Q19</f>
        <v>0.87925100047759419</v>
      </c>
      <c r="T19" s="162">
        <f t="shared" ref="T19:T22" si="3">H19/Q19</f>
        <v>43.288023253898984</v>
      </c>
      <c r="U19" s="162">
        <f t="shared" ref="U19:U22" si="4">H19/R19</f>
        <v>49.232839348929559</v>
      </c>
      <c r="V19" s="155">
        <f>R19*X18</f>
        <v>12262316.774216389</v>
      </c>
      <c r="W19" s="161">
        <f t="shared" ref="W19:W21" si="5">V19/H19</f>
        <v>4.665152678534775</v>
      </c>
      <c r="X19" s="287"/>
      <c r="Y19" s="154">
        <v>12587</v>
      </c>
      <c r="Z19" s="162">
        <v>10434</v>
      </c>
      <c r="AA19" s="160">
        <f t="shared" ref="AA19:AA20" si="6">Z19/Y19</f>
        <v>0.82895050448875829</v>
      </c>
      <c r="AB19" s="162">
        <f t="shared" ref="AB19:AB20" si="7">H19/Y19</f>
        <v>208.82593628346709</v>
      </c>
      <c r="AC19" s="162">
        <f t="shared" ref="AC19:AC20" si="8">H19/Z19</f>
        <v>251.91604945370904</v>
      </c>
      <c r="AD19" s="162">
        <f t="shared" ref="AD19" si="9">AF19*Z19</f>
        <v>1971602.2000287373</v>
      </c>
      <c r="AE19" s="161">
        <f t="shared" ref="AE19" si="10">AD19/H19</f>
        <v>0.75008870296101915</v>
      </c>
      <c r="AF19" s="163">
        <v>188.95938278979656</v>
      </c>
      <c r="AG19" s="138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</row>
    <row r="20" spans="1:43" ht="17.149999999999999" customHeight="1" x14ac:dyDescent="0.45">
      <c r="A20" s="90"/>
      <c r="B20" s="118"/>
      <c r="C20" s="151" t="s">
        <v>142</v>
      </c>
      <c r="D20" s="152" t="s">
        <v>137</v>
      </c>
      <c r="E20" s="152" t="s">
        <v>143</v>
      </c>
      <c r="F20" s="152" t="s">
        <v>144</v>
      </c>
      <c r="G20" s="153" t="s">
        <v>247</v>
      </c>
      <c r="H20" s="154">
        <f>I20+J20+K20</f>
        <v>208856.41</v>
      </c>
      <c r="I20" s="155">
        <v>100090.41</v>
      </c>
      <c r="J20" s="156">
        <v>0</v>
      </c>
      <c r="K20" s="157">
        <v>108766</v>
      </c>
      <c r="L20" s="158">
        <v>2550706</v>
      </c>
      <c r="M20" s="159">
        <f t="shared" si="0"/>
        <v>8.1881804488639617E-2</v>
      </c>
      <c r="N20" s="155">
        <v>44028</v>
      </c>
      <c r="O20" s="160">
        <f t="shared" si="1"/>
        <v>1.7261103396471408E-2</v>
      </c>
      <c r="P20" s="160">
        <f t="shared" si="2"/>
        <v>4.1882438448260201E-2</v>
      </c>
      <c r="Q20" s="155">
        <v>1844</v>
      </c>
      <c r="R20" s="155">
        <v>1638</v>
      </c>
      <c r="S20" s="160">
        <f t="shared" ref="S20:S22" si="11">R20/Q20</f>
        <v>0.88828633405639912</v>
      </c>
      <c r="T20" s="162">
        <f t="shared" si="3"/>
        <v>113.26269522776573</v>
      </c>
      <c r="U20" s="162">
        <f t="shared" si="4"/>
        <v>127.50696581196581</v>
      </c>
      <c r="V20" s="155">
        <f>R20*X18</f>
        <v>376213.73084654979</v>
      </c>
      <c r="W20" s="161">
        <f t="shared" si="5"/>
        <v>1.8013032534962647</v>
      </c>
      <c r="X20" s="287"/>
      <c r="Y20" s="154">
        <v>143</v>
      </c>
      <c r="Z20" s="162">
        <v>110</v>
      </c>
      <c r="AA20" s="160">
        <f t="shared" si="6"/>
        <v>0.76923076923076927</v>
      </c>
      <c r="AB20" s="162">
        <f t="shared" si="7"/>
        <v>1460.5343356643357</v>
      </c>
      <c r="AC20" s="162">
        <f t="shared" si="8"/>
        <v>1898.6946363636364</v>
      </c>
      <c r="AD20" s="162">
        <f>AF20*Z20</f>
        <v>45100</v>
      </c>
      <c r="AE20" s="161">
        <f>AD20/H20</f>
        <v>0.21593783020592952</v>
      </c>
      <c r="AF20" s="163">
        <v>410</v>
      </c>
      <c r="AG20" s="237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</row>
    <row r="21" spans="1:43" ht="17.149999999999999" customHeight="1" x14ac:dyDescent="0.45">
      <c r="A21" s="183"/>
      <c r="B21" s="165"/>
      <c r="C21" s="166"/>
      <c r="D21" s="167"/>
      <c r="E21" s="167"/>
      <c r="F21" s="167"/>
      <c r="G21" s="168" t="s">
        <v>112</v>
      </c>
      <c r="H21" s="169">
        <f>SUM(H18:H20)</f>
        <v>4355825.2700000005</v>
      </c>
      <c r="I21" s="170">
        <f>SUM(I18:I20)</f>
        <v>1184774.27</v>
      </c>
      <c r="J21" s="170">
        <f>SUM(J18:J20)</f>
        <v>150000</v>
      </c>
      <c r="K21" s="170">
        <f>SUM(K18:K20)</f>
        <v>3021051</v>
      </c>
      <c r="L21" s="172">
        <f>SUM(L18:L20)</f>
        <v>41224661</v>
      </c>
      <c r="M21" s="173">
        <f>H21/L21</f>
        <v>0.10566066922903261</v>
      </c>
      <c r="N21" s="170">
        <f>SUM(N18:N20)</f>
        <v>1173143</v>
      </c>
      <c r="O21" s="174">
        <f t="shared" si="1"/>
        <v>2.8457311025553371E-2</v>
      </c>
      <c r="P21" s="174">
        <f t="shared" si="2"/>
        <v>7.0122738660163345E-2</v>
      </c>
      <c r="Q21" s="170">
        <f>SUM(Q18:Q20)</f>
        <v>82264</v>
      </c>
      <c r="R21" s="170">
        <f>SUM(R18:R20)</f>
        <v>72709</v>
      </c>
      <c r="S21" s="174">
        <f t="shared" si="11"/>
        <v>0.88384955752212391</v>
      </c>
      <c r="T21" s="175">
        <f>H21/Q21</f>
        <v>52.949349290090446</v>
      </c>
      <c r="U21" s="175">
        <f t="shared" si="4"/>
        <v>59.907649259376427</v>
      </c>
      <c r="V21" s="170">
        <f>R21*X18</f>
        <v>16699709.497021848</v>
      </c>
      <c r="W21" s="176">
        <f t="shared" si="5"/>
        <v>3.8338795662990051</v>
      </c>
      <c r="X21" s="288"/>
      <c r="Y21" s="177">
        <f>SUM(Y18:Y20)</f>
        <v>14163</v>
      </c>
      <c r="Z21" s="175">
        <f>SUM(Z18:Z20)</f>
        <v>11839</v>
      </c>
      <c r="AA21" s="174">
        <f>Z21/Y21</f>
        <v>0.83591047094542115</v>
      </c>
      <c r="AB21" s="175">
        <f>H21/Y21</f>
        <v>307.54962013697667</v>
      </c>
      <c r="AC21" s="175">
        <f>H21/Z21</f>
        <v>367.92172227384071</v>
      </c>
      <c r="AD21" s="175">
        <f>AF21*Z21</f>
        <v>2719166.2756363265</v>
      </c>
      <c r="AE21" s="178">
        <f>AD21/H21</f>
        <v>0.62425972280479614</v>
      </c>
      <c r="AF21" s="171">
        <f>X18</f>
        <v>229.67871236053099</v>
      </c>
      <c r="AG21" s="237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</row>
    <row r="22" spans="1:43" ht="17.149999999999999" customHeight="1" x14ac:dyDescent="0.3">
      <c r="A22" s="91"/>
      <c r="B22" s="91"/>
      <c r="C22" s="239"/>
      <c r="D22" s="239"/>
      <c r="E22" s="239"/>
      <c r="F22" s="239"/>
      <c r="G22" s="184" t="s">
        <v>145</v>
      </c>
      <c r="H22" s="185">
        <f>H21</f>
        <v>4355825.2700000005</v>
      </c>
      <c r="I22" s="185">
        <f t="shared" ref="I22:K22" si="12">I21</f>
        <v>1184774.27</v>
      </c>
      <c r="J22" s="185">
        <f t="shared" si="12"/>
        <v>150000</v>
      </c>
      <c r="K22" s="185">
        <f t="shared" si="12"/>
        <v>3021051</v>
      </c>
      <c r="L22" s="185">
        <v>32668932</v>
      </c>
      <c r="M22" s="186">
        <f t="shared" si="0"/>
        <v>0.13333234370808328</v>
      </c>
      <c r="N22" s="185">
        <v>867375</v>
      </c>
      <c r="O22" s="187">
        <f>N22/L22</f>
        <v>2.6550454725609029E-2</v>
      </c>
      <c r="P22" s="187">
        <f t="shared" si="2"/>
        <v>7.8020464043810342E-2</v>
      </c>
      <c r="Q22" s="185">
        <v>67673</v>
      </c>
      <c r="R22" s="185">
        <v>60092</v>
      </c>
      <c r="S22" s="187">
        <f t="shared" si="11"/>
        <v>0.88797600224609519</v>
      </c>
      <c r="T22" s="188">
        <f t="shared" si="3"/>
        <v>64.365777636575899</v>
      </c>
      <c r="U22" s="188">
        <f t="shared" si="4"/>
        <v>72.485942721160896</v>
      </c>
      <c r="V22" s="185">
        <f>R22*X18</f>
        <v>13801853.183169028</v>
      </c>
      <c r="W22" s="189">
        <f>V22/H22</f>
        <v>3.1685966097462459</v>
      </c>
      <c r="X22" s="187"/>
      <c r="Y22" s="185">
        <v>14154</v>
      </c>
      <c r="Z22" s="185">
        <v>11834</v>
      </c>
      <c r="AA22" s="187">
        <f>Z22/Y22</f>
        <v>0.83608873816588947</v>
      </c>
      <c r="AB22" s="188">
        <f>H22/Y22</f>
        <v>307.7451794545712</v>
      </c>
      <c r="AC22" s="185">
        <f>H22/Z22</f>
        <v>368.07717339868179</v>
      </c>
      <c r="AD22" s="185">
        <f>AF22*Z22</f>
        <v>2718017.8820745237</v>
      </c>
      <c r="AE22" s="240">
        <f>AD22/H22</f>
        <v>0.62399607734369089</v>
      </c>
      <c r="AF22" s="185">
        <f>X18</f>
        <v>229.67871236053099</v>
      </c>
      <c r="AG22" s="237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</row>
    <row r="23" spans="1:43" ht="17.149999999999999" customHeight="1" x14ac:dyDescent="0.3">
      <c r="A23" s="91"/>
      <c r="B23" s="91"/>
      <c r="C23" s="239"/>
      <c r="D23" s="239"/>
      <c r="E23" s="239"/>
      <c r="F23" s="239"/>
      <c r="G23" s="239"/>
      <c r="H23" s="239"/>
      <c r="I23" s="239"/>
      <c r="J23" s="239"/>
      <c r="K23" s="239"/>
      <c r="L23" s="241"/>
      <c r="M23" s="242"/>
      <c r="N23" s="241"/>
      <c r="O23" s="243"/>
      <c r="P23" s="243"/>
      <c r="Q23" s="241"/>
      <c r="R23" s="138"/>
      <c r="S23" s="243"/>
      <c r="T23" s="244"/>
      <c r="U23" s="244"/>
      <c r="V23" s="241"/>
      <c r="W23" s="245"/>
      <c r="X23" s="243"/>
      <c r="Y23" s="241"/>
      <c r="Z23" s="138"/>
      <c r="AA23" s="241"/>
      <c r="AB23" s="246"/>
      <c r="AC23" s="241"/>
      <c r="AD23" s="241"/>
      <c r="AE23" s="247"/>
      <c r="AF23" s="241"/>
      <c r="AG23" s="237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</row>
    <row r="24" spans="1:43" ht="17.149999999999999" customHeight="1" x14ac:dyDescent="0.3">
      <c r="A24" s="91"/>
      <c r="B24" s="91"/>
      <c r="C24" s="239"/>
      <c r="D24" s="239"/>
      <c r="E24" s="239"/>
      <c r="F24" s="239"/>
      <c r="G24" s="239"/>
      <c r="H24" s="239"/>
      <c r="I24" s="239"/>
      <c r="J24" s="239"/>
      <c r="K24" s="239"/>
      <c r="L24" s="241"/>
      <c r="M24" s="242"/>
      <c r="N24" s="241"/>
      <c r="O24" s="243"/>
      <c r="P24" s="243"/>
      <c r="Q24" s="241"/>
      <c r="R24" s="241"/>
      <c r="S24" s="243"/>
      <c r="T24" s="244"/>
      <c r="U24" s="244"/>
      <c r="V24" s="241"/>
      <c r="W24" s="245"/>
      <c r="X24" s="243"/>
      <c r="Y24" s="241"/>
      <c r="Z24" s="241"/>
      <c r="AA24" s="241"/>
      <c r="AB24" s="246"/>
      <c r="AC24" s="241"/>
      <c r="AD24" s="241"/>
      <c r="AE24" s="247"/>
      <c r="AF24" s="241"/>
      <c r="AG24" s="237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</row>
    <row r="25" spans="1:43" ht="17.149999999999999" customHeight="1" x14ac:dyDescent="0.3">
      <c r="A25" s="91"/>
      <c r="B25" s="91"/>
      <c r="C25" s="239"/>
      <c r="D25" s="239"/>
      <c r="E25" s="239"/>
      <c r="F25" s="239"/>
      <c r="G25" s="239"/>
      <c r="H25" s="239"/>
      <c r="I25" s="239"/>
      <c r="J25" s="239"/>
      <c r="K25" s="239"/>
      <c r="L25" s="241"/>
      <c r="M25" s="242"/>
      <c r="N25" s="241"/>
      <c r="O25" s="243"/>
      <c r="P25" s="243"/>
      <c r="Q25" s="241"/>
      <c r="R25" s="241"/>
      <c r="S25" s="243"/>
      <c r="T25" s="244"/>
      <c r="U25" s="244"/>
      <c r="V25" s="241"/>
      <c r="W25" s="245"/>
      <c r="X25" s="243"/>
      <c r="Y25" s="241"/>
      <c r="Z25" s="241"/>
      <c r="AA25" s="241"/>
      <c r="AB25" s="246"/>
      <c r="AC25" s="241"/>
      <c r="AD25" s="241"/>
      <c r="AE25" s="247"/>
      <c r="AF25" s="241"/>
      <c r="AG25" s="237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</row>
    <row r="26" spans="1:43" x14ac:dyDescent="0.3">
      <c r="A26" s="91"/>
      <c r="B26" s="91"/>
      <c r="C26" s="236"/>
      <c r="D26" s="248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49"/>
      <c r="AD26" s="238"/>
      <c r="AE26" s="238"/>
      <c r="AF26" s="238"/>
      <c r="AG26" s="237"/>
      <c r="AH26" s="238"/>
      <c r="AI26" s="238"/>
      <c r="AJ26" s="238"/>
      <c r="AK26" s="238"/>
      <c r="AL26" s="238"/>
      <c r="AM26" s="238"/>
      <c r="AN26" s="238"/>
      <c r="AO26" s="224"/>
      <c r="AP26" s="224"/>
      <c r="AQ26" s="224"/>
    </row>
    <row r="27" spans="1:43" x14ac:dyDescent="0.3">
      <c r="A27" s="91"/>
      <c r="B27" s="91"/>
      <c r="C27" s="236"/>
      <c r="D27" s="248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49"/>
      <c r="AD27" s="238"/>
      <c r="AE27" s="238"/>
      <c r="AF27" s="238"/>
      <c r="AG27" s="237"/>
      <c r="AH27" s="238"/>
      <c r="AI27" s="238"/>
      <c r="AJ27" s="238"/>
      <c r="AK27" s="238"/>
      <c r="AL27" s="238"/>
      <c r="AM27" s="238"/>
      <c r="AN27" s="238"/>
      <c r="AO27" s="224"/>
      <c r="AP27" s="224"/>
      <c r="AQ27" s="224"/>
    </row>
    <row r="28" spans="1:43" x14ac:dyDescent="0.3">
      <c r="A28" s="91"/>
      <c r="B28" s="91"/>
      <c r="C28" s="236"/>
      <c r="D28" s="248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49"/>
      <c r="AD28" s="238"/>
      <c r="AE28" s="238"/>
      <c r="AF28" s="238"/>
      <c r="AG28" s="237"/>
      <c r="AH28" s="238"/>
      <c r="AI28" s="238"/>
      <c r="AJ28" s="238"/>
      <c r="AK28" s="238"/>
      <c r="AL28" s="238"/>
      <c r="AM28" s="238"/>
      <c r="AN28" s="238"/>
      <c r="AO28" s="224"/>
      <c r="AP28" s="224"/>
      <c r="AQ28" s="224"/>
    </row>
    <row r="29" spans="1:43" s="127" customFormat="1" ht="22.5" x14ac:dyDescent="0.3">
      <c r="C29" s="128" t="s">
        <v>248</v>
      </c>
      <c r="D29" s="129"/>
      <c r="E29" s="129"/>
      <c r="F29" s="129"/>
      <c r="G29" s="129"/>
      <c r="H29" s="129"/>
      <c r="I29" s="130"/>
      <c r="J29" s="131"/>
      <c r="K29" s="131"/>
      <c r="L29" s="131"/>
      <c r="M29" s="132"/>
      <c r="N29" s="131"/>
      <c r="O29" s="133"/>
      <c r="P29" s="133"/>
      <c r="Q29" s="133"/>
      <c r="R29" s="131"/>
      <c r="S29" s="131"/>
      <c r="U29" s="133"/>
      <c r="V29" s="131"/>
      <c r="W29" s="131"/>
      <c r="X29" s="131"/>
      <c r="Y29" s="134"/>
      <c r="Z29" s="131"/>
      <c r="AA29" s="131"/>
      <c r="AB29" s="131"/>
      <c r="AC29" s="131"/>
      <c r="AD29" s="133"/>
      <c r="AE29" s="131"/>
      <c r="AF29" s="131"/>
      <c r="AG29" s="131"/>
      <c r="AH29" s="134"/>
      <c r="AI29" s="131"/>
      <c r="AJ29" s="135"/>
      <c r="AK29" s="131"/>
      <c r="AL29" s="131"/>
      <c r="AM29" s="131"/>
    </row>
    <row r="30" spans="1:43" x14ac:dyDescent="0.3">
      <c r="C30" s="80" t="s">
        <v>39</v>
      </c>
      <c r="D30" s="80" t="s">
        <v>146</v>
      </c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30"/>
      <c r="AK30" s="231"/>
      <c r="AL30" s="231"/>
      <c r="AM30" s="231"/>
      <c r="AN30" s="224"/>
      <c r="AO30" s="224"/>
      <c r="AP30" s="224"/>
    </row>
    <row r="31" spans="1:43" x14ac:dyDescent="0.3">
      <c r="C31" s="82" t="s">
        <v>1</v>
      </c>
      <c r="D31" s="82" t="s">
        <v>147</v>
      </c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30"/>
      <c r="AK31" s="231"/>
      <c r="AL31" s="231"/>
      <c r="AM31" s="231"/>
      <c r="AN31" s="224"/>
      <c r="AO31" s="224"/>
      <c r="AP31" s="224"/>
    </row>
    <row r="32" spans="1:43" x14ac:dyDescent="0.3">
      <c r="C32" s="232" t="s">
        <v>131</v>
      </c>
      <c r="D32" s="379" t="s">
        <v>132</v>
      </c>
      <c r="E32" s="379"/>
      <c r="F32" s="379"/>
      <c r="G32" s="37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30"/>
      <c r="AK32" s="231"/>
      <c r="AL32" s="231"/>
      <c r="AM32" s="231"/>
      <c r="AN32" s="224"/>
      <c r="AO32" s="224"/>
      <c r="AP32" s="224"/>
    </row>
    <row r="33" spans="1:43" x14ac:dyDescent="0.3">
      <c r="A33" s="90"/>
      <c r="B33" s="285"/>
      <c r="C33" s="234"/>
      <c r="D33" s="223"/>
      <c r="E33" s="235"/>
      <c r="F33" s="235"/>
      <c r="G33" s="235"/>
      <c r="H33" s="235"/>
      <c r="I33" s="223"/>
      <c r="J33" s="223"/>
      <c r="K33" s="223"/>
      <c r="L33" s="223"/>
      <c r="M33" s="223"/>
      <c r="N33" s="223"/>
      <c r="O33" s="223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4"/>
      <c r="AP33" s="224"/>
      <c r="AQ33" s="224"/>
    </row>
    <row r="34" spans="1:43" ht="16.5" customHeight="1" x14ac:dyDescent="0.3">
      <c r="A34" s="90"/>
      <c r="B34" s="285"/>
      <c r="C34" s="300" t="s">
        <v>40</v>
      </c>
      <c r="D34" s="313" t="s">
        <v>71</v>
      </c>
      <c r="E34" s="307" t="s">
        <v>72</v>
      </c>
      <c r="F34" s="317" t="s">
        <v>73</v>
      </c>
      <c r="G34" s="303" t="s">
        <v>41</v>
      </c>
      <c r="H34" s="306" t="s">
        <v>42</v>
      </c>
      <c r="I34" s="307"/>
      <c r="J34" s="307"/>
      <c r="K34" s="308"/>
      <c r="L34" s="300" t="s">
        <v>135</v>
      </c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10"/>
      <c r="Y34" s="300" t="s">
        <v>43</v>
      </c>
      <c r="Z34" s="309"/>
      <c r="AA34" s="309"/>
      <c r="AB34" s="309"/>
      <c r="AC34" s="309"/>
      <c r="AD34" s="309"/>
      <c r="AE34" s="309"/>
      <c r="AF34" s="310"/>
      <c r="AG34" s="372"/>
      <c r="AH34" s="370"/>
      <c r="AI34" s="370"/>
      <c r="AJ34" s="370"/>
      <c r="AK34" s="370"/>
      <c r="AL34" s="370"/>
      <c r="AM34" s="370"/>
      <c r="AN34" s="370"/>
      <c r="AO34" s="370"/>
      <c r="AP34" s="370"/>
      <c r="AQ34" s="370"/>
    </row>
    <row r="35" spans="1:43" ht="16.5" customHeight="1" x14ac:dyDescent="0.3">
      <c r="A35" s="90"/>
      <c r="B35" s="285"/>
      <c r="C35" s="301"/>
      <c r="D35" s="314"/>
      <c r="E35" s="316"/>
      <c r="F35" s="318"/>
      <c r="G35" s="304"/>
      <c r="H35" s="296" t="s">
        <v>44</v>
      </c>
      <c r="I35" s="297"/>
      <c r="J35" s="297"/>
      <c r="K35" s="298"/>
      <c r="L35" s="302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2"/>
      <c r="Y35" s="302"/>
      <c r="Z35" s="311"/>
      <c r="AA35" s="311"/>
      <c r="AB35" s="311"/>
      <c r="AC35" s="311"/>
      <c r="AD35" s="311"/>
      <c r="AE35" s="311"/>
      <c r="AF35" s="312"/>
      <c r="AG35" s="372"/>
      <c r="AH35" s="370"/>
      <c r="AI35" s="370"/>
      <c r="AJ35" s="370"/>
      <c r="AK35" s="370"/>
      <c r="AL35" s="370"/>
      <c r="AM35" s="370"/>
      <c r="AN35" s="370"/>
      <c r="AO35" s="370"/>
      <c r="AP35" s="370"/>
      <c r="AQ35" s="370"/>
    </row>
    <row r="36" spans="1:43" ht="16.5" customHeight="1" x14ac:dyDescent="0.3">
      <c r="A36" s="90"/>
      <c r="B36" s="285"/>
      <c r="C36" s="301"/>
      <c r="D36" s="314"/>
      <c r="E36" s="316"/>
      <c r="F36" s="318"/>
      <c r="G36" s="304"/>
      <c r="H36" s="299" t="s">
        <v>45</v>
      </c>
      <c r="I36" s="143" t="s">
        <v>46</v>
      </c>
      <c r="J36" s="143" t="s">
        <v>47</v>
      </c>
      <c r="K36" s="144" t="s">
        <v>48</v>
      </c>
      <c r="L36" s="299" t="s">
        <v>49</v>
      </c>
      <c r="M36" s="143" t="s">
        <v>50</v>
      </c>
      <c r="N36" s="289" t="s">
        <v>51</v>
      </c>
      <c r="O36" s="145" t="s">
        <v>52</v>
      </c>
      <c r="P36" s="143" t="s">
        <v>53</v>
      </c>
      <c r="Q36" s="289" t="s">
        <v>13</v>
      </c>
      <c r="R36" s="289" t="s">
        <v>14</v>
      </c>
      <c r="S36" s="143" t="s">
        <v>54</v>
      </c>
      <c r="T36" s="143" t="s">
        <v>31</v>
      </c>
      <c r="U36" s="143" t="s">
        <v>32</v>
      </c>
      <c r="V36" s="143" t="s">
        <v>33</v>
      </c>
      <c r="W36" s="146" t="s">
        <v>55</v>
      </c>
      <c r="X36" s="290" t="s">
        <v>27</v>
      </c>
      <c r="Y36" s="292" t="s">
        <v>28</v>
      </c>
      <c r="Z36" s="281" t="s">
        <v>29</v>
      </c>
      <c r="AA36" s="294" t="s">
        <v>30</v>
      </c>
      <c r="AB36" s="281" t="s">
        <v>31</v>
      </c>
      <c r="AC36" s="281" t="s">
        <v>32</v>
      </c>
      <c r="AD36" s="281" t="s">
        <v>33</v>
      </c>
      <c r="AE36" s="281" t="s">
        <v>34</v>
      </c>
      <c r="AF36" s="283" t="s">
        <v>128</v>
      </c>
      <c r="AG36" s="371"/>
      <c r="AH36" s="370"/>
      <c r="AI36" s="370"/>
      <c r="AJ36" s="370"/>
      <c r="AK36" s="370"/>
      <c r="AL36" s="370"/>
      <c r="AM36" s="370"/>
      <c r="AN36" s="370"/>
      <c r="AO36" s="370"/>
      <c r="AP36" s="370"/>
      <c r="AQ36" s="370"/>
    </row>
    <row r="37" spans="1:43" ht="16.5" customHeight="1" x14ac:dyDescent="0.45">
      <c r="A37" s="90"/>
      <c r="B37" s="118"/>
      <c r="C37" s="302"/>
      <c r="D37" s="315"/>
      <c r="E37" s="297"/>
      <c r="F37" s="319"/>
      <c r="G37" s="305"/>
      <c r="H37" s="293"/>
      <c r="I37" s="148" t="s">
        <v>56</v>
      </c>
      <c r="J37" s="148" t="s">
        <v>56</v>
      </c>
      <c r="K37" s="149" t="s">
        <v>57</v>
      </c>
      <c r="L37" s="293"/>
      <c r="M37" s="148" t="s">
        <v>58</v>
      </c>
      <c r="N37" s="282"/>
      <c r="O37" s="148" t="s">
        <v>59</v>
      </c>
      <c r="P37" s="148" t="s">
        <v>60</v>
      </c>
      <c r="Q37" s="282"/>
      <c r="R37" s="282"/>
      <c r="S37" s="148" t="s">
        <v>61</v>
      </c>
      <c r="T37" s="148" t="s">
        <v>62</v>
      </c>
      <c r="U37" s="148" t="s">
        <v>63</v>
      </c>
      <c r="V37" s="148" t="s">
        <v>64</v>
      </c>
      <c r="W37" s="150" t="s">
        <v>65</v>
      </c>
      <c r="X37" s="291"/>
      <c r="Y37" s="293"/>
      <c r="Z37" s="282"/>
      <c r="AA37" s="295"/>
      <c r="AB37" s="282"/>
      <c r="AC37" s="282"/>
      <c r="AD37" s="282"/>
      <c r="AE37" s="282"/>
      <c r="AF37" s="284"/>
      <c r="AG37" s="371"/>
      <c r="AH37" s="370"/>
      <c r="AI37" s="370"/>
      <c r="AJ37" s="370"/>
      <c r="AK37" s="370"/>
      <c r="AL37" s="370"/>
      <c r="AM37" s="370"/>
      <c r="AN37" s="370"/>
      <c r="AO37" s="370"/>
      <c r="AP37" s="370"/>
      <c r="AQ37" s="370"/>
    </row>
    <row r="38" spans="1:43" ht="17.149999999999999" customHeight="1" x14ac:dyDescent="0.45">
      <c r="A38" s="90"/>
      <c r="B38" s="118"/>
      <c r="C38" s="151" t="s">
        <v>148</v>
      </c>
      <c r="D38" s="152" t="s">
        <v>137</v>
      </c>
      <c r="E38" s="152" t="s">
        <v>141</v>
      </c>
      <c r="F38" s="152" t="s">
        <v>144</v>
      </c>
      <c r="G38" s="153" t="s">
        <v>246</v>
      </c>
      <c r="H38" s="154">
        <f>I38+J38+K38</f>
        <v>2127804.31</v>
      </c>
      <c r="I38" s="155">
        <v>271159.31</v>
      </c>
      <c r="J38" s="156">
        <v>150000</v>
      </c>
      <c r="K38" s="157">
        <v>1706645</v>
      </c>
      <c r="L38" s="158">
        <v>16759329</v>
      </c>
      <c r="M38" s="159">
        <f>H38/L38</f>
        <v>0.12696238077312044</v>
      </c>
      <c r="N38" s="155">
        <v>242658</v>
      </c>
      <c r="O38" s="160">
        <f>N38/L38</f>
        <v>1.4478980632219822E-2</v>
      </c>
      <c r="P38" s="160">
        <f>Q38/N38</f>
        <v>8.2333984455488798E-2</v>
      </c>
      <c r="Q38" s="155">
        <v>19979</v>
      </c>
      <c r="R38" s="155">
        <v>16940</v>
      </c>
      <c r="S38" s="160">
        <f>R38/Q38</f>
        <v>0.84789028479903894</v>
      </c>
      <c r="T38" s="162">
        <f>H38/Q38</f>
        <v>106.50204264477702</v>
      </c>
      <c r="U38" s="162">
        <f>H38/R38</f>
        <v>125.60828276269186</v>
      </c>
      <c r="V38" s="155">
        <f>X38*R38</f>
        <v>3722967.0522509911</v>
      </c>
      <c r="W38" s="161">
        <f>V38/H38</f>
        <v>1.7496754916578729</v>
      </c>
      <c r="X38" s="286">
        <v>219.77373389911401</v>
      </c>
      <c r="Y38" s="154">
        <v>4981</v>
      </c>
      <c r="Z38" s="162">
        <v>4015</v>
      </c>
      <c r="AA38" s="160">
        <f>Z38/Y38</f>
        <v>0.80606303955029113</v>
      </c>
      <c r="AB38" s="162">
        <f>H38/Y38</f>
        <v>427.18416181489664</v>
      </c>
      <c r="AC38" s="162">
        <f>H38/Z38</f>
        <v>529.96371357409714</v>
      </c>
      <c r="AD38" s="162">
        <f>AF38*Z38</f>
        <v>766865</v>
      </c>
      <c r="AE38" s="161">
        <f>AD38/H38</f>
        <v>0.36040203339939658</v>
      </c>
      <c r="AF38" s="163">
        <v>191</v>
      </c>
      <c r="AG38" s="138" t="s">
        <v>140</v>
      </c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</row>
    <row r="39" spans="1:43" ht="17.149999999999999" customHeight="1" x14ac:dyDescent="0.45">
      <c r="A39" s="90"/>
      <c r="B39" s="118"/>
      <c r="C39" s="151" t="s">
        <v>149</v>
      </c>
      <c r="D39" s="152" t="s">
        <v>137</v>
      </c>
      <c r="E39" s="152" t="s">
        <v>138</v>
      </c>
      <c r="F39" s="152" t="s">
        <v>139</v>
      </c>
      <c r="G39" s="153" t="s">
        <v>245</v>
      </c>
      <c r="H39" s="154">
        <f>I39+J39+K39</f>
        <v>682103</v>
      </c>
      <c r="I39" s="155">
        <v>162905</v>
      </c>
      <c r="J39" s="156">
        <v>0</v>
      </c>
      <c r="K39" s="157">
        <v>519198</v>
      </c>
      <c r="L39" s="158">
        <v>7745059</v>
      </c>
      <c r="M39" s="159">
        <f>H39/L39</f>
        <v>8.8069438851272788E-2</v>
      </c>
      <c r="N39" s="155">
        <v>36147</v>
      </c>
      <c r="O39" s="160">
        <f>N39/L39</f>
        <v>4.6671045372281865E-3</v>
      </c>
      <c r="P39" s="160">
        <f>Q39/N39</f>
        <v>5.2922787506570396E-2</v>
      </c>
      <c r="Q39" s="155">
        <v>1913</v>
      </c>
      <c r="R39" s="155">
        <v>1796</v>
      </c>
      <c r="S39" s="160">
        <f>R39/Q39</f>
        <v>0.93883951907997909</v>
      </c>
      <c r="T39" s="162">
        <f>H39/Q39</f>
        <v>356.56194458964978</v>
      </c>
      <c r="U39" s="162">
        <f>H39/R39</f>
        <v>379.79008908685967</v>
      </c>
      <c r="V39" s="155">
        <f>X38*R39</f>
        <v>394713.62608280877</v>
      </c>
      <c r="W39" s="161">
        <f>V39/H39</f>
        <v>0.57867158784349104</v>
      </c>
      <c r="X39" s="287"/>
      <c r="Y39" s="154">
        <v>121</v>
      </c>
      <c r="Z39" s="162">
        <v>115</v>
      </c>
      <c r="AA39" s="160">
        <f>Z39/Y39</f>
        <v>0.95041322314049592</v>
      </c>
      <c r="AB39" s="162">
        <f>H39/Y39</f>
        <v>5637.2148760330574</v>
      </c>
      <c r="AC39" s="162">
        <f>H39/Z39</f>
        <v>5931.3304347826088</v>
      </c>
      <c r="AD39" s="162">
        <f>AF39*Z39</f>
        <v>45885</v>
      </c>
      <c r="AE39" s="161">
        <f>AD39/H39</f>
        <v>6.7269899120807275E-2</v>
      </c>
      <c r="AF39" s="163">
        <v>399</v>
      </c>
      <c r="AG39" s="237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</row>
    <row r="40" spans="1:43" ht="17.149999999999999" customHeight="1" x14ac:dyDescent="0.45">
      <c r="A40" s="183"/>
      <c r="B40" s="165"/>
      <c r="C40" s="166"/>
      <c r="D40" s="167"/>
      <c r="E40" s="167"/>
      <c r="F40" s="167"/>
      <c r="G40" s="168" t="s">
        <v>112</v>
      </c>
      <c r="H40" s="169">
        <f>SUM(H38:H39)</f>
        <v>2809907.31</v>
      </c>
      <c r="I40" s="170">
        <f t="shared" ref="I40:K40" si="13">SUM(I38:I39)</f>
        <v>434064.31</v>
      </c>
      <c r="J40" s="170">
        <f t="shared" si="13"/>
        <v>150000</v>
      </c>
      <c r="K40" s="170">
        <f t="shared" si="13"/>
        <v>2225843</v>
      </c>
      <c r="L40" s="172">
        <f>SUM(L38:L39)</f>
        <v>24504388</v>
      </c>
      <c r="M40" s="173">
        <f>H40/L40</f>
        <v>0.11466955673408372</v>
      </c>
      <c r="N40" s="170">
        <f>SUM(N38:N39)</f>
        <v>278805</v>
      </c>
      <c r="O40" s="174">
        <f>N40/L40</f>
        <v>1.1377758138664798E-2</v>
      </c>
      <c r="P40" s="174">
        <f>Q40/N40</f>
        <v>7.8520829970768105E-2</v>
      </c>
      <c r="Q40" s="170">
        <f>SUM(Q38:Q39)</f>
        <v>21892</v>
      </c>
      <c r="R40" s="170">
        <f>SUM(R38:R39)</f>
        <v>18736</v>
      </c>
      <c r="S40" s="174">
        <f>R40/Q40</f>
        <v>0.85583774894938791</v>
      </c>
      <c r="T40" s="175">
        <f>H40/Q40</f>
        <v>128.35315686095379</v>
      </c>
      <c r="U40" s="175">
        <f>H40/R40</f>
        <v>149.97370356532878</v>
      </c>
      <c r="V40" s="170">
        <f>X38*R40</f>
        <v>4117680.6783337998</v>
      </c>
      <c r="W40" s="176">
        <f>V40/H40</f>
        <v>1.4654151272818319</v>
      </c>
      <c r="X40" s="288"/>
      <c r="Y40" s="177">
        <f>SUM(Y38:Y39)</f>
        <v>5102</v>
      </c>
      <c r="Z40" s="175">
        <f>SUM(Z38:Z39)</f>
        <v>4130</v>
      </c>
      <c r="AA40" s="174">
        <f>Z40/Y40</f>
        <v>0.80948647589180711</v>
      </c>
      <c r="AB40" s="175">
        <f>H40/Y40</f>
        <v>550.74623872990981</v>
      </c>
      <c r="AC40" s="175">
        <f>H40/Z40</f>
        <v>680.3649661016949</v>
      </c>
      <c r="AD40" s="175">
        <f>AF40*Z40</f>
        <v>908600</v>
      </c>
      <c r="AE40" s="178">
        <f>AD40/H40</f>
        <v>0.32335586187004867</v>
      </c>
      <c r="AF40" s="171">
        <v>220</v>
      </c>
      <c r="AG40" s="237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</row>
    <row r="41" spans="1:43" ht="17.149999999999999" customHeight="1" x14ac:dyDescent="0.3">
      <c r="A41" s="91"/>
      <c r="B41" s="91"/>
      <c r="C41" s="239"/>
      <c r="D41" s="239"/>
      <c r="E41" s="239"/>
      <c r="F41" s="239"/>
      <c r="G41" s="184" t="s">
        <v>145</v>
      </c>
      <c r="H41" s="185">
        <f>H40</f>
        <v>2809907.31</v>
      </c>
      <c r="I41" s="185">
        <f t="shared" ref="I41:K41" si="14">I40</f>
        <v>434064.31</v>
      </c>
      <c r="J41" s="185">
        <f t="shared" si="14"/>
        <v>150000</v>
      </c>
      <c r="K41" s="185">
        <f t="shared" si="14"/>
        <v>2225843</v>
      </c>
      <c r="L41" s="185">
        <v>21556292</v>
      </c>
      <c r="M41" s="186">
        <f>H41/L41</f>
        <v>0.13035207121892764</v>
      </c>
      <c r="N41" s="185">
        <v>249006</v>
      </c>
      <c r="O41" s="187">
        <f>N41/L41</f>
        <v>1.1551430088254511E-2</v>
      </c>
      <c r="P41" s="187">
        <f>Q41/N41</f>
        <v>8.1897624956828355E-2</v>
      </c>
      <c r="Q41" s="185">
        <v>20393</v>
      </c>
      <c r="R41" s="185">
        <v>17283</v>
      </c>
      <c r="S41" s="187">
        <f>R41/Q41</f>
        <v>0.84749669004070027</v>
      </c>
      <c r="T41" s="188">
        <f>H41/Q41</f>
        <v>137.78783455107146</v>
      </c>
      <c r="U41" s="188">
        <f>H41/R41</f>
        <v>162.58215066828677</v>
      </c>
      <c r="V41" s="185">
        <f>X38*R41</f>
        <v>3798349.4429783872</v>
      </c>
      <c r="W41" s="189">
        <f>V41/H41</f>
        <v>1.3517703695992689</v>
      </c>
      <c r="X41" s="187"/>
      <c r="Y41" s="185">
        <v>5102</v>
      </c>
      <c r="Z41" s="185">
        <v>4130</v>
      </c>
      <c r="AA41" s="187">
        <f>Z41/Y41</f>
        <v>0.80948647589180711</v>
      </c>
      <c r="AB41" s="188">
        <f>H41/Y41</f>
        <v>550.74623872990981</v>
      </c>
      <c r="AC41" s="185">
        <f>H41/Z41</f>
        <v>680.3649661016949</v>
      </c>
      <c r="AD41" s="185">
        <f>AF41*Z41</f>
        <v>908600</v>
      </c>
      <c r="AE41" s="240">
        <f>AD41/H41</f>
        <v>0.32335586187004867</v>
      </c>
      <c r="AF41" s="185">
        <v>220</v>
      </c>
      <c r="AG41" s="237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</row>
    <row r="42" spans="1:43" ht="17.149999999999999" customHeight="1" x14ac:dyDescent="0.3">
      <c r="A42" s="91"/>
      <c r="B42" s="91"/>
      <c r="C42" s="239"/>
      <c r="D42" s="239"/>
      <c r="E42" s="239"/>
      <c r="F42" s="239"/>
      <c r="G42" s="239"/>
      <c r="H42" s="239"/>
      <c r="I42" s="239"/>
      <c r="J42" s="239"/>
      <c r="K42" s="239"/>
      <c r="L42" s="241"/>
      <c r="M42" s="242"/>
      <c r="N42" s="241"/>
      <c r="O42" s="243"/>
      <c r="P42" s="243"/>
      <c r="Q42" s="241"/>
      <c r="R42" s="241"/>
      <c r="S42" s="243"/>
      <c r="T42" s="244"/>
      <c r="U42" s="244"/>
      <c r="V42" s="241"/>
      <c r="W42" s="245"/>
      <c r="X42" s="243"/>
      <c r="Y42" s="241"/>
      <c r="Z42" s="241"/>
      <c r="AA42" s="241"/>
      <c r="AB42" s="246"/>
      <c r="AC42" s="241"/>
      <c r="AD42" s="241"/>
      <c r="AE42" s="247"/>
      <c r="AF42" s="241"/>
      <c r="AG42" s="237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</row>
    <row r="43" spans="1:43" ht="17.149999999999999" customHeight="1" x14ac:dyDescent="0.3">
      <c r="A43" s="91"/>
      <c r="B43" s="91"/>
      <c r="C43" s="239"/>
      <c r="D43" s="239"/>
      <c r="E43" s="239"/>
      <c r="F43" s="239"/>
      <c r="G43" s="239"/>
      <c r="H43" s="239"/>
      <c r="I43" s="239"/>
      <c r="J43" s="239"/>
      <c r="K43" s="239"/>
      <c r="L43" s="241"/>
      <c r="M43" s="242"/>
      <c r="N43" s="241"/>
      <c r="O43" s="243"/>
      <c r="P43" s="243"/>
      <c r="Q43" s="241"/>
      <c r="R43" s="241"/>
      <c r="S43" s="243"/>
      <c r="T43" s="244"/>
      <c r="U43" s="244"/>
      <c r="V43" s="241"/>
      <c r="W43" s="245"/>
      <c r="X43" s="243"/>
      <c r="Y43" s="241"/>
      <c r="Z43" s="241"/>
      <c r="AA43" s="241"/>
      <c r="AB43" s="246"/>
      <c r="AC43" s="241"/>
      <c r="AD43" s="241"/>
      <c r="AE43" s="247"/>
      <c r="AF43" s="241"/>
      <c r="AG43" s="237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</row>
    <row r="44" spans="1:43" ht="17.149999999999999" customHeight="1" x14ac:dyDescent="0.3">
      <c r="A44" s="91"/>
      <c r="B44" s="91"/>
      <c r="C44" s="239"/>
      <c r="D44" s="239"/>
      <c r="E44" s="239"/>
      <c r="F44" s="239"/>
      <c r="G44" s="239"/>
      <c r="H44" s="239"/>
      <c r="I44" s="239"/>
      <c r="J44" s="239"/>
      <c r="K44" s="239"/>
      <c r="L44" s="241"/>
      <c r="M44" s="242"/>
      <c r="N44" s="241"/>
      <c r="O44" s="243"/>
      <c r="P44" s="243"/>
      <c r="Q44" s="241"/>
      <c r="R44" s="241"/>
      <c r="S44" s="243"/>
      <c r="T44" s="244"/>
      <c r="U44" s="244"/>
      <c r="V44" s="241"/>
      <c r="W44" s="245"/>
      <c r="X44" s="243"/>
      <c r="Y44" s="241"/>
      <c r="Z44" s="241"/>
      <c r="AA44" s="241"/>
      <c r="AB44" s="246"/>
      <c r="AC44" s="241"/>
      <c r="AD44" s="241"/>
      <c r="AE44" s="247"/>
      <c r="AF44" s="241"/>
      <c r="AG44" s="237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</row>
    <row r="45" spans="1:43" x14ac:dyDescent="0.3">
      <c r="A45" s="91"/>
      <c r="B45" s="91"/>
      <c r="C45" s="236"/>
      <c r="D45" s="248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49"/>
      <c r="AD45" s="238"/>
      <c r="AE45" s="238"/>
      <c r="AF45" s="238"/>
      <c r="AG45" s="237"/>
      <c r="AH45" s="238"/>
      <c r="AI45" s="238"/>
      <c r="AJ45" s="238"/>
      <c r="AK45" s="238"/>
      <c r="AL45" s="238"/>
      <c r="AM45" s="238"/>
      <c r="AN45" s="238"/>
      <c r="AO45" s="224"/>
      <c r="AP45" s="224"/>
      <c r="AQ45" s="224"/>
    </row>
    <row r="46" spans="1:43" x14ac:dyDescent="0.3">
      <c r="A46" s="91"/>
      <c r="B46" s="91"/>
      <c r="C46" s="236"/>
      <c r="D46" s="248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49"/>
      <c r="AD46" s="238"/>
      <c r="AE46" s="238"/>
      <c r="AF46" s="238"/>
      <c r="AG46" s="237"/>
      <c r="AH46" s="238"/>
      <c r="AI46" s="238"/>
      <c r="AJ46" s="238"/>
      <c r="AK46" s="238"/>
      <c r="AL46" s="238"/>
      <c r="AM46" s="238"/>
      <c r="AN46" s="238"/>
      <c r="AO46" s="224"/>
      <c r="AP46" s="224"/>
      <c r="AQ46" s="224"/>
    </row>
    <row r="47" spans="1:43" x14ac:dyDescent="0.3">
      <c r="A47" s="91"/>
      <c r="B47" s="91"/>
      <c r="C47" s="236"/>
      <c r="D47" s="248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49"/>
      <c r="AD47" s="238"/>
      <c r="AE47" s="238"/>
      <c r="AF47" s="238"/>
      <c r="AG47" s="237"/>
      <c r="AH47" s="238"/>
      <c r="AI47" s="238"/>
      <c r="AJ47" s="238"/>
      <c r="AK47" s="238"/>
      <c r="AL47" s="238"/>
      <c r="AM47" s="238"/>
      <c r="AN47" s="238"/>
      <c r="AO47" s="224"/>
      <c r="AP47" s="224"/>
      <c r="AQ47" s="224"/>
    </row>
    <row r="48" spans="1:43" s="127" customFormat="1" ht="22.5" x14ac:dyDescent="0.3">
      <c r="C48" s="128" t="s">
        <v>249</v>
      </c>
      <c r="D48" s="129"/>
      <c r="E48" s="129"/>
      <c r="F48" s="129"/>
      <c r="G48" s="129"/>
      <c r="H48" s="129"/>
      <c r="I48" s="130"/>
      <c r="J48" s="131"/>
      <c r="K48" s="131"/>
      <c r="L48" s="131"/>
      <c r="M48" s="132"/>
      <c r="N48" s="131"/>
      <c r="O48" s="133"/>
      <c r="P48" s="133"/>
      <c r="Q48" s="133"/>
      <c r="R48" s="131"/>
      <c r="S48" s="131"/>
      <c r="U48" s="133"/>
      <c r="V48" s="131"/>
      <c r="W48" s="131"/>
      <c r="X48" s="131"/>
      <c r="Y48" s="134"/>
      <c r="Z48" s="131"/>
      <c r="AA48" s="131"/>
      <c r="AB48" s="131"/>
      <c r="AC48" s="131"/>
      <c r="AD48" s="133"/>
      <c r="AE48" s="131"/>
      <c r="AF48" s="131"/>
      <c r="AG48" s="131"/>
      <c r="AH48" s="134"/>
      <c r="AI48" s="131"/>
      <c r="AJ48" s="135"/>
      <c r="AK48" s="131"/>
      <c r="AL48" s="131"/>
      <c r="AM48" s="131"/>
    </row>
    <row r="49" spans="1:43" x14ac:dyDescent="0.3">
      <c r="A49" s="91"/>
      <c r="B49" s="91"/>
      <c r="C49" s="80" t="s">
        <v>39</v>
      </c>
      <c r="D49" s="80" t="s">
        <v>119</v>
      </c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37"/>
      <c r="AG49" s="229"/>
      <c r="AH49" s="229"/>
      <c r="AI49" s="229"/>
      <c r="AJ49" s="230"/>
      <c r="AK49" s="231"/>
      <c r="AL49" s="231"/>
      <c r="AM49" s="231"/>
      <c r="AN49" s="224"/>
      <c r="AO49" s="224"/>
      <c r="AP49" s="224"/>
    </row>
    <row r="50" spans="1:43" x14ac:dyDescent="0.3">
      <c r="C50" s="82" t="s">
        <v>1</v>
      </c>
      <c r="D50" s="82" t="s">
        <v>150</v>
      </c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37"/>
      <c r="AG50" s="229"/>
      <c r="AH50" s="229"/>
      <c r="AI50" s="229"/>
      <c r="AJ50" s="230"/>
      <c r="AK50" s="231"/>
      <c r="AL50" s="231"/>
      <c r="AM50" s="231"/>
      <c r="AN50" s="224"/>
      <c r="AO50" s="224"/>
      <c r="AP50" s="224"/>
    </row>
    <row r="51" spans="1:43" x14ac:dyDescent="0.3">
      <c r="C51" s="250" t="s">
        <v>131</v>
      </c>
      <c r="D51" s="378" t="s">
        <v>151</v>
      </c>
      <c r="E51" s="378"/>
      <c r="F51" s="378"/>
      <c r="G51" s="378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7"/>
      <c r="AG51" s="375"/>
      <c r="AH51" s="375"/>
      <c r="AI51" s="375"/>
      <c r="AJ51" s="376"/>
      <c r="AK51" s="373"/>
      <c r="AL51" s="373"/>
      <c r="AM51" s="373"/>
      <c r="AN51" s="224"/>
      <c r="AO51" s="224"/>
      <c r="AP51" s="224"/>
    </row>
    <row r="52" spans="1:43" ht="15" customHeight="1" x14ac:dyDescent="0.3">
      <c r="C52" s="251"/>
      <c r="D52" s="374" t="s">
        <v>152</v>
      </c>
      <c r="E52" s="374"/>
      <c r="F52" s="374"/>
      <c r="G52" s="374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7"/>
      <c r="AG52" s="375"/>
      <c r="AH52" s="375"/>
      <c r="AI52" s="375"/>
      <c r="AJ52" s="376"/>
      <c r="AK52" s="373"/>
      <c r="AL52" s="373"/>
      <c r="AM52" s="373"/>
      <c r="AN52" s="224"/>
      <c r="AO52" s="224"/>
      <c r="AP52" s="224"/>
    </row>
    <row r="53" spans="1:43" x14ac:dyDescent="0.3">
      <c r="C53" s="233"/>
      <c r="D53" s="374" t="s">
        <v>153</v>
      </c>
      <c r="E53" s="374"/>
      <c r="F53" s="374"/>
      <c r="G53" s="374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  <c r="AC53" s="229"/>
      <c r="AD53" s="229"/>
      <c r="AE53" s="229"/>
      <c r="AF53" s="237"/>
      <c r="AG53" s="229"/>
      <c r="AH53" s="229"/>
      <c r="AI53" s="229"/>
      <c r="AJ53" s="230"/>
      <c r="AK53" s="231"/>
      <c r="AL53" s="231"/>
      <c r="AM53" s="231"/>
      <c r="AN53" s="224"/>
      <c r="AO53" s="224"/>
      <c r="AP53" s="224"/>
    </row>
    <row r="54" spans="1:43" x14ac:dyDescent="0.3">
      <c r="C54" s="234"/>
      <c r="D54" s="223"/>
      <c r="E54" s="223"/>
      <c r="F54" s="223"/>
      <c r="G54" s="223"/>
      <c r="H54" s="235"/>
      <c r="I54" s="235"/>
      <c r="J54" s="235"/>
      <c r="K54" s="235"/>
      <c r="L54" s="223"/>
      <c r="M54" s="223"/>
      <c r="N54" s="223"/>
      <c r="O54" s="223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23"/>
      <c r="AE54" s="223"/>
      <c r="AF54" s="223"/>
      <c r="AG54" s="252"/>
      <c r="AH54" s="223"/>
      <c r="AI54" s="223"/>
      <c r="AJ54" s="223"/>
      <c r="AK54" s="223"/>
      <c r="AL54" s="223"/>
      <c r="AM54" s="223"/>
      <c r="AN54" s="223"/>
      <c r="AO54" s="224"/>
      <c r="AP54" s="224"/>
      <c r="AQ54" s="224"/>
    </row>
    <row r="55" spans="1:43" ht="16.5" customHeight="1" x14ac:dyDescent="0.3">
      <c r="A55" s="90"/>
      <c r="C55" s="300" t="s">
        <v>40</v>
      </c>
      <c r="D55" s="313" t="s">
        <v>71</v>
      </c>
      <c r="E55" s="307" t="s">
        <v>72</v>
      </c>
      <c r="F55" s="317" t="s">
        <v>73</v>
      </c>
      <c r="G55" s="303" t="s">
        <v>41</v>
      </c>
      <c r="H55" s="306" t="s">
        <v>42</v>
      </c>
      <c r="I55" s="307"/>
      <c r="J55" s="307"/>
      <c r="K55" s="308"/>
      <c r="L55" s="300" t="s">
        <v>66</v>
      </c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10"/>
      <c r="Y55" s="300" t="s">
        <v>43</v>
      </c>
      <c r="Z55" s="309"/>
      <c r="AA55" s="309"/>
      <c r="AB55" s="309"/>
      <c r="AC55" s="309"/>
      <c r="AD55" s="309"/>
      <c r="AE55" s="309"/>
      <c r="AF55" s="310"/>
      <c r="AG55" s="372"/>
      <c r="AH55" s="370"/>
      <c r="AI55" s="370"/>
      <c r="AJ55" s="370"/>
      <c r="AK55" s="370"/>
      <c r="AL55" s="370"/>
      <c r="AM55" s="370"/>
      <c r="AN55" s="370"/>
      <c r="AO55" s="370"/>
      <c r="AP55" s="370"/>
      <c r="AQ55" s="370"/>
    </row>
    <row r="56" spans="1:43" ht="16.5" customHeight="1" x14ac:dyDescent="0.3">
      <c r="A56" s="90"/>
      <c r="B56" s="285"/>
      <c r="C56" s="301"/>
      <c r="D56" s="314"/>
      <c r="E56" s="316"/>
      <c r="F56" s="318"/>
      <c r="G56" s="304"/>
      <c r="H56" s="296" t="s">
        <v>44</v>
      </c>
      <c r="I56" s="297"/>
      <c r="J56" s="297"/>
      <c r="K56" s="298"/>
      <c r="L56" s="302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2"/>
      <c r="Y56" s="302"/>
      <c r="Z56" s="311"/>
      <c r="AA56" s="311"/>
      <c r="AB56" s="311"/>
      <c r="AC56" s="311"/>
      <c r="AD56" s="311"/>
      <c r="AE56" s="311"/>
      <c r="AF56" s="312"/>
      <c r="AG56" s="372"/>
      <c r="AH56" s="370"/>
      <c r="AI56" s="370"/>
      <c r="AJ56" s="370"/>
      <c r="AK56" s="370"/>
      <c r="AL56" s="370"/>
      <c r="AM56" s="370"/>
      <c r="AN56" s="370"/>
      <c r="AO56" s="370"/>
      <c r="AP56" s="370"/>
      <c r="AQ56" s="370"/>
    </row>
    <row r="57" spans="1:43" ht="16.5" customHeight="1" x14ac:dyDescent="0.3">
      <c r="A57" s="90"/>
      <c r="B57" s="285"/>
      <c r="C57" s="301"/>
      <c r="D57" s="314"/>
      <c r="E57" s="316"/>
      <c r="F57" s="318"/>
      <c r="G57" s="304"/>
      <c r="H57" s="299" t="s">
        <v>45</v>
      </c>
      <c r="I57" s="143" t="s">
        <v>46</v>
      </c>
      <c r="J57" s="143" t="s">
        <v>47</v>
      </c>
      <c r="K57" s="144" t="s">
        <v>48</v>
      </c>
      <c r="L57" s="299" t="s">
        <v>49</v>
      </c>
      <c r="M57" s="143" t="s">
        <v>50</v>
      </c>
      <c r="N57" s="289" t="s">
        <v>51</v>
      </c>
      <c r="O57" s="145" t="s">
        <v>52</v>
      </c>
      <c r="P57" s="143" t="s">
        <v>53</v>
      </c>
      <c r="Q57" s="289" t="s">
        <v>13</v>
      </c>
      <c r="R57" s="289" t="s">
        <v>14</v>
      </c>
      <c r="S57" s="143" t="s">
        <v>54</v>
      </c>
      <c r="T57" s="143" t="s">
        <v>31</v>
      </c>
      <c r="U57" s="143" t="s">
        <v>32</v>
      </c>
      <c r="V57" s="143" t="s">
        <v>33</v>
      </c>
      <c r="W57" s="146" t="s">
        <v>55</v>
      </c>
      <c r="X57" s="290" t="s">
        <v>27</v>
      </c>
      <c r="Y57" s="292" t="s">
        <v>28</v>
      </c>
      <c r="Z57" s="281" t="s">
        <v>29</v>
      </c>
      <c r="AA57" s="294" t="s">
        <v>30</v>
      </c>
      <c r="AB57" s="281" t="s">
        <v>31</v>
      </c>
      <c r="AC57" s="281" t="s">
        <v>32</v>
      </c>
      <c r="AD57" s="281" t="s">
        <v>33</v>
      </c>
      <c r="AE57" s="281" t="s">
        <v>34</v>
      </c>
      <c r="AF57" s="283" t="s">
        <v>128</v>
      </c>
      <c r="AG57" s="371"/>
      <c r="AH57" s="370"/>
      <c r="AI57" s="370"/>
      <c r="AJ57" s="370"/>
      <c r="AK57" s="370"/>
      <c r="AL57" s="370"/>
      <c r="AM57" s="370"/>
      <c r="AN57" s="370"/>
      <c r="AO57" s="370"/>
      <c r="AP57" s="370"/>
      <c r="AQ57" s="370"/>
    </row>
    <row r="58" spans="1:43" ht="16.5" customHeight="1" x14ac:dyDescent="0.45">
      <c r="A58" s="90"/>
      <c r="B58" s="118"/>
      <c r="C58" s="302"/>
      <c r="D58" s="315"/>
      <c r="E58" s="297"/>
      <c r="F58" s="319"/>
      <c r="G58" s="305"/>
      <c r="H58" s="293"/>
      <c r="I58" s="148" t="s">
        <v>56</v>
      </c>
      <c r="J58" s="148" t="s">
        <v>56</v>
      </c>
      <c r="K58" s="149" t="s">
        <v>57</v>
      </c>
      <c r="L58" s="293"/>
      <c r="M58" s="148" t="s">
        <v>58</v>
      </c>
      <c r="N58" s="282"/>
      <c r="O58" s="148" t="s">
        <v>59</v>
      </c>
      <c r="P58" s="148" t="s">
        <v>60</v>
      </c>
      <c r="Q58" s="282"/>
      <c r="R58" s="282"/>
      <c r="S58" s="148" t="s">
        <v>61</v>
      </c>
      <c r="T58" s="148" t="s">
        <v>62</v>
      </c>
      <c r="U58" s="148" t="s">
        <v>63</v>
      </c>
      <c r="V58" s="148" t="s">
        <v>64</v>
      </c>
      <c r="W58" s="150" t="s">
        <v>65</v>
      </c>
      <c r="X58" s="291"/>
      <c r="Y58" s="293"/>
      <c r="Z58" s="282"/>
      <c r="AA58" s="295"/>
      <c r="AB58" s="282"/>
      <c r="AC58" s="282"/>
      <c r="AD58" s="282"/>
      <c r="AE58" s="282"/>
      <c r="AF58" s="284"/>
      <c r="AG58" s="371"/>
      <c r="AH58" s="370"/>
      <c r="AI58" s="370"/>
      <c r="AJ58" s="370"/>
      <c r="AK58" s="370"/>
      <c r="AL58" s="370"/>
      <c r="AM58" s="370"/>
      <c r="AN58" s="370"/>
      <c r="AO58" s="370"/>
      <c r="AP58" s="370"/>
      <c r="AQ58" s="370"/>
    </row>
    <row r="59" spans="1:43" ht="17.149999999999999" customHeight="1" x14ac:dyDescent="0.3">
      <c r="A59" s="90"/>
      <c r="B59" s="285"/>
      <c r="C59" s="151" t="s">
        <v>121</v>
      </c>
      <c r="D59" s="152" t="s">
        <v>137</v>
      </c>
      <c r="E59" s="152" t="s">
        <v>138</v>
      </c>
      <c r="F59" s="152" t="s">
        <v>154</v>
      </c>
      <c r="G59" s="153" t="s">
        <v>245</v>
      </c>
      <c r="H59" s="154">
        <f>I59+J59+K59</f>
        <v>812445</v>
      </c>
      <c r="I59" s="155">
        <v>177365</v>
      </c>
      <c r="J59" s="156">
        <v>310000</v>
      </c>
      <c r="K59" s="157">
        <v>325080</v>
      </c>
      <c r="L59" s="158">
        <v>9472480</v>
      </c>
      <c r="M59" s="159">
        <f>H59/L59</f>
        <v>8.576898552438221E-2</v>
      </c>
      <c r="N59" s="155">
        <v>384895</v>
      </c>
      <c r="O59" s="160">
        <f>N59/L59</f>
        <v>4.063297045757816E-2</v>
      </c>
      <c r="P59" s="160">
        <f>Q59/N59</f>
        <v>8.9042466127125575E-2</v>
      </c>
      <c r="Q59" s="155">
        <v>34272</v>
      </c>
      <c r="R59" s="155">
        <v>30134</v>
      </c>
      <c r="S59" s="160">
        <f>R59/Q59</f>
        <v>0.87926003734827263</v>
      </c>
      <c r="T59" s="162">
        <f>H59/Q59</f>
        <v>23.70579481792717</v>
      </c>
      <c r="U59" s="162">
        <f>H59/R59</f>
        <v>26.961073870047123</v>
      </c>
      <c r="V59" s="155">
        <f>X$59*R59</f>
        <v>5714158.3396831471</v>
      </c>
      <c r="W59" s="161">
        <f>V59/H59</f>
        <v>7.0332863636100251</v>
      </c>
      <c r="X59" s="286">
        <v>189.624953198485</v>
      </c>
      <c r="Y59" s="154">
        <v>9025</v>
      </c>
      <c r="Z59" s="162">
        <v>7814</v>
      </c>
      <c r="AA59" s="160">
        <f>Z59/Y59</f>
        <v>0.86581717451523543</v>
      </c>
      <c r="AB59" s="162">
        <f>H59/Y59</f>
        <v>90.021606648199452</v>
      </c>
      <c r="AC59" s="162">
        <f>H59/Z59</f>
        <v>103.97299718454057</v>
      </c>
      <c r="AD59" s="162">
        <f>AF59*Z59</f>
        <v>2187723.2251684382</v>
      </c>
      <c r="AE59" s="161">
        <f>AD59/H59</f>
        <v>2.692764710433861</v>
      </c>
      <c r="AF59" s="163">
        <v>279.97481765657</v>
      </c>
      <c r="AG59" s="138" t="s">
        <v>140</v>
      </c>
      <c r="AH59" s="223"/>
      <c r="AI59" s="223"/>
      <c r="AJ59" s="223"/>
      <c r="AK59" s="223"/>
      <c r="AL59" s="223"/>
      <c r="AM59" s="223"/>
      <c r="AN59" s="223"/>
      <c r="AO59" s="223"/>
      <c r="AP59" s="223"/>
      <c r="AQ59" s="223"/>
    </row>
    <row r="60" spans="1:43" ht="17.149999999999999" customHeight="1" x14ac:dyDescent="0.3">
      <c r="A60" s="90"/>
      <c r="B60" s="285"/>
      <c r="C60" s="151" t="s">
        <v>121</v>
      </c>
      <c r="D60" s="152" t="s">
        <v>137</v>
      </c>
      <c r="E60" s="152" t="s">
        <v>155</v>
      </c>
      <c r="F60" s="152" t="s">
        <v>154</v>
      </c>
      <c r="G60" s="153" t="s">
        <v>250</v>
      </c>
      <c r="H60" s="154">
        <f>I60+J60+K60</f>
        <v>1342125</v>
      </c>
      <c r="I60" s="155">
        <v>341182</v>
      </c>
      <c r="J60" s="156">
        <v>0</v>
      </c>
      <c r="K60" s="157">
        <v>1000943</v>
      </c>
      <c r="L60" s="158">
        <v>23050573</v>
      </c>
      <c r="M60" s="159">
        <f t="shared" ref="M60:M62" si="15">H60/L60</f>
        <v>5.8225233706771629E-2</v>
      </c>
      <c r="N60" s="155">
        <v>481519</v>
      </c>
      <c r="O60" s="160">
        <f t="shared" ref="O60:O62" si="16">N60/L60</f>
        <v>2.0889675931266439E-2</v>
      </c>
      <c r="P60" s="160">
        <f t="shared" ref="P60:P62" si="17">Q60/N60</f>
        <v>9.0991217376676731E-2</v>
      </c>
      <c r="Q60" s="155">
        <v>43814</v>
      </c>
      <c r="R60" s="155">
        <v>38816</v>
      </c>
      <c r="S60" s="160">
        <f t="shared" ref="S60:S62" si="18">R60/Q60</f>
        <v>0.88592687268909476</v>
      </c>
      <c r="T60" s="162">
        <f t="shared" ref="T60:T62" si="19">H60/Q60</f>
        <v>30.63233213128224</v>
      </c>
      <c r="U60" s="162">
        <f t="shared" ref="U60:U62" si="20">H60/R60</f>
        <v>34.576592126957955</v>
      </c>
      <c r="V60" s="155">
        <f t="shared" ref="V60:V62" si="21">X$59*R60</f>
        <v>7360482.183352394</v>
      </c>
      <c r="W60" s="161">
        <f t="shared" ref="W60:W62" si="22">V60/H60</f>
        <v>5.484200192495031</v>
      </c>
      <c r="X60" s="287"/>
      <c r="Y60" s="154">
        <v>15014</v>
      </c>
      <c r="Z60" s="162">
        <v>13289</v>
      </c>
      <c r="AA60" s="160">
        <f t="shared" ref="AA60:AA62" si="23">Z60/Y60</f>
        <v>0.88510723324896767</v>
      </c>
      <c r="AB60" s="162">
        <f t="shared" ref="AB60:AB62" si="24">H60/Y60</f>
        <v>89.391567869988009</v>
      </c>
      <c r="AC60" s="162">
        <f t="shared" ref="AC60:AC62" si="25">H60/Z60</f>
        <v>100.99518398675596</v>
      </c>
      <c r="AD60" s="162">
        <f t="shared" ref="AD60:AD62" si="26">AF60*Z60</f>
        <v>2172420.770142985</v>
      </c>
      <c r="AE60" s="161">
        <f t="shared" ref="AE60:AE62" si="27">AD60/H60</f>
        <v>1.6186426526165485</v>
      </c>
      <c r="AF60" s="163">
        <v>163.47511250981901</v>
      </c>
      <c r="AG60" s="237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</row>
    <row r="61" spans="1:43" ht="17.149999999999999" customHeight="1" x14ac:dyDescent="0.45">
      <c r="A61" s="90"/>
      <c r="B61" s="118"/>
      <c r="C61" s="166"/>
      <c r="D61" s="167"/>
      <c r="E61" s="167"/>
      <c r="F61" s="167"/>
      <c r="G61" s="168" t="s">
        <v>112</v>
      </c>
      <c r="H61" s="169">
        <f>SUM(H59:H60)</f>
        <v>2154570</v>
      </c>
      <c r="I61" s="170">
        <f t="shared" ref="I61:K61" si="28">SUM(I59:I60)</f>
        <v>518547</v>
      </c>
      <c r="J61" s="170">
        <f t="shared" si="28"/>
        <v>310000</v>
      </c>
      <c r="K61" s="170">
        <f t="shared" si="28"/>
        <v>1326023</v>
      </c>
      <c r="L61" s="172">
        <f>SUM(L59:L60)</f>
        <v>32523053</v>
      </c>
      <c r="M61" s="173">
        <f t="shared" si="15"/>
        <v>6.6247470678721332E-2</v>
      </c>
      <c r="N61" s="170">
        <f>SUM(N59:N60)</f>
        <v>866414</v>
      </c>
      <c r="O61" s="174">
        <f t="shared" si="16"/>
        <v>2.6639995943800232E-2</v>
      </c>
      <c r="P61" s="174">
        <f t="shared" si="17"/>
        <v>9.0125505820543073E-2</v>
      </c>
      <c r="Q61" s="170">
        <f>SUM(Q59:Q60)</f>
        <v>78086</v>
      </c>
      <c r="R61" s="170">
        <f>SUM(R59:R60)</f>
        <v>68950</v>
      </c>
      <c r="S61" s="174">
        <f t="shared" si="18"/>
        <v>0.883000793996363</v>
      </c>
      <c r="T61" s="175">
        <f t="shared" si="19"/>
        <v>27.59227006121456</v>
      </c>
      <c r="U61" s="175">
        <f t="shared" si="20"/>
        <v>31.248295866569979</v>
      </c>
      <c r="V61" s="170">
        <f t="shared" si="21"/>
        <v>13074640.523035541</v>
      </c>
      <c r="W61" s="176">
        <f t="shared" si="22"/>
        <v>6.0683294221285644</v>
      </c>
      <c r="X61" s="288"/>
      <c r="Y61" s="177">
        <f>SUM(Y59:Y60)</f>
        <v>24039</v>
      </c>
      <c r="Z61" s="175">
        <f>SUM(Z59:Z60)</f>
        <v>21103</v>
      </c>
      <c r="AA61" s="174">
        <f t="shared" si="23"/>
        <v>0.8778651358209576</v>
      </c>
      <c r="AB61" s="175">
        <f t="shared" si="24"/>
        <v>89.628104330463003</v>
      </c>
      <c r="AC61" s="175">
        <f t="shared" si="25"/>
        <v>102.09780599914704</v>
      </c>
      <c r="AD61" s="175">
        <f t="shared" si="26"/>
        <v>4001655.3873476288</v>
      </c>
      <c r="AE61" s="178">
        <f t="shared" si="27"/>
        <v>1.8572872486610454</v>
      </c>
      <c r="AF61" s="171">
        <f>X59</f>
        <v>189.624953198485</v>
      </c>
      <c r="AG61" s="237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</row>
    <row r="62" spans="1:43" ht="17.149999999999999" customHeight="1" x14ac:dyDescent="0.45">
      <c r="A62" s="90"/>
      <c r="B62" s="118"/>
      <c r="C62" s="253"/>
      <c r="D62" s="239"/>
      <c r="E62" s="239"/>
      <c r="F62" s="239"/>
      <c r="G62" s="184" t="s">
        <v>145</v>
      </c>
      <c r="H62" s="185">
        <f>H61</f>
        <v>2154570</v>
      </c>
      <c r="I62" s="185">
        <f t="shared" ref="I62:K62" si="29">I61</f>
        <v>518547</v>
      </c>
      <c r="J62" s="185">
        <f t="shared" si="29"/>
        <v>310000</v>
      </c>
      <c r="K62" s="185">
        <f t="shared" si="29"/>
        <v>1326023</v>
      </c>
      <c r="L62" s="185">
        <v>29331400</v>
      </c>
      <c r="M62" s="186">
        <f t="shared" si="15"/>
        <v>7.3456091424207504E-2</v>
      </c>
      <c r="N62" s="185">
        <v>734700</v>
      </c>
      <c r="O62" s="187">
        <f t="shared" si="16"/>
        <v>2.5048241815937868E-2</v>
      </c>
      <c r="P62" s="187">
        <f t="shared" si="17"/>
        <v>9.2645977950183742E-2</v>
      </c>
      <c r="Q62" s="185">
        <v>68067</v>
      </c>
      <c r="R62" s="185">
        <v>59640</v>
      </c>
      <c r="S62" s="187">
        <f t="shared" si="18"/>
        <v>0.87619551324430345</v>
      </c>
      <c r="T62" s="188">
        <f t="shared" si="19"/>
        <v>31.653664771475164</v>
      </c>
      <c r="U62" s="188">
        <f t="shared" si="20"/>
        <v>36.126257545271628</v>
      </c>
      <c r="V62" s="185">
        <f t="shared" si="21"/>
        <v>11309232.208757646</v>
      </c>
      <c r="W62" s="189">
        <f t="shared" si="22"/>
        <v>5.2489509316279568</v>
      </c>
      <c r="X62" s="187"/>
      <c r="Y62" s="185">
        <v>23985</v>
      </c>
      <c r="Z62" s="185">
        <v>21064</v>
      </c>
      <c r="AA62" s="187">
        <f t="shared" si="23"/>
        <v>0.87821555138628304</v>
      </c>
      <c r="AB62" s="188">
        <f t="shared" si="24"/>
        <v>89.829893683552214</v>
      </c>
      <c r="AC62" s="185">
        <f t="shared" si="25"/>
        <v>102.28684010634258</v>
      </c>
      <c r="AD62" s="185">
        <f t="shared" si="26"/>
        <v>3994260.0141728879</v>
      </c>
      <c r="AE62" s="240">
        <f t="shared" si="27"/>
        <v>1.8538548360800011</v>
      </c>
      <c r="AF62" s="185">
        <f>X59</f>
        <v>189.624953198485</v>
      </c>
      <c r="AG62" s="237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</row>
    <row r="63" spans="1:43" ht="17.149999999999999" customHeight="1" x14ac:dyDescent="0.45">
      <c r="A63" s="90"/>
      <c r="B63" s="254"/>
      <c r="C63" s="253"/>
      <c r="D63" s="239"/>
      <c r="E63" s="239"/>
      <c r="F63" s="239"/>
      <c r="G63" s="239"/>
      <c r="H63" s="239"/>
      <c r="I63" s="239"/>
      <c r="J63" s="239"/>
      <c r="K63" s="239"/>
      <c r="L63" s="241"/>
      <c r="M63" s="242"/>
      <c r="N63" s="241"/>
      <c r="O63" s="243"/>
      <c r="P63" s="243"/>
      <c r="Q63" s="241"/>
      <c r="R63" s="241"/>
      <c r="S63" s="243"/>
      <c r="T63" s="244"/>
      <c r="U63" s="244"/>
      <c r="V63" s="241"/>
      <c r="W63" s="245"/>
      <c r="X63" s="243"/>
      <c r="Y63" s="241"/>
      <c r="Z63" s="241"/>
      <c r="AA63" s="243"/>
      <c r="AB63" s="244"/>
      <c r="AC63" s="241"/>
      <c r="AD63" s="241"/>
      <c r="AE63" s="247"/>
      <c r="AF63" s="241"/>
      <c r="AG63" s="237"/>
      <c r="AH63" s="238"/>
      <c r="AI63" s="238"/>
      <c r="AJ63" s="238"/>
      <c r="AK63" s="238"/>
      <c r="AL63" s="238"/>
      <c r="AM63" s="238"/>
      <c r="AN63" s="238"/>
      <c r="AO63" s="238"/>
      <c r="AP63" s="238"/>
      <c r="AQ63" s="238"/>
    </row>
    <row r="64" spans="1:43" ht="17.149999999999999" customHeight="1" x14ac:dyDescent="0.45">
      <c r="A64" s="90"/>
      <c r="B64" s="254"/>
      <c r="C64" s="253"/>
      <c r="D64" s="239"/>
      <c r="E64" s="239"/>
      <c r="F64" s="239"/>
      <c r="G64" s="239"/>
      <c r="H64" s="239"/>
      <c r="I64" s="239"/>
      <c r="J64" s="239"/>
      <c r="K64" s="239"/>
      <c r="L64" s="241"/>
      <c r="M64" s="242"/>
      <c r="N64" s="241"/>
      <c r="O64" s="243"/>
      <c r="P64" s="243"/>
      <c r="Q64" s="241"/>
      <c r="R64" s="241"/>
      <c r="S64" s="243"/>
      <c r="T64" s="244"/>
      <c r="U64" s="244"/>
      <c r="V64" s="241"/>
      <c r="W64" s="245"/>
      <c r="X64" s="243"/>
      <c r="Y64" s="241"/>
      <c r="Z64" s="241"/>
      <c r="AA64" s="243"/>
      <c r="AB64" s="244"/>
      <c r="AC64" s="241"/>
      <c r="AD64" s="241"/>
      <c r="AE64" s="247"/>
      <c r="AF64" s="241"/>
      <c r="AG64" s="237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</row>
    <row r="65" spans="1:43" ht="17.149999999999999" customHeight="1" x14ac:dyDescent="0.45">
      <c r="A65" s="90"/>
      <c r="B65" s="254"/>
      <c r="C65" s="253"/>
      <c r="D65" s="239"/>
      <c r="E65" s="239"/>
      <c r="F65" s="239"/>
      <c r="G65" s="239"/>
      <c r="H65" s="239"/>
      <c r="I65" s="239"/>
      <c r="J65" s="239"/>
      <c r="K65" s="239"/>
      <c r="L65" s="241"/>
      <c r="M65" s="242"/>
      <c r="N65" s="241"/>
      <c r="O65" s="243"/>
      <c r="P65" s="243"/>
      <c r="Q65" s="241"/>
      <c r="R65" s="241"/>
      <c r="S65" s="243"/>
      <c r="T65" s="244"/>
      <c r="U65" s="244"/>
      <c r="V65" s="241"/>
      <c r="W65" s="245"/>
      <c r="X65" s="243"/>
      <c r="Y65" s="241"/>
      <c r="Z65" s="241"/>
      <c r="AA65" s="243"/>
      <c r="AB65" s="244"/>
      <c r="AC65" s="241"/>
      <c r="AD65" s="241"/>
      <c r="AE65" s="247"/>
      <c r="AF65" s="241"/>
      <c r="AG65" s="237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</row>
    <row r="66" spans="1:43" x14ac:dyDescent="0.45">
      <c r="A66" s="90"/>
      <c r="B66" s="118"/>
      <c r="C66" s="25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52"/>
      <c r="AH66" s="223"/>
      <c r="AI66" s="223"/>
      <c r="AJ66" s="223"/>
      <c r="AK66" s="223"/>
      <c r="AL66" s="223"/>
      <c r="AM66" s="223"/>
      <c r="AN66" s="223"/>
      <c r="AO66" s="223"/>
      <c r="AP66" s="223"/>
      <c r="AQ66" s="223"/>
    </row>
    <row r="67" spans="1:43" x14ac:dyDescent="0.45">
      <c r="A67" s="90"/>
      <c r="B67" s="118"/>
      <c r="C67" s="253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  <c r="AE67" s="229"/>
      <c r="AF67" s="229"/>
      <c r="AG67" s="237"/>
      <c r="AH67" s="229"/>
      <c r="AI67" s="229"/>
      <c r="AJ67" s="229"/>
      <c r="AK67" s="229"/>
      <c r="AL67" s="229"/>
      <c r="AM67" s="229"/>
      <c r="AN67" s="230"/>
      <c r="AO67" s="231"/>
      <c r="AP67" s="231"/>
      <c r="AQ67" s="231"/>
    </row>
    <row r="68" spans="1:43" x14ac:dyDescent="0.45">
      <c r="A68" s="90"/>
      <c r="B68" s="118"/>
      <c r="C68" s="253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29"/>
      <c r="AG68" s="237"/>
      <c r="AH68" s="229"/>
      <c r="AI68" s="229"/>
      <c r="AJ68" s="229"/>
      <c r="AK68" s="229"/>
      <c r="AL68" s="229"/>
      <c r="AM68" s="229"/>
      <c r="AN68" s="230"/>
      <c r="AO68" s="231"/>
      <c r="AP68" s="231"/>
      <c r="AQ68" s="231"/>
    </row>
    <row r="69" spans="1:43" s="127" customFormat="1" ht="22.5" x14ac:dyDescent="0.3">
      <c r="C69" s="128" t="s">
        <v>251</v>
      </c>
      <c r="D69" s="129"/>
      <c r="E69" s="129"/>
      <c r="F69" s="129"/>
      <c r="G69" s="129"/>
      <c r="H69" s="129"/>
      <c r="I69" s="130"/>
      <c r="J69" s="131"/>
      <c r="K69" s="131"/>
      <c r="L69" s="131"/>
      <c r="M69" s="132"/>
      <c r="N69" s="131"/>
      <c r="O69" s="133"/>
      <c r="P69" s="133"/>
      <c r="Q69" s="133"/>
      <c r="R69" s="131"/>
      <c r="S69" s="131"/>
      <c r="U69" s="133"/>
      <c r="V69" s="131"/>
      <c r="W69" s="131"/>
      <c r="X69" s="131"/>
      <c r="Y69" s="134"/>
      <c r="Z69" s="131"/>
      <c r="AA69" s="131"/>
      <c r="AB69" s="131"/>
      <c r="AC69" s="131"/>
      <c r="AD69" s="133"/>
      <c r="AE69" s="131"/>
      <c r="AF69" s="131"/>
      <c r="AG69" s="131"/>
      <c r="AH69" s="134"/>
      <c r="AI69" s="131"/>
      <c r="AJ69" s="135"/>
      <c r="AK69" s="131"/>
      <c r="AL69" s="131"/>
      <c r="AM69" s="131"/>
    </row>
    <row r="70" spans="1:43" x14ac:dyDescent="0.45">
      <c r="A70" s="183"/>
      <c r="B70" s="165"/>
      <c r="C70" s="80" t="s">
        <v>39</v>
      </c>
      <c r="D70" s="80" t="s">
        <v>156</v>
      </c>
      <c r="E70" s="229"/>
      <c r="F70" s="255"/>
      <c r="G70" s="255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  <c r="AE70" s="229"/>
      <c r="AF70" s="237"/>
      <c r="AG70" s="229"/>
      <c r="AH70" s="229"/>
      <c r="AI70" s="229"/>
      <c r="AJ70" s="229"/>
      <c r="AK70" s="229"/>
      <c r="AL70" s="229"/>
      <c r="AM70" s="230"/>
      <c r="AN70" s="231"/>
      <c r="AO70" s="231"/>
      <c r="AP70" s="231"/>
    </row>
    <row r="71" spans="1:43" x14ac:dyDescent="0.3">
      <c r="A71" s="91"/>
      <c r="B71" s="91"/>
      <c r="C71" s="82" t="s">
        <v>1</v>
      </c>
      <c r="D71" s="82" t="s">
        <v>157</v>
      </c>
      <c r="E71" s="229"/>
      <c r="F71" s="255"/>
      <c r="G71" s="255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  <c r="AA71" s="229"/>
      <c r="AB71" s="229"/>
      <c r="AC71" s="229"/>
      <c r="AD71" s="229"/>
      <c r="AE71" s="229"/>
      <c r="AF71" s="237"/>
      <c r="AG71" s="229"/>
      <c r="AH71" s="229"/>
      <c r="AI71" s="229"/>
      <c r="AJ71" s="229"/>
      <c r="AK71" s="229"/>
      <c r="AL71" s="229"/>
      <c r="AM71" s="230"/>
      <c r="AN71" s="231"/>
      <c r="AO71" s="231"/>
      <c r="AP71" s="231"/>
    </row>
    <row r="72" spans="1:43" x14ac:dyDescent="0.3">
      <c r="C72" s="250" t="s">
        <v>131</v>
      </c>
      <c r="D72" s="378" t="s">
        <v>158</v>
      </c>
      <c r="E72" s="378"/>
      <c r="F72" s="378"/>
      <c r="G72" s="378"/>
      <c r="H72" s="256"/>
      <c r="I72" s="256"/>
      <c r="J72" s="256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  <c r="AF72" s="377"/>
      <c r="AG72" s="375"/>
      <c r="AH72" s="375"/>
      <c r="AI72" s="375"/>
      <c r="AJ72" s="375"/>
      <c r="AK72" s="375"/>
      <c r="AL72" s="375"/>
      <c r="AM72" s="376"/>
      <c r="AN72" s="373"/>
      <c r="AO72" s="373"/>
      <c r="AP72" s="373"/>
    </row>
    <row r="73" spans="1:43" ht="15" customHeight="1" x14ac:dyDescent="0.3">
      <c r="C73" s="251"/>
      <c r="D73" s="374" t="s">
        <v>159</v>
      </c>
      <c r="E73" s="374"/>
      <c r="F73" s="374"/>
      <c r="G73" s="374"/>
      <c r="H73" s="235"/>
      <c r="I73" s="235"/>
      <c r="J73" s="23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  <c r="AC73" s="375"/>
      <c r="AD73" s="375"/>
      <c r="AE73" s="375"/>
      <c r="AF73" s="377"/>
      <c r="AG73" s="375"/>
      <c r="AH73" s="375"/>
      <c r="AI73" s="375"/>
      <c r="AJ73" s="375"/>
      <c r="AK73" s="375"/>
      <c r="AL73" s="375"/>
      <c r="AM73" s="376"/>
      <c r="AN73" s="373"/>
      <c r="AO73" s="373"/>
      <c r="AP73" s="373"/>
    </row>
    <row r="74" spans="1:43" ht="15" customHeight="1" x14ac:dyDescent="0.3">
      <c r="C74" s="233"/>
      <c r="D74" s="374" t="s">
        <v>160</v>
      </c>
      <c r="E74" s="374"/>
      <c r="F74" s="374"/>
      <c r="G74" s="374"/>
      <c r="H74" s="235"/>
      <c r="I74" s="235"/>
      <c r="J74" s="235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  <c r="AC74" s="229"/>
      <c r="AD74" s="229"/>
      <c r="AE74" s="229"/>
      <c r="AF74" s="237"/>
      <c r="AG74" s="229"/>
      <c r="AH74" s="229"/>
      <c r="AI74" s="229"/>
      <c r="AJ74" s="229"/>
      <c r="AK74" s="229"/>
      <c r="AL74" s="229"/>
      <c r="AM74" s="230"/>
      <c r="AN74" s="231"/>
      <c r="AO74" s="231"/>
      <c r="AP74" s="231"/>
    </row>
    <row r="75" spans="1:43" x14ac:dyDescent="0.3">
      <c r="C75" s="234"/>
      <c r="D75" s="223"/>
      <c r="E75" s="223"/>
      <c r="F75" s="223"/>
      <c r="G75" s="223"/>
      <c r="H75" s="235"/>
      <c r="I75" s="235"/>
      <c r="J75" s="235"/>
      <c r="K75" s="235"/>
      <c r="L75" s="223"/>
      <c r="M75" s="223"/>
      <c r="N75" s="223"/>
      <c r="O75" s="223"/>
      <c r="P75" s="223"/>
      <c r="Q75" s="223"/>
      <c r="R75" s="223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52"/>
      <c r="AH75" s="223"/>
      <c r="AI75" s="223"/>
      <c r="AJ75" s="223"/>
      <c r="AK75" s="223"/>
      <c r="AL75" s="223"/>
      <c r="AM75" s="223"/>
      <c r="AN75" s="223"/>
      <c r="AO75" s="223"/>
      <c r="AP75" s="223"/>
      <c r="AQ75" s="223"/>
    </row>
    <row r="76" spans="1:43" ht="16.5" customHeight="1" x14ac:dyDescent="0.3">
      <c r="A76" s="90"/>
      <c r="C76" s="300" t="s">
        <v>40</v>
      </c>
      <c r="D76" s="313" t="s">
        <v>71</v>
      </c>
      <c r="E76" s="307" t="s">
        <v>72</v>
      </c>
      <c r="F76" s="317" t="s">
        <v>73</v>
      </c>
      <c r="G76" s="303" t="s">
        <v>41</v>
      </c>
      <c r="H76" s="306" t="s">
        <v>42</v>
      </c>
      <c r="I76" s="307"/>
      <c r="J76" s="307"/>
      <c r="K76" s="308"/>
      <c r="L76" s="300" t="s">
        <v>66</v>
      </c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10"/>
      <c r="Y76" s="300" t="s">
        <v>43</v>
      </c>
      <c r="Z76" s="309"/>
      <c r="AA76" s="309"/>
      <c r="AB76" s="309"/>
      <c r="AC76" s="309"/>
      <c r="AD76" s="309"/>
      <c r="AE76" s="309"/>
      <c r="AF76" s="310"/>
      <c r="AG76" s="372"/>
      <c r="AH76" s="370"/>
      <c r="AI76" s="370"/>
      <c r="AJ76" s="370"/>
      <c r="AK76" s="370"/>
      <c r="AL76" s="370"/>
      <c r="AM76" s="370"/>
      <c r="AN76" s="370"/>
      <c r="AO76" s="370"/>
      <c r="AP76" s="370"/>
      <c r="AQ76" s="370"/>
    </row>
    <row r="77" spans="1:43" ht="16.5" customHeight="1" x14ac:dyDescent="0.3">
      <c r="A77" s="90"/>
      <c r="B77" s="285"/>
      <c r="C77" s="301"/>
      <c r="D77" s="314"/>
      <c r="E77" s="316"/>
      <c r="F77" s="318"/>
      <c r="G77" s="304"/>
      <c r="H77" s="296" t="s">
        <v>44</v>
      </c>
      <c r="I77" s="297"/>
      <c r="J77" s="297"/>
      <c r="K77" s="298"/>
      <c r="L77" s="302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2"/>
      <c r="Y77" s="302"/>
      <c r="Z77" s="311"/>
      <c r="AA77" s="311"/>
      <c r="AB77" s="311"/>
      <c r="AC77" s="311"/>
      <c r="AD77" s="311"/>
      <c r="AE77" s="311"/>
      <c r="AF77" s="312"/>
      <c r="AG77" s="372"/>
      <c r="AH77" s="370"/>
      <c r="AI77" s="370"/>
      <c r="AJ77" s="370"/>
      <c r="AK77" s="370"/>
      <c r="AL77" s="370"/>
      <c r="AM77" s="370"/>
      <c r="AN77" s="370"/>
      <c r="AO77" s="370"/>
      <c r="AP77" s="370"/>
      <c r="AQ77" s="370"/>
    </row>
    <row r="78" spans="1:43" ht="16.5" customHeight="1" x14ac:dyDescent="0.3">
      <c r="A78" s="90"/>
      <c r="B78" s="285"/>
      <c r="C78" s="301"/>
      <c r="D78" s="314"/>
      <c r="E78" s="316"/>
      <c r="F78" s="318"/>
      <c r="G78" s="304"/>
      <c r="H78" s="299" t="s">
        <v>45</v>
      </c>
      <c r="I78" s="143" t="s">
        <v>46</v>
      </c>
      <c r="J78" s="143" t="s">
        <v>47</v>
      </c>
      <c r="K78" s="144" t="s">
        <v>48</v>
      </c>
      <c r="L78" s="299" t="s">
        <v>49</v>
      </c>
      <c r="M78" s="143" t="s">
        <v>50</v>
      </c>
      <c r="N78" s="289" t="s">
        <v>51</v>
      </c>
      <c r="O78" s="145" t="s">
        <v>52</v>
      </c>
      <c r="P78" s="143" t="s">
        <v>53</v>
      </c>
      <c r="Q78" s="289" t="s">
        <v>13</v>
      </c>
      <c r="R78" s="289" t="s">
        <v>14</v>
      </c>
      <c r="S78" s="143" t="s">
        <v>54</v>
      </c>
      <c r="T78" s="143" t="s">
        <v>31</v>
      </c>
      <c r="U78" s="143" t="s">
        <v>32</v>
      </c>
      <c r="V78" s="143" t="s">
        <v>33</v>
      </c>
      <c r="W78" s="146" t="s">
        <v>55</v>
      </c>
      <c r="X78" s="290" t="s">
        <v>27</v>
      </c>
      <c r="Y78" s="292" t="s">
        <v>28</v>
      </c>
      <c r="Z78" s="281" t="s">
        <v>29</v>
      </c>
      <c r="AA78" s="294" t="s">
        <v>30</v>
      </c>
      <c r="AB78" s="281" t="s">
        <v>31</v>
      </c>
      <c r="AC78" s="281" t="s">
        <v>32</v>
      </c>
      <c r="AD78" s="281" t="s">
        <v>33</v>
      </c>
      <c r="AE78" s="281" t="s">
        <v>34</v>
      </c>
      <c r="AF78" s="283" t="s">
        <v>128</v>
      </c>
      <c r="AG78" s="371"/>
      <c r="AH78" s="370"/>
      <c r="AI78" s="370"/>
      <c r="AJ78" s="370"/>
      <c r="AK78" s="370"/>
      <c r="AL78" s="370"/>
      <c r="AM78" s="370"/>
      <c r="AN78" s="370"/>
      <c r="AO78" s="370"/>
      <c r="AP78" s="370"/>
      <c r="AQ78" s="370"/>
    </row>
    <row r="79" spans="1:43" ht="16.5" customHeight="1" x14ac:dyDescent="0.45">
      <c r="A79" s="90"/>
      <c r="B79" s="118"/>
      <c r="C79" s="302"/>
      <c r="D79" s="315"/>
      <c r="E79" s="297"/>
      <c r="F79" s="319"/>
      <c r="G79" s="305"/>
      <c r="H79" s="293"/>
      <c r="I79" s="148" t="s">
        <v>56</v>
      </c>
      <c r="J79" s="148" t="s">
        <v>56</v>
      </c>
      <c r="K79" s="149" t="s">
        <v>57</v>
      </c>
      <c r="L79" s="293"/>
      <c r="M79" s="148" t="s">
        <v>58</v>
      </c>
      <c r="N79" s="282"/>
      <c r="O79" s="148" t="s">
        <v>59</v>
      </c>
      <c r="P79" s="148" t="s">
        <v>60</v>
      </c>
      <c r="Q79" s="282"/>
      <c r="R79" s="282"/>
      <c r="S79" s="148" t="s">
        <v>61</v>
      </c>
      <c r="T79" s="148" t="s">
        <v>62</v>
      </c>
      <c r="U79" s="148" t="s">
        <v>63</v>
      </c>
      <c r="V79" s="148" t="s">
        <v>64</v>
      </c>
      <c r="W79" s="150" t="s">
        <v>65</v>
      </c>
      <c r="X79" s="291"/>
      <c r="Y79" s="293"/>
      <c r="Z79" s="282"/>
      <c r="AA79" s="295"/>
      <c r="AB79" s="282"/>
      <c r="AC79" s="282"/>
      <c r="AD79" s="282"/>
      <c r="AE79" s="282"/>
      <c r="AF79" s="284"/>
      <c r="AG79" s="371"/>
      <c r="AH79" s="370"/>
      <c r="AI79" s="370"/>
      <c r="AJ79" s="370"/>
      <c r="AK79" s="370"/>
      <c r="AL79" s="370"/>
      <c r="AM79" s="370"/>
      <c r="AN79" s="370"/>
      <c r="AO79" s="370"/>
      <c r="AP79" s="370"/>
      <c r="AQ79" s="370"/>
    </row>
    <row r="80" spans="1:43" ht="17.149999999999999" customHeight="1" x14ac:dyDescent="0.3">
      <c r="C80" s="151" t="s">
        <v>123</v>
      </c>
      <c r="D80" s="152" t="s">
        <v>137</v>
      </c>
      <c r="E80" s="152" t="s">
        <v>138</v>
      </c>
      <c r="F80" s="152" t="s">
        <v>154</v>
      </c>
      <c r="G80" s="153" t="s">
        <v>245</v>
      </c>
      <c r="H80" s="154">
        <f>I80+J80+K80</f>
        <v>785554</v>
      </c>
      <c r="I80" s="155">
        <v>150474</v>
      </c>
      <c r="J80" s="156">
        <v>310000</v>
      </c>
      <c r="K80" s="157">
        <v>325080</v>
      </c>
      <c r="L80" s="158">
        <v>8930528</v>
      </c>
      <c r="M80" s="159">
        <f>H80/L80</f>
        <v>8.7962772189953381E-2</v>
      </c>
      <c r="N80" s="155">
        <v>288161</v>
      </c>
      <c r="O80" s="160">
        <f>N80/L80</f>
        <v>3.2266961147202046E-2</v>
      </c>
      <c r="P80" s="160">
        <f>Q80/N80</f>
        <v>8.4442377698578222E-2</v>
      </c>
      <c r="Q80" s="155">
        <v>24333</v>
      </c>
      <c r="R80" s="155">
        <v>21206</v>
      </c>
      <c r="S80" s="160">
        <f>R80/Q80</f>
        <v>0.8714913902930177</v>
      </c>
      <c r="T80" s="162">
        <f>H80/Q80</f>
        <v>32.283483335388155</v>
      </c>
      <c r="U80" s="162">
        <f>H80/R80</f>
        <v>37.043949825521082</v>
      </c>
      <c r="V80" s="155">
        <f>X$80*R80</f>
        <v>4861653.7691907249</v>
      </c>
      <c r="W80" s="161">
        <f>V80/H80</f>
        <v>6.1888218622662796</v>
      </c>
      <c r="X80" s="286">
        <v>229.25840654487999</v>
      </c>
      <c r="Y80" s="154">
        <v>6838</v>
      </c>
      <c r="Z80" s="162">
        <v>5854</v>
      </c>
      <c r="AA80" s="160">
        <f>Z80/Y80</f>
        <v>0.85609827434922492</v>
      </c>
      <c r="AB80" s="162">
        <f>H80/Y80</f>
        <v>114.88066686165546</v>
      </c>
      <c r="AC80" s="162">
        <f>H80/Z80</f>
        <v>134.19098052613597</v>
      </c>
      <c r="AD80" s="162">
        <f>AF80*Z80</f>
        <v>1885385.0391401376</v>
      </c>
      <c r="AE80" s="161">
        <f>AD80/H80</f>
        <v>2.4000705733025836</v>
      </c>
      <c r="AF80" s="163">
        <v>322.06782356339897</v>
      </c>
      <c r="AG80" s="138" t="s">
        <v>140</v>
      </c>
      <c r="AH80" s="223"/>
      <c r="AI80" s="223"/>
      <c r="AJ80" s="223"/>
      <c r="AK80" s="223"/>
      <c r="AL80" s="223"/>
      <c r="AM80" s="223"/>
      <c r="AN80" s="223"/>
      <c r="AO80" s="223"/>
      <c r="AP80" s="223"/>
      <c r="AQ80" s="223"/>
    </row>
    <row r="81" spans="1:43" ht="17.149999999999999" customHeight="1" x14ac:dyDescent="0.3">
      <c r="C81" s="151" t="s">
        <v>123</v>
      </c>
      <c r="D81" s="152" t="s">
        <v>137</v>
      </c>
      <c r="E81" s="152" t="s">
        <v>155</v>
      </c>
      <c r="F81" s="152" t="s">
        <v>154</v>
      </c>
      <c r="G81" s="153" t="s">
        <v>250</v>
      </c>
      <c r="H81" s="154">
        <f>I81+J81+K81</f>
        <v>1180947</v>
      </c>
      <c r="I81" s="155">
        <v>180004</v>
      </c>
      <c r="J81" s="156">
        <v>0</v>
      </c>
      <c r="K81" s="157">
        <v>1000943</v>
      </c>
      <c r="L81" s="158">
        <v>19650475</v>
      </c>
      <c r="M81" s="159">
        <f t="shared" ref="M81:M83" si="30">H81/L81</f>
        <v>6.0097631227743857E-2</v>
      </c>
      <c r="N81" s="155">
        <v>300450</v>
      </c>
      <c r="O81" s="160">
        <f t="shared" ref="O81:O83" si="31">N81/L81</f>
        <v>1.5289706737368944E-2</v>
      </c>
      <c r="P81" s="160">
        <f t="shared" ref="P81:P83" si="32">Q81/N81</f>
        <v>8.7621900482609413E-2</v>
      </c>
      <c r="Q81" s="155">
        <v>26326</v>
      </c>
      <c r="R81" s="155">
        <v>23404</v>
      </c>
      <c r="S81" s="160">
        <f t="shared" ref="S81:S83" si="33">R81/Q81</f>
        <v>0.88900706525867967</v>
      </c>
      <c r="T81" s="162">
        <f t="shared" ref="T81:T83" si="34">H81/Q81</f>
        <v>44.858580870622198</v>
      </c>
      <c r="U81" s="162">
        <f t="shared" ref="U81:U83" si="35">H81/R81</f>
        <v>50.459195009400105</v>
      </c>
      <c r="V81" s="155">
        <f t="shared" ref="V81:V83" si="36">X$80*R81</f>
        <v>5365563.7467763713</v>
      </c>
      <c r="W81" s="161">
        <f t="shared" ref="W81:W83" si="37">V81/H81</f>
        <v>4.543441616580906</v>
      </c>
      <c r="X81" s="287"/>
      <c r="Y81" s="154">
        <v>10268</v>
      </c>
      <c r="Z81" s="162">
        <v>9179</v>
      </c>
      <c r="AA81" s="160">
        <f t="shared" ref="AA81:AA83" si="38">Z81/Y81</f>
        <v>0.8939423451499805</v>
      </c>
      <c r="AB81" s="162">
        <f>H81/Y81</f>
        <v>115.01236852356837</v>
      </c>
      <c r="AC81" s="162">
        <f t="shared" ref="AC81:AC83" si="39">H81/Z81</f>
        <v>128.65747902821658</v>
      </c>
      <c r="AD81" s="162">
        <f t="shared" ref="AD81:AD83" si="40">AF81*Z81</f>
        <v>1642900.3390619438</v>
      </c>
      <c r="AE81" s="161">
        <f t="shared" ref="AE81:AE83" si="41">AD81/H81</f>
        <v>1.3911719484972178</v>
      </c>
      <c r="AF81" s="163">
        <v>178.984675788424</v>
      </c>
      <c r="AG81" s="237"/>
      <c r="AH81" s="238"/>
      <c r="AI81" s="238"/>
      <c r="AJ81" s="238"/>
      <c r="AK81" s="238"/>
      <c r="AL81" s="238"/>
      <c r="AM81" s="238"/>
      <c r="AN81" s="238"/>
      <c r="AO81" s="238"/>
      <c r="AP81" s="238"/>
      <c r="AQ81" s="238"/>
    </row>
    <row r="82" spans="1:43" ht="17.149999999999999" customHeight="1" x14ac:dyDescent="0.3">
      <c r="C82" s="166"/>
      <c r="D82" s="167"/>
      <c r="E82" s="167"/>
      <c r="F82" s="167"/>
      <c r="G82" s="168" t="s">
        <v>112</v>
      </c>
      <c r="H82" s="169">
        <f>SUM(H80:H81)</f>
        <v>1966501</v>
      </c>
      <c r="I82" s="170">
        <f t="shared" ref="I82:K82" si="42">SUM(I80:I81)</f>
        <v>330478</v>
      </c>
      <c r="J82" s="170">
        <f t="shared" si="42"/>
        <v>310000</v>
      </c>
      <c r="K82" s="170">
        <f t="shared" si="42"/>
        <v>1326023</v>
      </c>
      <c r="L82" s="172">
        <f>SUM(L80:L81)</f>
        <v>28581003</v>
      </c>
      <c r="M82" s="173">
        <f t="shared" si="30"/>
        <v>6.8804478275307557E-2</v>
      </c>
      <c r="N82" s="170">
        <f>SUM(N80:N81)</f>
        <v>588611</v>
      </c>
      <c r="O82" s="174">
        <f t="shared" si="31"/>
        <v>2.0594483685544555E-2</v>
      </c>
      <c r="P82" s="174">
        <f t="shared" si="32"/>
        <v>8.6065330073681945E-2</v>
      </c>
      <c r="Q82" s="170">
        <f>SUM(Q80:Q81)</f>
        <v>50659</v>
      </c>
      <c r="R82" s="170">
        <f>SUM(R80:R81)</f>
        <v>44610</v>
      </c>
      <c r="S82" s="174">
        <f t="shared" si="33"/>
        <v>0.88059377405791661</v>
      </c>
      <c r="T82" s="175">
        <f t="shared" si="34"/>
        <v>38.818393572711663</v>
      </c>
      <c r="U82" s="175">
        <f t="shared" si="35"/>
        <v>44.082066801165659</v>
      </c>
      <c r="V82" s="170">
        <f t="shared" si="36"/>
        <v>10227217.515967097</v>
      </c>
      <c r="W82" s="176">
        <f t="shared" si="37"/>
        <v>5.2007181872610779</v>
      </c>
      <c r="X82" s="288"/>
      <c r="Y82" s="177">
        <f>SUM(Y80:Y81)</f>
        <v>17106</v>
      </c>
      <c r="Z82" s="175">
        <f>SUM(Z80:Z81)</f>
        <v>15033</v>
      </c>
      <c r="AA82" s="174">
        <f t="shared" si="38"/>
        <v>0.87881445106980005</v>
      </c>
      <c r="AB82" s="175">
        <f t="shared" ref="AB82:AB83" si="43">H82/Y82</f>
        <v>114.95972173506372</v>
      </c>
      <c r="AC82" s="175">
        <f t="shared" si="39"/>
        <v>130.8122796514335</v>
      </c>
      <c r="AD82" s="175">
        <f t="shared" si="40"/>
        <v>3446441.6255891807</v>
      </c>
      <c r="AE82" s="178">
        <f t="shared" si="41"/>
        <v>1.7525755774287328</v>
      </c>
      <c r="AF82" s="171">
        <f>X80</f>
        <v>229.25840654487999</v>
      </c>
      <c r="AG82" s="237"/>
      <c r="AH82" s="238"/>
      <c r="AI82" s="238"/>
      <c r="AJ82" s="238"/>
      <c r="AK82" s="238"/>
      <c r="AL82" s="238"/>
      <c r="AM82" s="238"/>
      <c r="AN82" s="238"/>
      <c r="AO82" s="238"/>
      <c r="AP82" s="238"/>
      <c r="AQ82" s="238"/>
    </row>
    <row r="83" spans="1:43" ht="17.149999999999999" customHeight="1" x14ac:dyDescent="0.3">
      <c r="C83" s="239"/>
      <c r="D83" s="239"/>
      <c r="E83" s="239"/>
      <c r="F83" s="239"/>
      <c r="G83" s="184" t="s">
        <v>145</v>
      </c>
      <c r="H83" s="185">
        <f>H82</f>
        <v>1966501</v>
      </c>
      <c r="I83" s="185">
        <f t="shared" ref="I83:K83" si="44">I82</f>
        <v>330478</v>
      </c>
      <c r="J83" s="185">
        <f t="shared" si="44"/>
        <v>310000</v>
      </c>
      <c r="K83" s="185">
        <f t="shared" si="44"/>
        <v>1326023</v>
      </c>
      <c r="L83" s="185">
        <v>26336533</v>
      </c>
      <c r="M83" s="186">
        <f t="shared" si="30"/>
        <v>7.4668180508041818E-2</v>
      </c>
      <c r="N83" s="185">
        <v>510769</v>
      </c>
      <c r="O83" s="187">
        <f t="shared" si="31"/>
        <v>1.9393934653433691E-2</v>
      </c>
      <c r="P83" s="187">
        <f t="shared" si="32"/>
        <v>8.8411786933036265E-2</v>
      </c>
      <c r="Q83" s="185">
        <v>45158</v>
      </c>
      <c r="R83" s="185">
        <v>39548</v>
      </c>
      <c r="S83" s="187">
        <f t="shared" si="33"/>
        <v>0.87576952035076838</v>
      </c>
      <c r="T83" s="188">
        <f t="shared" si="34"/>
        <v>43.547123433278713</v>
      </c>
      <c r="U83" s="188">
        <f t="shared" si="35"/>
        <v>49.724410842520484</v>
      </c>
      <c r="V83" s="185">
        <f t="shared" si="36"/>
        <v>9066711.4620369133</v>
      </c>
      <c r="W83" s="189">
        <f t="shared" si="37"/>
        <v>4.6105806516431533</v>
      </c>
      <c r="X83" s="187"/>
      <c r="Y83" s="185">
        <v>17075</v>
      </c>
      <c r="Z83" s="185">
        <v>15009</v>
      </c>
      <c r="AA83" s="187">
        <f t="shared" si="38"/>
        <v>0.87900439238653005</v>
      </c>
      <c r="AB83" s="188">
        <f t="shared" si="43"/>
        <v>115.16843338213762</v>
      </c>
      <c r="AC83" s="185">
        <f t="shared" si="39"/>
        <v>131.02145379439003</v>
      </c>
      <c r="AD83" s="185">
        <f t="shared" si="40"/>
        <v>3440939.4238321036</v>
      </c>
      <c r="AE83" s="240">
        <f t="shared" si="41"/>
        <v>1.7497776120287269</v>
      </c>
      <c r="AF83" s="185">
        <f>X80</f>
        <v>229.25840654487999</v>
      </c>
      <c r="AG83" s="237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</row>
    <row r="84" spans="1:43" ht="17.149999999999999" customHeight="1" x14ac:dyDescent="0.3">
      <c r="C84" s="239"/>
      <c r="D84" s="239"/>
      <c r="E84" s="239"/>
      <c r="F84" s="239"/>
      <c r="G84" s="239"/>
      <c r="H84" s="239"/>
      <c r="I84" s="239"/>
      <c r="J84" s="239"/>
      <c r="K84" s="239"/>
      <c r="L84" s="241"/>
      <c r="M84" s="242"/>
      <c r="N84" s="241"/>
      <c r="O84" s="243"/>
      <c r="P84" s="243"/>
      <c r="Q84" s="241"/>
      <c r="R84" s="241"/>
      <c r="S84" s="243"/>
      <c r="T84" s="244"/>
      <c r="U84" s="244"/>
      <c r="V84" s="241"/>
      <c r="W84" s="245"/>
      <c r="X84" s="243"/>
      <c r="Y84" s="241"/>
      <c r="Z84" s="241"/>
      <c r="AA84" s="243"/>
      <c r="AB84" s="244"/>
      <c r="AC84" s="241"/>
      <c r="AD84" s="241"/>
      <c r="AE84" s="247"/>
      <c r="AF84" s="241"/>
      <c r="AG84" s="237"/>
      <c r="AH84" s="238"/>
      <c r="AI84" s="238"/>
      <c r="AJ84" s="238"/>
      <c r="AK84" s="238"/>
      <c r="AL84" s="238"/>
      <c r="AM84" s="238"/>
      <c r="AN84" s="238"/>
      <c r="AO84" s="238"/>
      <c r="AP84" s="238"/>
      <c r="AQ84" s="238"/>
    </row>
    <row r="85" spans="1:43" ht="17.149999999999999" customHeight="1" x14ac:dyDescent="0.3">
      <c r="C85" s="239"/>
      <c r="D85" s="239"/>
      <c r="E85" s="239"/>
      <c r="F85" s="239"/>
      <c r="G85" s="239"/>
      <c r="H85" s="239"/>
      <c r="I85" s="239"/>
      <c r="J85" s="239"/>
      <c r="K85" s="239"/>
      <c r="L85" s="241"/>
      <c r="M85" s="242"/>
      <c r="N85" s="241"/>
      <c r="O85" s="243"/>
      <c r="P85" s="243"/>
      <c r="Q85" s="241"/>
      <c r="R85" s="241"/>
      <c r="S85" s="243"/>
      <c r="T85" s="244"/>
      <c r="U85" s="244"/>
      <c r="V85" s="241"/>
      <c r="W85" s="245"/>
      <c r="X85" s="243"/>
      <c r="Y85" s="241"/>
      <c r="Z85" s="241"/>
      <c r="AA85" s="243"/>
      <c r="AB85" s="244"/>
      <c r="AC85" s="241"/>
      <c r="AD85" s="241"/>
      <c r="AE85" s="247"/>
      <c r="AF85" s="241"/>
      <c r="AG85" s="237"/>
      <c r="AH85" s="238"/>
      <c r="AI85" s="238"/>
      <c r="AJ85" s="238"/>
      <c r="AK85" s="238"/>
      <c r="AL85" s="238"/>
      <c r="AM85" s="238"/>
      <c r="AN85" s="238"/>
      <c r="AO85" s="238"/>
      <c r="AP85" s="238"/>
      <c r="AQ85" s="238"/>
    </row>
    <row r="86" spans="1:43" ht="17.149999999999999" customHeight="1" x14ac:dyDescent="0.3">
      <c r="C86" s="239"/>
      <c r="D86" s="239"/>
      <c r="E86" s="239"/>
      <c r="F86" s="239"/>
      <c r="G86" s="239"/>
      <c r="H86" s="239"/>
      <c r="I86" s="239"/>
      <c r="J86" s="239"/>
      <c r="K86" s="239"/>
      <c r="L86" s="241"/>
      <c r="M86" s="242"/>
      <c r="N86" s="241"/>
      <c r="O86" s="243"/>
      <c r="P86" s="243"/>
      <c r="Q86" s="241"/>
      <c r="R86" s="241"/>
      <c r="S86" s="243"/>
      <c r="T86" s="244"/>
      <c r="U86" s="244"/>
      <c r="V86" s="241"/>
      <c r="W86" s="245"/>
      <c r="X86" s="243"/>
      <c r="Y86" s="241"/>
      <c r="Z86" s="241"/>
      <c r="AA86" s="243"/>
      <c r="AB86" s="244"/>
      <c r="AC86" s="241"/>
      <c r="AD86" s="241"/>
      <c r="AE86" s="247"/>
      <c r="AF86" s="241"/>
      <c r="AG86" s="237"/>
      <c r="AH86" s="238"/>
      <c r="AI86" s="238"/>
      <c r="AJ86" s="238"/>
      <c r="AK86" s="238"/>
      <c r="AL86" s="238"/>
      <c r="AM86" s="238"/>
      <c r="AN86" s="238"/>
      <c r="AO86" s="238"/>
      <c r="AP86" s="238"/>
      <c r="AQ86" s="238"/>
    </row>
    <row r="87" spans="1:43" x14ac:dyDescent="0.3">
      <c r="A87" s="90"/>
      <c r="B87" s="285"/>
      <c r="C87" s="234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52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</row>
    <row r="88" spans="1:43" x14ac:dyDescent="0.3">
      <c r="A88" s="90"/>
      <c r="B88" s="285"/>
      <c r="C88" s="234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52"/>
      <c r="AH88" s="223"/>
      <c r="AI88" s="223"/>
      <c r="AJ88" s="223"/>
      <c r="AK88" s="223"/>
      <c r="AL88" s="223"/>
      <c r="AM88" s="223"/>
      <c r="AN88" s="223"/>
      <c r="AO88" s="223"/>
      <c r="AP88" s="223"/>
      <c r="AQ88" s="223"/>
    </row>
    <row r="89" spans="1:43" x14ac:dyDescent="0.45">
      <c r="A89" s="90"/>
      <c r="B89" s="118"/>
      <c r="C89" s="234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  <c r="AF89" s="223"/>
      <c r="AG89" s="252"/>
      <c r="AH89" s="223"/>
      <c r="AI89" s="223"/>
      <c r="AJ89" s="223"/>
      <c r="AK89" s="223"/>
      <c r="AL89" s="223"/>
      <c r="AM89" s="223"/>
      <c r="AN89" s="223"/>
      <c r="AO89" s="223"/>
      <c r="AP89" s="223"/>
      <c r="AQ89" s="223"/>
    </row>
    <row r="90" spans="1:43" s="127" customFormat="1" ht="22.5" x14ac:dyDescent="0.3">
      <c r="C90" s="128" t="s">
        <v>252</v>
      </c>
      <c r="D90" s="129"/>
      <c r="E90" s="129"/>
      <c r="F90" s="129"/>
      <c r="G90" s="129"/>
      <c r="H90" s="129"/>
      <c r="I90" s="130"/>
      <c r="J90" s="131"/>
      <c r="K90" s="131"/>
      <c r="L90" s="131"/>
      <c r="M90" s="132"/>
      <c r="N90" s="131"/>
      <c r="O90" s="133"/>
      <c r="P90" s="133"/>
      <c r="Q90" s="133"/>
      <c r="R90" s="131"/>
      <c r="S90" s="131"/>
      <c r="U90" s="133"/>
      <c r="V90" s="131"/>
      <c r="W90" s="131"/>
      <c r="X90" s="131"/>
      <c r="Y90" s="134"/>
      <c r="Z90" s="131"/>
      <c r="AA90" s="131"/>
      <c r="AB90" s="131"/>
      <c r="AC90" s="131"/>
      <c r="AD90" s="133"/>
      <c r="AE90" s="131"/>
      <c r="AF90" s="131"/>
      <c r="AG90" s="131"/>
      <c r="AH90" s="134"/>
      <c r="AI90" s="131"/>
      <c r="AJ90" s="135"/>
      <c r="AK90" s="131"/>
      <c r="AL90" s="131"/>
      <c r="AM90" s="131"/>
    </row>
    <row r="91" spans="1:43" x14ac:dyDescent="0.45">
      <c r="A91" s="90"/>
      <c r="B91" s="118"/>
      <c r="C91" s="80" t="s">
        <v>39</v>
      </c>
      <c r="D91" s="80" t="s">
        <v>161</v>
      </c>
      <c r="E91" s="229"/>
      <c r="F91" s="255"/>
      <c r="G91" s="255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37"/>
      <c r="AG91" s="229"/>
      <c r="AH91" s="229"/>
      <c r="AI91" s="229"/>
      <c r="AJ91" s="229"/>
      <c r="AK91" s="229"/>
      <c r="AL91" s="229"/>
      <c r="AM91" s="230"/>
      <c r="AN91" s="231"/>
      <c r="AO91" s="231"/>
      <c r="AP91" s="231"/>
    </row>
    <row r="92" spans="1:43" x14ac:dyDescent="0.45">
      <c r="A92" s="90"/>
      <c r="B92" s="118"/>
      <c r="C92" s="82" t="s">
        <v>1</v>
      </c>
      <c r="D92" s="82" t="s">
        <v>162</v>
      </c>
      <c r="E92" s="229"/>
      <c r="F92" s="255"/>
      <c r="G92" s="255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37"/>
      <c r="AG92" s="229"/>
      <c r="AH92" s="229"/>
      <c r="AI92" s="229"/>
      <c r="AJ92" s="229"/>
      <c r="AK92" s="229"/>
      <c r="AL92" s="229"/>
      <c r="AM92" s="230"/>
      <c r="AN92" s="231"/>
      <c r="AO92" s="231"/>
      <c r="AP92" s="231"/>
    </row>
    <row r="93" spans="1:43" x14ac:dyDescent="0.45">
      <c r="A93" s="90"/>
      <c r="B93" s="118"/>
      <c r="C93" s="250" t="s">
        <v>131</v>
      </c>
      <c r="D93" s="378" t="s">
        <v>158</v>
      </c>
      <c r="E93" s="378"/>
      <c r="F93" s="378"/>
      <c r="G93" s="378"/>
      <c r="H93" s="256"/>
      <c r="I93" s="256"/>
      <c r="J93" s="256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77"/>
      <c r="AG93" s="375"/>
      <c r="AH93" s="375"/>
      <c r="AI93" s="375"/>
      <c r="AJ93" s="375"/>
      <c r="AK93" s="375"/>
      <c r="AL93" s="375"/>
      <c r="AM93" s="376"/>
      <c r="AN93" s="373"/>
      <c r="AO93" s="373"/>
      <c r="AP93" s="373"/>
    </row>
    <row r="94" spans="1:43" x14ac:dyDescent="0.45">
      <c r="A94" s="90"/>
      <c r="B94" s="118"/>
      <c r="C94" s="251"/>
      <c r="D94" s="374" t="s">
        <v>163</v>
      </c>
      <c r="E94" s="374"/>
      <c r="F94" s="374"/>
      <c r="G94" s="374"/>
      <c r="H94" s="235"/>
      <c r="I94" s="235"/>
      <c r="J94" s="23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7"/>
      <c r="AG94" s="375"/>
      <c r="AH94" s="375"/>
      <c r="AI94" s="375"/>
      <c r="AJ94" s="375"/>
      <c r="AK94" s="375"/>
      <c r="AL94" s="375"/>
      <c r="AM94" s="376"/>
      <c r="AN94" s="373"/>
      <c r="AO94" s="373"/>
      <c r="AP94" s="373"/>
    </row>
    <row r="95" spans="1:43" x14ac:dyDescent="0.45">
      <c r="A95" s="90"/>
      <c r="B95" s="118"/>
      <c r="C95" s="233"/>
      <c r="D95" s="374" t="s">
        <v>164</v>
      </c>
      <c r="E95" s="374"/>
      <c r="F95" s="374"/>
      <c r="G95" s="374"/>
      <c r="H95" s="235"/>
      <c r="I95" s="235"/>
      <c r="J95" s="235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37"/>
      <c r="AG95" s="229"/>
      <c r="AH95" s="229"/>
      <c r="AI95" s="229"/>
      <c r="AJ95" s="229"/>
      <c r="AK95" s="229"/>
      <c r="AL95" s="229"/>
      <c r="AM95" s="230"/>
      <c r="AN95" s="231"/>
      <c r="AO95" s="231"/>
      <c r="AP95" s="231"/>
    </row>
    <row r="96" spans="1:43" x14ac:dyDescent="0.45">
      <c r="A96" s="90"/>
      <c r="B96" s="118"/>
      <c r="C96" s="257"/>
      <c r="D96" s="229"/>
      <c r="E96" s="229"/>
      <c r="F96" s="229"/>
      <c r="G96" s="236"/>
      <c r="H96" s="235"/>
      <c r="I96" s="235"/>
      <c r="J96" s="235"/>
      <c r="K96" s="235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  <c r="AE96" s="229"/>
      <c r="AF96" s="229"/>
      <c r="AG96" s="237"/>
      <c r="AH96" s="229"/>
      <c r="AI96" s="229"/>
      <c r="AJ96" s="229"/>
      <c r="AK96" s="229"/>
      <c r="AL96" s="229"/>
      <c r="AM96" s="229"/>
      <c r="AN96" s="230"/>
      <c r="AO96" s="231"/>
      <c r="AP96" s="231"/>
      <c r="AQ96" s="231"/>
    </row>
    <row r="97" spans="1:43" ht="16.5" customHeight="1" x14ac:dyDescent="0.3">
      <c r="A97" s="90"/>
      <c r="C97" s="300" t="s">
        <v>40</v>
      </c>
      <c r="D97" s="313" t="s">
        <v>71</v>
      </c>
      <c r="E97" s="307" t="s">
        <v>72</v>
      </c>
      <c r="F97" s="317" t="s">
        <v>73</v>
      </c>
      <c r="G97" s="303" t="s">
        <v>41</v>
      </c>
      <c r="H97" s="306" t="s">
        <v>42</v>
      </c>
      <c r="I97" s="307"/>
      <c r="J97" s="307"/>
      <c r="K97" s="308"/>
      <c r="L97" s="300" t="s">
        <v>66</v>
      </c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  <c r="X97" s="310"/>
      <c r="Y97" s="300" t="s">
        <v>43</v>
      </c>
      <c r="Z97" s="309"/>
      <c r="AA97" s="309"/>
      <c r="AB97" s="309"/>
      <c r="AC97" s="309"/>
      <c r="AD97" s="309"/>
      <c r="AE97" s="309"/>
      <c r="AF97" s="310"/>
      <c r="AG97" s="372"/>
      <c r="AH97" s="370"/>
      <c r="AI97" s="370"/>
      <c r="AJ97" s="370"/>
      <c r="AK97" s="370"/>
      <c r="AL97" s="370"/>
      <c r="AM97" s="370"/>
      <c r="AN97" s="370"/>
      <c r="AO97" s="370"/>
      <c r="AP97" s="370"/>
      <c r="AQ97" s="370"/>
    </row>
    <row r="98" spans="1:43" ht="16.5" customHeight="1" x14ac:dyDescent="0.3">
      <c r="A98" s="90"/>
      <c r="B98" s="285"/>
      <c r="C98" s="301"/>
      <c r="D98" s="314"/>
      <c r="E98" s="316"/>
      <c r="F98" s="318"/>
      <c r="G98" s="304"/>
      <c r="H98" s="296" t="s">
        <v>44</v>
      </c>
      <c r="I98" s="297"/>
      <c r="J98" s="297"/>
      <c r="K98" s="298"/>
      <c r="L98" s="302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2"/>
      <c r="Y98" s="302"/>
      <c r="Z98" s="311"/>
      <c r="AA98" s="311"/>
      <c r="AB98" s="311"/>
      <c r="AC98" s="311"/>
      <c r="AD98" s="311"/>
      <c r="AE98" s="311"/>
      <c r="AF98" s="312"/>
      <c r="AG98" s="372"/>
      <c r="AH98" s="370"/>
      <c r="AI98" s="370"/>
      <c r="AJ98" s="370"/>
      <c r="AK98" s="370"/>
      <c r="AL98" s="370"/>
      <c r="AM98" s="370"/>
      <c r="AN98" s="370"/>
      <c r="AO98" s="370"/>
      <c r="AP98" s="370"/>
      <c r="AQ98" s="370"/>
    </row>
    <row r="99" spans="1:43" ht="16.5" customHeight="1" x14ac:dyDescent="0.3">
      <c r="A99" s="90"/>
      <c r="B99" s="285"/>
      <c r="C99" s="301"/>
      <c r="D99" s="314"/>
      <c r="E99" s="316"/>
      <c r="F99" s="318"/>
      <c r="G99" s="304"/>
      <c r="H99" s="299" t="s">
        <v>45</v>
      </c>
      <c r="I99" s="143" t="s">
        <v>46</v>
      </c>
      <c r="J99" s="143" t="s">
        <v>47</v>
      </c>
      <c r="K99" s="144" t="s">
        <v>48</v>
      </c>
      <c r="L99" s="299" t="s">
        <v>49</v>
      </c>
      <c r="M99" s="143" t="s">
        <v>50</v>
      </c>
      <c r="N99" s="289" t="s">
        <v>51</v>
      </c>
      <c r="O99" s="145" t="s">
        <v>52</v>
      </c>
      <c r="P99" s="143" t="s">
        <v>53</v>
      </c>
      <c r="Q99" s="289" t="s">
        <v>13</v>
      </c>
      <c r="R99" s="289" t="s">
        <v>14</v>
      </c>
      <c r="S99" s="143" t="s">
        <v>54</v>
      </c>
      <c r="T99" s="143" t="s">
        <v>31</v>
      </c>
      <c r="U99" s="143" t="s">
        <v>32</v>
      </c>
      <c r="V99" s="143" t="s">
        <v>33</v>
      </c>
      <c r="W99" s="146" t="s">
        <v>55</v>
      </c>
      <c r="X99" s="290" t="s">
        <v>27</v>
      </c>
      <c r="Y99" s="292" t="s">
        <v>28</v>
      </c>
      <c r="Z99" s="281" t="s">
        <v>29</v>
      </c>
      <c r="AA99" s="294" t="s">
        <v>30</v>
      </c>
      <c r="AB99" s="281" t="s">
        <v>31</v>
      </c>
      <c r="AC99" s="281" t="s">
        <v>32</v>
      </c>
      <c r="AD99" s="281" t="s">
        <v>33</v>
      </c>
      <c r="AE99" s="281" t="s">
        <v>34</v>
      </c>
      <c r="AF99" s="283" t="s">
        <v>128</v>
      </c>
      <c r="AG99" s="371"/>
      <c r="AH99" s="370"/>
      <c r="AI99" s="370"/>
      <c r="AJ99" s="370"/>
      <c r="AK99" s="370"/>
      <c r="AL99" s="370"/>
      <c r="AM99" s="370"/>
      <c r="AN99" s="370"/>
      <c r="AO99" s="370"/>
      <c r="AP99" s="370"/>
      <c r="AQ99" s="370"/>
    </row>
    <row r="100" spans="1:43" ht="16.5" customHeight="1" x14ac:dyDescent="0.45">
      <c r="A100" s="90"/>
      <c r="B100" s="118"/>
      <c r="C100" s="302"/>
      <c r="D100" s="315"/>
      <c r="E100" s="297"/>
      <c r="F100" s="319"/>
      <c r="G100" s="305"/>
      <c r="H100" s="293"/>
      <c r="I100" s="148" t="s">
        <v>56</v>
      </c>
      <c r="J100" s="148" t="s">
        <v>56</v>
      </c>
      <c r="K100" s="149" t="s">
        <v>57</v>
      </c>
      <c r="L100" s="293"/>
      <c r="M100" s="148" t="s">
        <v>58</v>
      </c>
      <c r="N100" s="282"/>
      <c r="O100" s="148" t="s">
        <v>59</v>
      </c>
      <c r="P100" s="148" t="s">
        <v>60</v>
      </c>
      <c r="Q100" s="282"/>
      <c r="R100" s="282"/>
      <c r="S100" s="148" t="s">
        <v>61</v>
      </c>
      <c r="T100" s="148" t="s">
        <v>62</v>
      </c>
      <c r="U100" s="148" t="s">
        <v>63</v>
      </c>
      <c r="V100" s="148" t="s">
        <v>64</v>
      </c>
      <c r="W100" s="150" t="s">
        <v>65</v>
      </c>
      <c r="X100" s="291"/>
      <c r="Y100" s="293"/>
      <c r="Z100" s="282"/>
      <c r="AA100" s="295"/>
      <c r="AB100" s="282"/>
      <c r="AC100" s="282"/>
      <c r="AD100" s="282"/>
      <c r="AE100" s="282"/>
      <c r="AF100" s="284"/>
      <c r="AG100" s="371"/>
      <c r="AH100" s="370"/>
      <c r="AI100" s="370"/>
      <c r="AJ100" s="370"/>
      <c r="AK100" s="370"/>
      <c r="AL100" s="370"/>
      <c r="AM100" s="370"/>
      <c r="AN100" s="370"/>
      <c r="AO100" s="370"/>
      <c r="AP100" s="370"/>
      <c r="AQ100" s="370"/>
    </row>
    <row r="101" spans="1:43" ht="17.149999999999999" customHeight="1" x14ac:dyDescent="0.3">
      <c r="C101" s="151" t="s">
        <v>125</v>
      </c>
      <c r="D101" s="152" t="s">
        <v>137</v>
      </c>
      <c r="E101" s="152" t="s">
        <v>138</v>
      </c>
      <c r="F101" s="152" t="s">
        <v>154</v>
      </c>
      <c r="G101" s="153" t="s">
        <v>245</v>
      </c>
      <c r="H101" s="154">
        <f>I101+J101+K101</f>
        <v>664354</v>
      </c>
      <c r="I101" s="155">
        <v>129274</v>
      </c>
      <c r="J101" s="156">
        <v>210000</v>
      </c>
      <c r="K101" s="157">
        <v>325080</v>
      </c>
      <c r="L101" s="158">
        <v>7318890</v>
      </c>
      <c r="M101" s="159">
        <f>H101/L101</f>
        <v>9.0772507852966769E-2</v>
      </c>
      <c r="N101" s="155">
        <v>221981</v>
      </c>
      <c r="O101" s="160">
        <f>N101/L101</f>
        <v>3.0329872426009954E-2</v>
      </c>
      <c r="P101" s="160">
        <f>Q101/N101</f>
        <v>8.0786193412949764E-2</v>
      </c>
      <c r="Q101" s="155">
        <v>17933</v>
      </c>
      <c r="R101" s="155">
        <v>15845</v>
      </c>
      <c r="S101" s="160">
        <f>R101/Q101</f>
        <v>0.8835666090447778</v>
      </c>
      <c r="T101" s="162">
        <f>H101/Q101</f>
        <v>37.046450677521889</v>
      </c>
      <c r="U101" s="162">
        <f>H101/R101</f>
        <v>41.928305459135373</v>
      </c>
      <c r="V101" s="155">
        <f>X$101*R101</f>
        <v>3619683.2857078146</v>
      </c>
      <c r="W101" s="161">
        <f>V101/H101</f>
        <v>5.448425516679082</v>
      </c>
      <c r="X101" s="286">
        <v>228.443249334668</v>
      </c>
      <c r="Y101" s="154">
        <v>5305</v>
      </c>
      <c r="Z101" s="162">
        <v>4588</v>
      </c>
      <c r="AA101" s="160">
        <f>Z101/Y101</f>
        <v>0.86484448633364752</v>
      </c>
      <c r="AB101" s="162">
        <f>H101/Y101</f>
        <v>125.23166823751178</v>
      </c>
      <c r="AC101" s="162">
        <f>H101/Z101</f>
        <v>144.80252833478639</v>
      </c>
      <c r="AD101" s="162">
        <f>AF101*Z101</f>
        <v>1477994.2878802742</v>
      </c>
      <c r="AE101" s="161">
        <f>AD101/H101</f>
        <v>2.2247089471581027</v>
      </c>
      <c r="AF101" s="163">
        <v>322.14348035751402</v>
      </c>
      <c r="AG101" s="138" t="s">
        <v>140</v>
      </c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</row>
    <row r="102" spans="1:43" ht="17.149999999999999" customHeight="1" x14ac:dyDescent="0.3">
      <c r="C102" s="151" t="s">
        <v>125</v>
      </c>
      <c r="D102" s="152" t="s">
        <v>137</v>
      </c>
      <c r="E102" s="152" t="s">
        <v>155</v>
      </c>
      <c r="F102" s="152" t="s">
        <v>154</v>
      </c>
      <c r="G102" s="153" t="s">
        <v>250</v>
      </c>
      <c r="H102" s="154">
        <f t="shared" ref="H102" si="45">I102+J102+K102</f>
        <v>1142117</v>
      </c>
      <c r="I102" s="155">
        <v>141174</v>
      </c>
      <c r="J102" s="156">
        <v>0</v>
      </c>
      <c r="K102" s="157">
        <v>1000943</v>
      </c>
      <c r="L102" s="158">
        <v>18160560</v>
      </c>
      <c r="M102" s="159">
        <f>H102/L102</f>
        <v>6.2889965948186619E-2</v>
      </c>
      <c r="N102" s="155">
        <v>254985</v>
      </c>
      <c r="O102" s="160">
        <f>N102/L102</f>
        <v>1.4040591259300374E-2</v>
      </c>
      <c r="P102" s="160">
        <f>Q102/N102</f>
        <v>8.8989548404808119E-2</v>
      </c>
      <c r="Q102" s="155">
        <v>22691</v>
      </c>
      <c r="R102" s="155">
        <v>20305</v>
      </c>
      <c r="S102" s="160">
        <f>R102/Q102</f>
        <v>0.89484817769159575</v>
      </c>
      <c r="T102" s="162">
        <f t="shared" ref="T102:T104" si="46">H102/Q102</f>
        <v>50.333480234454186</v>
      </c>
      <c r="U102" s="162">
        <f t="shared" ref="U102:U104" si="47">H102/R102</f>
        <v>56.248066978576702</v>
      </c>
      <c r="V102" s="155">
        <f t="shared" ref="V102:V104" si="48">X$101*R102</f>
        <v>4638540.1777404333</v>
      </c>
      <c r="W102" s="161">
        <f t="shared" ref="W102:W104" si="49">V102/H102</f>
        <v>4.0613528891877397</v>
      </c>
      <c r="X102" s="287"/>
      <c r="Y102" s="154">
        <v>8997</v>
      </c>
      <c r="Z102" s="162">
        <v>8091</v>
      </c>
      <c r="AA102" s="160">
        <f t="shared" ref="AA102:AA104" si="50">Z102/Y102</f>
        <v>0.8992997665888629</v>
      </c>
      <c r="AB102" s="162">
        <f t="shared" ref="AB102:AB104" si="51">H102/Y102</f>
        <v>126.94420362343003</v>
      </c>
      <c r="AC102" s="162">
        <f t="shared" ref="AC102:AC104" si="52">H102/Z102</f>
        <v>141.15894203435917</v>
      </c>
      <c r="AD102" s="162">
        <f t="shared" ref="AD102:AD104" si="53">AF102*Z102</f>
        <v>1438838.4701913383</v>
      </c>
      <c r="AE102" s="161">
        <f t="shared" ref="AE102:AE104" si="54">AD102/H102</f>
        <v>1.2597995390939267</v>
      </c>
      <c r="AF102" s="163">
        <v>177.83197011387199</v>
      </c>
      <c r="AG102" s="237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</row>
    <row r="103" spans="1:43" ht="17.149999999999999" customHeight="1" x14ac:dyDescent="0.3">
      <c r="C103" s="166"/>
      <c r="D103" s="167"/>
      <c r="E103" s="167"/>
      <c r="F103" s="167"/>
      <c r="G103" s="168" t="s">
        <v>112</v>
      </c>
      <c r="H103" s="169">
        <f>SUM(H101:H102)</f>
        <v>1806471</v>
      </c>
      <c r="I103" s="170">
        <f>SUM(I101:I102)</f>
        <v>270448</v>
      </c>
      <c r="J103" s="170">
        <f t="shared" ref="J103:K103" si="55">SUM(J101:J102)</f>
        <v>210000</v>
      </c>
      <c r="K103" s="170">
        <f t="shared" si="55"/>
        <v>1326023</v>
      </c>
      <c r="L103" s="172">
        <f>SUM(L101:L102)</f>
        <v>25479450</v>
      </c>
      <c r="M103" s="173">
        <f>H103/L103</f>
        <v>7.0899136362833584E-2</v>
      </c>
      <c r="N103" s="170">
        <f>SUM(N101:N102)</f>
        <v>476966</v>
      </c>
      <c r="O103" s="174">
        <f>N103/L103</f>
        <v>1.8719634842981305E-2</v>
      </c>
      <c r="P103" s="174">
        <f>Q103/N103</f>
        <v>8.5171689386664876E-2</v>
      </c>
      <c r="Q103" s="170">
        <f>SUM(Q101:Q102)</f>
        <v>40624</v>
      </c>
      <c r="R103" s="170">
        <f>SUM(R101:R102)</f>
        <v>36150</v>
      </c>
      <c r="S103" s="174">
        <f>R103/Q103</f>
        <v>0.88986805829066562</v>
      </c>
      <c r="T103" s="175">
        <f t="shared" si="46"/>
        <v>44.468073060259947</v>
      </c>
      <c r="U103" s="175">
        <f t="shared" si="47"/>
        <v>49.971535269709541</v>
      </c>
      <c r="V103" s="170">
        <f t="shared" si="48"/>
        <v>8258223.4634482479</v>
      </c>
      <c r="W103" s="176">
        <f t="shared" si="49"/>
        <v>4.5714674984808763</v>
      </c>
      <c r="X103" s="288"/>
      <c r="Y103" s="177">
        <f>SUM(Y101:Y102)</f>
        <v>14302</v>
      </c>
      <c r="Z103" s="175">
        <f>SUM(Z101:Z102)</f>
        <v>12679</v>
      </c>
      <c r="AA103" s="174">
        <f t="shared" si="50"/>
        <v>0.88651936792057051</v>
      </c>
      <c r="AB103" s="175">
        <f t="shared" si="51"/>
        <v>126.30897776534751</v>
      </c>
      <c r="AC103" s="175">
        <f t="shared" si="52"/>
        <v>142.47740358072403</v>
      </c>
      <c r="AD103" s="175">
        <f t="shared" si="53"/>
        <v>2896431.9583142553</v>
      </c>
      <c r="AE103" s="178">
        <f t="shared" si="54"/>
        <v>1.6033647693842057</v>
      </c>
      <c r="AF103" s="171">
        <f>X101</f>
        <v>228.443249334668</v>
      </c>
      <c r="AG103" s="237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</row>
    <row r="104" spans="1:43" ht="17.149999999999999" customHeight="1" x14ac:dyDescent="0.3">
      <c r="C104" s="239"/>
      <c r="D104" s="239"/>
      <c r="E104" s="239"/>
      <c r="F104" s="239"/>
      <c r="G104" s="184" t="s">
        <v>145</v>
      </c>
      <c r="H104" s="185">
        <f>H103</f>
        <v>1806471</v>
      </c>
      <c r="I104" s="185">
        <f t="shared" ref="I104:K104" si="56">I103</f>
        <v>270448</v>
      </c>
      <c r="J104" s="185">
        <f t="shared" si="56"/>
        <v>210000</v>
      </c>
      <c r="K104" s="185">
        <f t="shared" si="56"/>
        <v>1326023</v>
      </c>
      <c r="L104" s="185">
        <v>23726735</v>
      </c>
      <c r="M104" s="186">
        <f>H104/L104</f>
        <v>7.6136518572825121E-2</v>
      </c>
      <c r="N104" s="185">
        <v>417712</v>
      </c>
      <c r="O104" s="187">
        <f>N104/L104</f>
        <v>1.7605119288431382E-2</v>
      </c>
      <c r="P104" s="187">
        <f>Q104/N104</f>
        <v>8.7155743670280006E-2</v>
      </c>
      <c r="Q104" s="185">
        <v>36406</v>
      </c>
      <c r="R104" s="185">
        <v>32235</v>
      </c>
      <c r="S104" s="187">
        <f>R104/Q104</f>
        <v>0.88543097291655226</v>
      </c>
      <c r="T104" s="188">
        <f t="shared" si="46"/>
        <v>49.620145031038838</v>
      </c>
      <c r="U104" s="188">
        <f t="shared" si="47"/>
        <v>56.040670079106562</v>
      </c>
      <c r="V104" s="185">
        <f t="shared" si="48"/>
        <v>7363868.1423030226</v>
      </c>
      <c r="W104" s="189">
        <f t="shared" si="49"/>
        <v>4.07638325901884</v>
      </c>
      <c r="X104" s="187"/>
      <c r="Y104" s="185">
        <v>14280</v>
      </c>
      <c r="Z104" s="185">
        <v>12663</v>
      </c>
      <c r="AA104" s="187">
        <f t="shared" si="50"/>
        <v>0.8867647058823529</v>
      </c>
      <c r="AB104" s="188">
        <f t="shared" si="51"/>
        <v>126.50357142857143</v>
      </c>
      <c r="AC104" s="185">
        <f t="shared" si="52"/>
        <v>142.65742714996446</v>
      </c>
      <c r="AD104" s="185">
        <f t="shared" si="53"/>
        <v>2892776.8663249006</v>
      </c>
      <c r="AE104" s="240">
        <f t="shared" si="54"/>
        <v>1.6013414366047951</v>
      </c>
      <c r="AF104" s="185">
        <f>X101</f>
        <v>228.443249334668</v>
      </c>
      <c r="AG104" s="237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</row>
    <row r="105" spans="1:43" ht="17.149999999999999" customHeight="1" x14ac:dyDescent="0.3">
      <c r="C105" s="239"/>
      <c r="D105" s="239"/>
      <c r="E105" s="239"/>
      <c r="F105" s="239"/>
      <c r="G105" s="239"/>
      <c r="H105" s="241"/>
      <c r="I105" s="239"/>
      <c r="J105" s="239"/>
      <c r="K105" s="239"/>
      <c r="L105" s="241"/>
      <c r="M105" s="242"/>
      <c r="N105" s="241"/>
      <c r="O105" s="243"/>
      <c r="P105" s="243"/>
      <c r="Q105" s="241"/>
      <c r="R105" s="241"/>
      <c r="S105" s="243"/>
      <c r="T105" s="244"/>
      <c r="U105" s="244"/>
      <c r="V105" s="241"/>
      <c r="W105" s="245"/>
      <c r="X105" s="243"/>
      <c r="Y105" s="241"/>
      <c r="Z105" s="241"/>
      <c r="AA105" s="243"/>
      <c r="AB105" s="244"/>
      <c r="AC105" s="241"/>
      <c r="AD105" s="241"/>
      <c r="AE105" s="247"/>
      <c r="AF105" s="241"/>
      <c r="AG105" s="237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</row>
    <row r="106" spans="1:43" ht="17.149999999999999" customHeight="1" x14ac:dyDescent="0.3">
      <c r="C106" s="239"/>
      <c r="D106" s="239"/>
      <c r="E106" s="239"/>
      <c r="F106" s="239"/>
      <c r="G106" s="239"/>
      <c r="H106" s="241"/>
      <c r="I106" s="239"/>
      <c r="J106" s="239"/>
      <c r="K106" s="239"/>
      <c r="L106" s="241"/>
      <c r="M106" s="242"/>
      <c r="N106" s="241"/>
      <c r="O106" s="243"/>
      <c r="P106" s="243"/>
      <c r="Q106" s="241"/>
      <c r="R106" s="241"/>
      <c r="S106" s="243"/>
      <c r="T106" s="244"/>
      <c r="U106" s="244"/>
      <c r="V106" s="241"/>
      <c r="W106" s="245"/>
      <c r="X106" s="243"/>
      <c r="Y106" s="241"/>
      <c r="Z106" s="241"/>
      <c r="AA106" s="243"/>
      <c r="AB106" s="244"/>
      <c r="AC106" s="241"/>
      <c r="AD106" s="241"/>
      <c r="AE106" s="247"/>
      <c r="AF106" s="241"/>
      <c r="AG106" s="237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</row>
    <row r="107" spans="1:43" ht="17.149999999999999" customHeight="1" x14ac:dyDescent="0.3">
      <c r="C107" s="239"/>
      <c r="D107" s="239"/>
      <c r="E107" s="239"/>
      <c r="F107" s="239"/>
      <c r="G107" s="239"/>
      <c r="H107" s="241"/>
      <c r="I107" s="239"/>
      <c r="J107" s="239"/>
      <c r="K107" s="239"/>
      <c r="L107" s="241"/>
      <c r="M107" s="242"/>
      <c r="N107" s="241"/>
      <c r="O107" s="243"/>
      <c r="P107" s="243"/>
      <c r="Q107" s="241"/>
      <c r="R107" s="241"/>
      <c r="S107" s="243"/>
      <c r="T107" s="244"/>
      <c r="U107" s="244"/>
      <c r="V107" s="241"/>
      <c r="W107" s="245"/>
      <c r="X107" s="243"/>
      <c r="Y107" s="241"/>
      <c r="Z107" s="241"/>
      <c r="AA107" s="243"/>
      <c r="AB107" s="244"/>
      <c r="AC107" s="241"/>
      <c r="AD107" s="241"/>
      <c r="AE107" s="247"/>
      <c r="AF107" s="241"/>
      <c r="AG107" s="237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</row>
    <row r="108" spans="1:43" x14ac:dyDescent="0.3"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52"/>
      <c r="AH108" s="223"/>
      <c r="AI108" s="223"/>
      <c r="AJ108" s="223"/>
      <c r="AK108" s="223"/>
      <c r="AL108" s="223"/>
      <c r="AM108" s="223"/>
      <c r="AN108" s="223"/>
      <c r="AO108" s="223"/>
      <c r="AP108" s="223"/>
      <c r="AQ108" s="223"/>
    </row>
    <row r="109" spans="1:43" x14ac:dyDescent="0.3"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  <c r="AF109" s="223"/>
      <c r="AG109" s="252"/>
      <c r="AH109" s="223"/>
      <c r="AI109" s="223"/>
      <c r="AJ109" s="223"/>
      <c r="AK109" s="223"/>
      <c r="AL109" s="223"/>
      <c r="AM109" s="223"/>
      <c r="AN109" s="223"/>
      <c r="AO109" s="223"/>
      <c r="AP109" s="223"/>
      <c r="AQ109" s="223"/>
    </row>
    <row r="110" spans="1:43" x14ac:dyDescent="0.3"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52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</row>
    <row r="111" spans="1:43" s="127" customFormat="1" ht="22.5" x14ac:dyDescent="0.3">
      <c r="C111" s="128" t="s">
        <v>253</v>
      </c>
      <c r="D111" s="129"/>
      <c r="E111" s="129"/>
      <c r="F111" s="129"/>
      <c r="G111" s="129"/>
      <c r="H111" s="129"/>
      <c r="I111" s="130"/>
      <c r="J111" s="131"/>
      <c r="K111" s="131"/>
      <c r="L111" s="131"/>
      <c r="M111" s="132"/>
      <c r="N111" s="131"/>
      <c r="O111" s="133"/>
      <c r="P111" s="133"/>
      <c r="Q111" s="133"/>
      <c r="R111" s="131"/>
      <c r="S111" s="131"/>
      <c r="U111" s="133"/>
      <c r="V111" s="131"/>
      <c r="W111" s="131"/>
      <c r="X111" s="131"/>
      <c r="Y111" s="134"/>
      <c r="Z111" s="131"/>
      <c r="AA111" s="131"/>
      <c r="AB111" s="131"/>
      <c r="AC111" s="131"/>
      <c r="AD111" s="133"/>
      <c r="AE111" s="131"/>
      <c r="AF111" s="131"/>
      <c r="AG111" s="131"/>
      <c r="AH111" s="134"/>
      <c r="AI111" s="131"/>
      <c r="AJ111" s="135"/>
      <c r="AK111" s="131"/>
      <c r="AL111" s="131"/>
      <c r="AM111" s="131"/>
    </row>
    <row r="112" spans="1:43" x14ac:dyDescent="0.3">
      <c r="C112" s="80" t="s">
        <v>39</v>
      </c>
      <c r="D112" s="80" t="s">
        <v>126</v>
      </c>
      <c r="E112" s="229"/>
      <c r="F112" s="255"/>
      <c r="G112" s="255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  <c r="AD112" s="229"/>
      <c r="AE112" s="229"/>
      <c r="AF112" s="237"/>
      <c r="AG112" s="229"/>
      <c r="AH112" s="229"/>
      <c r="AI112" s="229"/>
      <c r="AJ112" s="229"/>
      <c r="AK112" s="229"/>
      <c r="AL112" s="229"/>
      <c r="AM112" s="230"/>
      <c r="AN112" s="231"/>
      <c r="AO112" s="231"/>
      <c r="AP112" s="231"/>
    </row>
    <row r="113" spans="1:43" x14ac:dyDescent="0.3">
      <c r="A113" s="90"/>
      <c r="B113" s="285"/>
      <c r="C113" s="82" t="s">
        <v>1</v>
      </c>
      <c r="D113" s="82" t="s">
        <v>165</v>
      </c>
      <c r="E113" s="229"/>
      <c r="F113" s="255"/>
      <c r="G113" s="255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  <c r="AD113" s="229"/>
      <c r="AE113" s="229"/>
      <c r="AF113" s="237"/>
      <c r="AG113" s="229"/>
      <c r="AH113" s="229"/>
      <c r="AI113" s="229"/>
      <c r="AJ113" s="229"/>
      <c r="AK113" s="229"/>
      <c r="AL113" s="229"/>
      <c r="AM113" s="230"/>
      <c r="AN113" s="231"/>
      <c r="AO113" s="231"/>
      <c r="AP113" s="231"/>
    </row>
    <row r="114" spans="1:43" x14ac:dyDescent="0.3">
      <c r="A114" s="90"/>
      <c r="B114" s="285"/>
      <c r="C114" s="229"/>
      <c r="D114" s="229"/>
      <c r="E114" s="229"/>
      <c r="F114" s="258"/>
      <c r="G114" s="258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  <c r="AD114" s="229"/>
      <c r="AE114" s="229"/>
      <c r="AF114" s="237"/>
      <c r="AG114" s="229"/>
      <c r="AH114" s="229"/>
      <c r="AI114" s="229"/>
      <c r="AJ114" s="229"/>
      <c r="AK114" s="229"/>
      <c r="AL114" s="229"/>
      <c r="AM114" s="230"/>
      <c r="AN114" s="231"/>
      <c r="AO114" s="231"/>
      <c r="AP114" s="231"/>
    </row>
    <row r="115" spans="1:43" x14ac:dyDescent="0.45">
      <c r="A115" s="90"/>
      <c r="B115" s="118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23"/>
      <c r="Q115" s="223"/>
      <c r="R115" s="223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52"/>
      <c r="AH115" s="223"/>
      <c r="AI115" s="223"/>
      <c r="AJ115" s="223"/>
      <c r="AK115" s="223"/>
      <c r="AL115" s="223"/>
      <c r="AM115" s="223"/>
      <c r="AN115" s="223"/>
      <c r="AO115" s="223"/>
      <c r="AP115" s="223"/>
      <c r="AQ115" s="223"/>
    </row>
    <row r="116" spans="1:43" ht="16.5" customHeight="1" x14ac:dyDescent="0.3">
      <c r="A116" s="90"/>
      <c r="C116" s="300" t="s">
        <v>40</v>
      </c>
      <c r="D116" s="313" t="s">
        <v>71</v>
      </c>
      <c r="E116" s="307" t="s">
        <v>72</v>
      </c>
      <c r="F116" s="317" t="s">
        <v>73</v>
      </c>
      <c r="G116" s="303" t="s">
        <v>41</v>
      </c>
      <c r="H116" s="306" t="s">
        <v>42</v>
      </c>
      <c r="I116" s="307"/>
      <c r="J116" s="307"/>
      <c r="K116" s="308"/>
      <c r="L116" s="300" t="s">
        <v>66</v>
      </c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10"/>
      <c r="Y116" s="300" t="s">
        <v>43</v>
      </c>
      <c r="Z116" s="309"/>
      <c r="AA116" s="309"/>
      <c r="AB116" s="309"/>
      <c r="AC116" s="309"/>
      <c r="AD116" s="309"/>
      <c r="AE116" s="309"/>
      <c r="AF116" s="310"/>
      <c r="AG116" s="372"/>
      <c r="AH116" s="370"/>
      <c r="AI116" s="370"/>
      <c r="AJ116" s="370"/>
      <c r="AK116" s="370"/>
      <c r="AL116" s="370"/>
      <c r="AM116" s="370"/>
      <c r="AN116" s="370"/>
      <c r="AO116" s="370"/>
      <c r="AP116" s="370"/>
      <c r="AQ116" s="370"/>
    </row>
    <row r="117" spans="1:43" ht="16.5" customHeight="1" x14ac:dyDescent="0.3">
      <c r="A117" s="90"/>
      <c r="B117" s="285"/>
      <c r="C117" s="301"/>
      <c r="D117" s="314"/>
      <c r="E117" s="316"/>
      <c r="F117" s="318"/>
      <c r="G117" s="304"/>
      <c r="H117" s="296" t="s">
        <v>44</v>
      </c>
      <c r="I117" s="297"/>
      <c r="J117" s="297"/>
      <c r="K117" s="298"/>
      <c r="L117" s="302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2"/>
      <c r="Y117" s="302"/>
      <c r="Z117" s="311"/>
      <c r="AA117" s="311"/>
      <c r="AB117" s="311"/>
      <c r="AC117" s="311"/>
      <c r="AD117" s="311"/>
      <c r="AE117" s="311"/>
      <c r="AF117" s="312"/>
      <c r="AG117" s="372"/>
      <c r="AH117" s="370"/>
      <c r="AI117" s="370"/>
      <c r="AJ117" s="370"/>
      <c r="AK117" s="370"/>
      <c r="AL117" s="370"/>
      <c r="AM117" s="370"/>
      <c r="AN117" s="370"/>
      <c r="AO117" s="370"/>
      <c r="AP117" s="370"/>
      <c r="AQ117" s="370"/>
    </row>
    <row r="118" spans="1:43" ht="16.5" customHeight="1" x14ac:dyDescent="0.3">
      <c r="A118" s="90"/>
      <c r="B118" s="285"/>
      <c r="C118" s="301"/>
      <c r="D118" s="314"/>
      <c r="E118" s="316"/>
      <c r="F118" s="318"/>
      <c r="G118" s="304"/>
      <c r="H118" s="299" t="s">
        <v>45</v>
      </c>
      <c r="I118" s="143" t="s">
        <v>46</v>
      </c>
      <c r="J118" s="143" t="s">
        <v>47</v>
      </c>
      <c r="K118" s="144" t="s">
        <v>48</v>
      </c>
      <c r="L118" s="299" t="s">
        <v>49</v>
      </c>
      <c r="M118" s="143" t="s">
        <v>50</v>
      </c>
      <c r="N118" s="289" t="s">
        <v>51</v>
      </c>
      <c r="O118" s="145" t="s">
        <v>52</v>
      </c>
      <c r="P118" s="143" t="s">
        <v>53</v>
      </c>
      <c r="Q118" s="289" t="s">
        <v>13</v>
      </c>
      <c r="R118" s="289" t="s">
        <v>14</v>
      </c>
      <c r="S118" s="143" t="s">
        <v>54</v>
      </c>
      <c r="T118" s="143" t="s">
        <v>31</v>
      </c>
      <c r="U118" s="143" t="s">
        <v>32</v>
      </c>
      <c r="V118" s="143" t="s">
        <v>33</v>
      </c>
      <c r="W118" s="146" t="s">
        <v>55</v>
      </c>
      <c r="X118" s="290" t="s">
        <v>27</v>
      </c>
      <c r="Y118" s="292" t="s">
        <v>28</v>
      </c>
      <c r="Z118" s="281" t="s">
        <v>29</v>
      </c>
      <c r="AA118" s="294" t="s">
        <v>30</v>
      </c>
      <c r="AB118" s="281" t="s">
        <v>31</v>
      </c>
      <c r="AC118" s="281" t="s">
        <v>32</v>
      </c>
      <c r="AD118" s="281" t="s">
        <v>33</v>
      </c>
      <c r="AE118" s="281" t="s">
        <v>34</v>
      </c>
      <c r="AF118" s="283" t="s">
        <v>128</v>
      </c>
      <c r="AG118" s="371"/>
      <c r="AH118" s="370"/>
      <c r="AI118" s="370"/>
      <c r="AJ118" s="370"/>
      <c r="AK118" s="370"/>
      <c r="AL118" s="370"/>
      <c r="AM118" s="370"/>
      <c r="AN118" s="370"/>
      <c r="AO118" s="370"/>
      <c r="AP118" s="370"/>
      <c r="AQ118" s="370"/>
    </row>
    <row r="119" spans="1:43" ht="16.5" customHeight="1" x14ac:dyDescent="0.45">
      <c r="A119" s="90"/>
      <c r="B119" s="118"/>
      <c r="C119" s="302"/>
      <c r="D119" s="315"/>
      <c r="E119" s="297"/>
      <c r="F119" s="319"/>
      <c r="G119" s="305"/>
      <c r="H119" s="293"/>
      <c r="I119" s="148" t="s">
        <v>56</v>
      </c>
      <c r="J119" s="148" t="s">
        <v>56</v>
      </c>
      <c r="K119" s="149" t="s">
        <v>57</v>
      </c>
      <c r="L119" s="293"/>
      <c r="M119" s="148" t="s">
        <v>58</v>
      </c>
      <c r="N119" s="282"/>
      <c r="O119" s="148" t="s">
        <v>59</v>
      </c>
      <c r="P119" s="148" t="s">
        <v>60</v>
      </c>
      <c r="Q119" s="282"/>
      <c r="R119" s="282"/>
      <c r="S119" s="148" t="s">
        <v>61</v>
      </c>
      <c r="T119" s="148" t="s">
        <v>62</v>
      </c>
      <c r="U119" s="148" t="s">
        <v>63</v>
      </c>
      <c r="V119" s="148" t="s">
        <v>64</v>
      </c>
      <c r="W119" s="150" t="s">
        <v>65</v>
      </c>
      <c r="X119" s="291"/>
      <c r="Y119" s="293"/>
      <c r="Z119" s="282"/>
      <c r="AA119" s="295"/>
      <c r="AB119" s="282"/>
      <c r="AC119" s="282"/>
      <c r="AD119" s="282"/>
      <c r="AE119" s="282"/>
      <c r="AF119" s="284"/>
      <c r="AG119" s="371"/>
      <c r="AH119" s="370"/>
      <c r="AI119" s="370"/>
      <c r="AJ119" s="370"/>
      <c r="AK119" s="370"/>
      <c r="AL119" s="370"/>
      <c r="AM119" s="370"/>
      <c r="AN119" s="370"/>
      <c r="AO119" s="370"/>
      <c r="AP119" s="370"/>
      <c r="AQ119" s="370"/>
    </row>
    <row r="120" spans="1:43" ht="17.149999999999999" customHeight="1" x14ac:dyDescent="0.45">
      <c r="A120" s="90"/>
      <c r="B120" s="118"/>
      <c r="C120" s="151" t="s">
        <v>127</v>
      </c>
      <c r="D120" s="152" t="s">
        <v>137</v>
      </c>
      <c r="E120" s="152" t="s">
        <v>138</v>
      </c>
      <c r="F120" s="152" t="s">
        <v>154</v>
      </c>
      <c r="G120" s="153" t="s">
        <v>245</v>
      </c>
      <c r="H120" s="154">
        <f>I120+J120+K120</f>
        <v>470216</v>
      </c>
      <c r="I120" s="155">
        <v>85136</v>
      </c>
      <c r="J120" s="156">
        <v>60000</v>
      </c>
      <c r="K120" s="157">
        <v>325080</v>
      </c>
      <c r="L120" s="158">
        <v>5311180</v>
      </c>
      <c r="M120" s="159">
        <f>H120/L120</f>
        <v>8.8533244966278679E-2</v>
      </c>
      <c r="N120" s="155">
        <v>146340</v>
      </c>
      <c r="O120" s="160">
        <f>N120/L120</f>
        <v>2.7553199100764803E-2</v>
      </c>
      <c r="P120" s="160">
        <f>Q120/N120</f>
        <v>7.518791854585212E-2</v>
      </c>
      <c r="Q120" s="155">
        <v>11003</v>
      </c>
      <c r="R120" s="155">
        <v>9849</v>
      </c>
      <c r="S120" s="160">
        <f>R120/Q120</f>
        <v>0.89511951286012903</v>
      </c>
      <c r="T120" s="162">
        <f>H120/Q120</f>
        <v>42.735254021630467</v>
      </c>
      <c r="U120" s="162">
        <f>H120/R120</f>
        <v>47.742511930145191</v>
      </c>
      <c r="V120" s="155">
        <f>X$120*R120</f>
        <v>1946295.7072441911</v>
      </c>
      <c r="W120" s="161">
        <f>V120/H120</f>
        <v>4.1391524474798622</v>
      </c>
      <c r="X120" s="286">
        <v>197.613535104497</v>
      </c>
      <c r="Y120" s="154">
        <v>3135</v>
      </c>
      <c r="Z120" s="162">
        <v>2752</v>
      </c>
      <c r="AA120" s="160">
        <f>Z120/Y120</f>
        <v>0.87783094098883574</v>
      </c>
      <c r="AB120" s="162">
        <f>H120/Y120</f>
        <v>149.98915470494418</v>
      </c>
      <c r="AC120" s="162">
        <f>H120/Z120</f>
        <v>170.86337209302326</v>
      </c>
      <c r="AD120" s="162">
        <f>AF120*Z120</f>
        <v>1073280</v>
      </c>
      <c r="AE120" s="161">
        <f>AD120/H120</f>
        <v>2.2825254776528232</v>
      </c>
      <c r="AF120" s="163">
        <v>390</v>
      </c>
      <c r="AG120" s="138" t="s">
        <v>254</v>
      </c>
      <c r="AH120" s="223"/>
      <c r="AI120" s="223"/>
      <c r="AJ120" s="223"/>
      <c r="AK120" s="223"/>
      <c r="AL120" s="223"/>
      <c r="AM120" s="223"/>
      <c r="AN120" s="223"/>
      <c r="AO120" s="223"/>
      <c r="AP120" s="223"/>
      <c r="AQ120" s="223"/>
    </row>
    <row r="121" spans="1:43" ht="17.149999999999999" customHeight="1" x14ac:dyDescent="0.45">
      <c r="A121" s="90"/>
      <c r="B121" s="118"/>
      <c r="C121" s="151" t="s">
        <v>127</v>
      </c>
      <c r="D121" s="152" t="s">
        <v>137</v>
      </c>
      <c r="E121" s="152" t="s">
        <v>155</v>
      </c>
      <c r="F121" s="152" t="s">
        <v>154</v>
      </c>
      <c r="G121" s="153" t="s">
        <v>250</v>
      </c>
      <c r="H121" s="154">
        <f>I121+J121+K121</f>
        <v>1100943</v>
      </c>
      <c r="I121" s="155">
        <v>100000</v>
      </c>
      <c r="J121" s="156">
        <v>0</v>
      </c>
      <c r="K121" s="157">
        <v>1000943</v>
      </c>
      <c r="L121" s="158">
        <v>16919577</v>
      </c>
      <c r="M121" s="159">
        <f>H121/L121</f>
        <v>6.5069179920987388E-2</v>
      </c>
      <c r="N121" s="155">
        <v>201218</v>
      </c>
      <c r="O121" s="160">
        <f>N121/L121</f>
        <v>1.1892614100222482E-2</v>
      </c>
      <c r="P121" s="160">
        <f>Q121/N121</f>
        <v>8.5643431502151895E-2</v>
      </c>
      <c r="Q121" s="155">
        <v>17233</v>
      </c>
      <c r="R121" s="155">
        <v>15447</v>
      </c>
      <c r="S121" s="160">
        <f>R121/Q121</f>
        <v>0.89636163175303196</v>
      </c>
      <c r="T121" s="162">
        <f>H121/Q121</f>
        <v>63.885742470840832</v>
      </c>
      <c r="U121" s="162">
        <f>H121/R121</f>
        <v>71.272285880753543</v>
      </c>
      <c r="V121" s="155">
        <f>X$120*R121</f>
        <v>3052536.2767591653</v>
      </c>
      <c r="W121" s="161">
        <f t="shared" ref="W121:W123" si="57">V121/H121</f>
        <v>2.7726560564526639</v>
      </c>
      <c r="X121" s="287"/>
      <c r="Y121" s="154">
        <v>5898</v>
      </c>
      <c r="Z121" s="162">
        <v>5349</v>
      </c>
      <c r="AA121" s="160">
        <f>Z121/Y121</f>
        <v>0.90691759918616477</v>
      </c>
      <c r="AB121" s="162">
        <f>H121/Y121</f>
        <v>186.66378433367242</v>
      </c>
      <c r="AC121" s="162">
        <f>H121/Z121</f>
        <v>205.82220975883342</v>
      </c>
      <c r="AD121" s="162">
        <f>AF121*Z121</f>
        <v>892978.66240254592</v>
      </c>
      <c r="AE121" s="161">
        <f t="shared" ref="AE121:AE123" si="58">AD121/H121</f>
        <v>0.81110344713808613</v>
      </c>
      <c r="AF121" s="163">
        <v>166.94310383296801</v>
      </c>
      <c r="AH121" s="238"/>
      <c r="AI121" s="238"/>
      <c r="AJ121" s="238"/>
      <c r="AK121" s="238"/>
      <c r="AL121" s="238"/>
      <c r="AM121" s="238"/>
      <c r="AN121" s="238"/>
      <c r="AO121" s="238"/>
      <c r="AP121" s="238"/>
      <c r="AQ121" s="238"/>
    </row>
    <row r="122" spans="1:43" ht="17.149999999999999" customHeight="1" x14ac:dyDescent="0.45">
      <c r="A122" s="90"/>
      <c r="B122" s="118"/>
      <c r="C122" s="166"/>
      <c r="D122" s="167"/>
      <c r="E122" s="167"/>
      <c r="F122" s="167"/>
      <c r="G122" s="168" t="s">
        <v>112</v>
      </c>
      <c r="H122" s="169">
        <f>SUM(H120:H121)</f>
        <v>1571159</v>
      </c>
      <c r="I122" s="170">
        <f>SUM(I120:I121)</f>
        <v>185136</v>
      </c>
      <c r="J122" s="170">
        <f t="shared" ref="J122:K122" si="59">SUM(J120:J121)</f>
        <v>60000</v>
      </c>
      <c r="K122" s="170">
        <f t="shared" si="59"/>
        <v>1326023</v>
      </c>
      <c r="L122" s="172">
        <f>SUM(L120:L121)</f>
        <v>22230757</v>
      </c>
      <c r="M122" s="173">
        <f>H122/L122</f>
        <v>7.0675011201822777E-2</v>
      </c>
      <c r="N122" s="170">
        <f>SUM(N120:N121)</f>
        <v>347558</v>
      </c>
      <c r="O122" s="174">
        <f>N122/L122</f>
        <v>1.5634105487276031E-2</v>
      </c>
      <c r="P122" s="174">
        <f>Q122/N122</f>
        <v>8.1241116590612214E-2</v>
      </c>
      <c r="Q122" s="170">
        <f>SUM(Q120:Q121)</f>
        <v>28236</v>
      </c>
      <c r="R122" s="170">
        <f>SUM(R120:R121)</f>
        <v>25296</v>
      </c>
      <c r="S122" s="174">
        <f>R122/Q122</f>
        <v>0.89587760305992348</v>
      </c>
      <c r="T122" s="175">
        <f>H122/Q122</f>
        <v>55.64382348774614</v>
      </c>
      <c r="U122" s="175">
        <f>H122/R122</f>
        <v>62.11096616065781</v>
      </c>
      <c r="V122" s="170">
        <f>X$120*R122</f>
        <v>4998831.9840033567</v>
      </c>
      <c r="W122" s="176">
        <f t="shared" si="57"/>
        <v>3.1816206914789378</v>
      </c>
      <c r="X122" s="288"/>
      <c r="Y122" s="177">
        <f>SUM(Y120:Y121)</f>
        <v>9033</v>
      </c>
      <c r="Z122" s="175">
        <f>SUM(Z120:Z121)</f>
        <v>8101</v>
      </c>
      <c r="AA122" s="174">
        <f>Z122/Y122</f>
        <v>0.89682276098749036</v>
      </c>
      <c r="AB122" s="175">
        <f>H122/Y122</f>
        <v>173.93545887302113</v>
      </c>
      <c r="AC122" s="175">
        <f>H122/Z122</f>
        <v>193.94630292556474</v>
      </c>
      <c r="AD122" s="175">
        <f>AF122*Z122</f>
        <v>1600867.2478815303</v>
      </c>
      <c r="AE122" s="178">
        <f t="shared" si="58"/>
        <v>1.0189084923177925</v>
      </c>
      <c r="AF122" s="171">
        <f>X120</f>
        <v>197.613535104497</v>
      </c>
      <c r="AG122" s="237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</row>
    <row r="123" spans="1:43" ht="17.149999999999999" customHeight="1" x14ac:dyDescent="0.45">
      <c r="A123" s="183"/>
      <c r="B123" s="165"/>
      <c r="C123" s="239"/>
      <c r="D123" s="239"/>
      <c r="E123" s="239"/>
      <c r="F123" s="239"/>
      <c r="G123" s="184" t="s">
        <v>145</v>
      </c>
      <c r="H123" s="185">
        <f>H122</f>
        <v>1571159</v>
      </c>
      <c r="I123" s="185">
        <f>I122</f>
        <v>185136</v>
      </c>
      <c r="J123" s="185">
        <f t="shared" ref="J123:K123" si="60">J122</f>
        <v>60000</v>
      </c>
      <c r="K123" s="185">
        <f t="shared" si="60"/>
        <v>1326023</v>
      </c>
      <c r="L123" s="185">
        <v>20969177</v>
      </c>
      <c r="M123" s="186">
        <f>H123/L123</f>
        <v>7.4927070337572135E-2</v>
      </c>
      <c r="N123" s="185">
        <v>307758</v>
      </c>
      <c r="O123" s="187">
        <f>N123/L123</f>
        <v>1.4676684735886392E-2</v>
      </c>
      <c r="P123" s="187">
        <f>Q123/N123</f>
        <v>8.2958038458789046E-2</v>
      </c>
      <c r="Q123" s="185">
        <v>25531</v>
      </c>
      <c r="R123" s="185">
        <v>22777</v>
      </c>
      <c r="S123" s="187">
        <f>R123/Q123</f>
        <v>0.89213113469899341</v>
      </c>
      <c r="T123" s="188">
        <f>H123/Q123</f>
        <v>61.539265990364655</v>
      </c>
      <c r="U123" s="188">
        <f>H123/R123</f>
        <v>68.980067612064801</v>
      </c>
      <c r="V123" s="185">
        <f t="shared" ref="V123" si="61">X$120*R123</f>
        <v>4501043.489075128</v>
      </c>
      <c r="W123" s="189">
        <f t="shared" si="57"/>
        <v>2.8647918441578022</v>
      </c>
      <c r="X123" s="187"/>
      <c r="Y123" s="185">
        <v>7740</v>
      </c>
      <c r="Z123" s="185">
        <v>6961</v>
      </c>
      <c r="AA123" s="187">
        <f>Z123/Y123</f>
        <v>0.8993540051679586</v>
      </c>
      <c r="AB123" s="188">
        <f>H123/Y123</f>
        <v>202.99211886304909</v>
      </c>
      <c r="AC123" s="185">
        <f>H123/Z123</f>
        <v>225.70880620600488</v>
      </c>
      <c r="AD123" s="185">
        <f>AF123*Z123</f>
        <v>1375587.8178624036</v>
      </c>
      <c r="AE123" s="240">
        <f t="shared" si="58"/>
        <v>0.87552425811926327</v>
      </c>
      <c r="AF123" s="185">
        <f>X120</f>
        <v>197.613535104497</v>
      </c>
      <c r="AG123" s="237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</row>
    <row r="124" spans="1:43" x14ac:dyDescent="0.3">
      <c r="A124" s="91"/>
      <c r="B124" s="91"/>
    </row>
    <row r="135" spans="1:2" x14ac:dyDescent="0.3">
      <c r="A135" s="90"/>
      <c r="B135" s="285"/>
    </row>
    <row r="136" spans="1:2" x14ac:dyDescent="0.3">
      <c r="A136" s="90"/>
      <c r="B136" s="285"/>
    </row>
    <row r="137" spans="1:2" x14ac:dyDescent="0.3">
      <c r="A137" s="90"/>
      <c r="B137" s="285"/>
    </row>
    <row r="138" spans="1:2" x14ac:dyDescent="0.3">
      <c r="A138" s="90"/>
      <c r="B138" s="285"/>
    </row>
    <row r="139" spans="1:2" x14ac:dyDescent="0.45">
      <c r="A139" s="90"/>
      <c r="B139" s="118"/>
    </row>
    <row r="140" spans="1:2" x14ac:dyDescent="0.45">
      <c r="A140" s="90"/>
      <c r="B140" s="118"/>
    </row>
    <row r="141" spans="1:2" x14ac:dyDescent="0.45">
      <c r="A141" s="183"/>
      <c r="B141" s="165"/>
    </row>
    <row r="142" spans="1:2" x14ac:dyDescent="0.3">
      <c r="A142" s="91"/>
      <c r="B142" s="91"/>
    </row>
  </sheetData>
  <mergeCells count="397">
    <mergeCell ref="Y14:AF15"/>
    <mergeCell ref="AG14:AG15"/>
    <mergeCell ref="AH14:AH15"/>
    <mergeCell ref="AI14:AI15"/>
    <mergeCell ref="D10:G10"/>
    <mergeCell ref="D11:G11"/>
    <mergeCell ref="D12:G12"/>
    <mergeCell ref="B13:B14"/>
    <mergeCell ref="C14:C17"/>
    <mergeCell ref="D14:D17"/>
    <mergeCell ref="E14:E17"/>
    <mergeCell ref="F14:F17"/>
    <mergeCell ref="G14:G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P14:AP15"/>
    <mergeCell ref="AQ14:AQ15"/>
    <mergeCell ref="H15:K15"/>
    <mergeCell ref="H16:H17"/>
    <mergeCell ref="L16:L17"/>
    <mergeCell ref="N16:N17"/>
    <mergeCell ref="Q16:Q17"/>
    <mergeCell ref="R16:R17"/>
    <mergeCell ref="X16:X17"/>
    <mergeCell ref="Y16:Y17"/>
    <mergeCell ref="AJ14:AJ15"/>
    <mergeCell ref="AK14:AK15"/>
    <mergeCell ref="AL14:AL15"/>
    <mergeCell ref="AM14:AM15"/>
    <mergeCell ref="AN14:AN15"/>
    <mergeCell ref="AO14:AO15"/>
    <mergeCell ref="H14:K14"/>
    <mergeCell ref="L14:X15"/>
    <mergeCell ref="AL16:AL17"/>
    <mergeCell ref="AM16:AM17"/>
    <mergeCell ref="AN16:AN17"/>
    <mergeCell ref="AO16:AO17"/>
    <mergeCell ref="AP16:AP17"/>
    <mergeCell ref="AQ16:AQ17"/>
    <mergeCell ref="AJ16:AJ17"/>
    <mergeCell ref="AK16:AK17"/>
    <mergeCell ref="X18:X21"/>
    <mergeCell ref="D32:G32"/>
    <mergeCell ref="B33:B34"/>
    <mergeCell ref="C34:C37"/>
    <mergeCell ref="D34:D37"/>
    <mergeCell ref="E34:E37"/>
    <mergeCell ref="F34:F37"/>
    <mergeCell ref="G34:G37"/>
    <mergeCell ref="H34:K34"/>
    <mergeCell ref="L34:X35"/>
    <mergeCell ref="Y36:Y37"/>
    <mergeCell ref="Z36:Z37"/>
    <mergeCell ref="AA36:AA37"/>
    <mergeCell ref="AB36:AB37"/>
    <mergeCell ref="B35:B36"/>
    <mergeCell ref="H35:K35"/>
    <mergeCell ref="H36:H37"/>
    <mergeCell ref="L36:L37"/>
    <mergeCell ref="N36:N37"/>
    <mergeCell ref="Q36:Q37"/>
    <mergeCell ref="AL34:AL35"/>
    <mergeCell ref="AM34:AM35"/>
    <mergeCell ref="AN34:AN35"/>
    <mergeCell ref="AO34:AO35"/>
    <mergeCell ref="AP34:AP35"/>
    <mergeCell ref="AQ34:AQ35"/>
    <mergeCell ref="Y34:AF35"/>
    <mergeCell ref="AG34:AG35"/>
    <mergeCell ref="AH34:AH35"/>
    <mergeCell ref="AI34:AI35"/>
    <mergeCell ref="AJ34:AJ35"/>
    <mergeCell ref="AK34:AK35"/>
    <mergeCell ref="AO36:AO37"/>
    <mergeCell ref="AP36:AP37"/>
    <mergeCell ref="AQ36:AQ37"/>
    <mergeCell ref="X38:X40"/>
    <mergeCell ref="D51:G51"/>
    <mergeCell ref="H51:H52"/>
    <mergeCell ref="I51:I52"/>
    <mergeCell ref="J51:J52"/>
    <mergeCell ref="K51:K52"/>
    <mergeCell ref="L51:L52"/>
    <mergeCell ref="AI36:AI37"/>
    <mergeCell ref="AJ36:AJ37"/>
    <mergeCell ref="AK36:AK37"/>
    <mergeCell ref="AL36:AL37"/>
    <mergeCell ref="AM36:AM37"/>
    <mergeCell ref="AN36:AN37"/>
    <mergeCell ref="AC36:AC37"/>
    <mergeCell ref="AD36:AD37"/>
    <mergeCell ref="AE36:AE37"/>
    <mergeCell ref="AF36:AF37"/>
    <mergeCell ref="AG36:AG37"/>
    <mergeCell ref="AH36:AH37"/>
    <mergeCell ref="R36:R37"/>
    <mergeCell ref="X36:X37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AH55:AH56"/>
    <mergeCell ref="AI55:AI56"/>
    <mergeCell ref="AK51:AK52"/>
    <mergeCell ref="AL51:AL52"/>
    <mergeCell ref="AM51:AM52"/>
    <mergeCell ref="D52:G52"/>
    <mergeCell ref="D53:G53"/>
    <mergeCell ref="C55:C58"/>
    <mergeCell ref="D55:D58"/>
    <mergeCell ref="E55:E58"/>
    <mergeCell ref="F55:F58"/>
    <mergeCell ref="G55:G58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AA57:AA58"/>
    <mergeCell ref="AB57:AB58"/>
    <mergeCell ref="AC57:AC58"/>
    <mergeCell ref="AD57:AD58"/>
    <mergeCell ref="AP55:AP56"/>
    <mergeCell ref="AQ55:AQ56"/>
    <mergeCell ref="B56:B57"/>
    <mergeCell ref="H56:K56"/>
    <mergeCell ref="H57:H58"/>
    <mergeCell ref="L57:L58"/>
    <mergeCell ref="N57:N58"/>
    <mergeCell ref="Q57:Q58"/>
    <mergeCell ref="R57:R58"/>
    <mergeCell ref="X57:X58"/>
    <mergeCell ref="AJ55:AJ56"/>
    <mergeCell ref="AK55:AK56"/>
    <mergeCell ref="AL55:AL56"/>
    <mergeCell ref="AM55:AM56"/>
    <mergeCell ref="AN55:AN56"/>
    <mergeCell ref="AO55:AO56"/>
    <mergeCell ref="H55:K55"/>
    <mergeCell ref="L55:X56"/>
    <mergeCell ref="Y55:AF56"/>
    <mergeCell ref="AG55:AG56"/>
    <mergeCell ref="AQ57:AQ58"/>
    <mergeCell ref="B59:B60"/>
    <mergeCell ref="X59:X61"/>
    <mergeCell ref="D72:G72"/>
    <mergeCell ref="K72:K73"/>
    <mergeCell ref="L72:L73"/>
    <mergeCell ref="M72:M73"/>
    <mergeCell ref="N72:N73"/>
    <mergeCell ref="O72:O73"/>
    <mergeCell ref="P72:P73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G76:AG77"/>
    <mergeCell ref="AH76:AH77"/>
    <mergeCell ref="AI76:AI77"/>
    <mergeCell ref="AJ76:AJ77"/>
    <mergeCell ref="AO72:AO73"/>
    <mergeCell ref="AP72:AP73"/>
    <mergeCell ref="D73:G73"/>
    <mergeCell ref="D74:G74"/>
    <mergeCell ref="C76:C79"/>
    <mergeCell ref="D76:D79"/>
    <mergeCell ref="E76:E79"/>
    <mergeCell ref="F76:F79"/>
    <mergeCell ref="G76:G79"/>
    <mergeCell ref="H76:K76"/>
    <mergeCell ref="AI72:AI73"/>
    <mergeCell ref="AJ72:AJ73"/>
    <mergeCell ref="AK72:AK73"/>
    <mergeCell ref="AL72:AL73"/>
    <mergeCell ref="AM72:AM73"/>
    <mergeCell ref="AN72:AN73"/>
    <mergeCell ref="AC72:AC73"/>
    <mergeCell ref="AD72:AD73"/>
    <mergeCell ref="AE72:AE73"/>
    <mergeCell ref="AF72:AF73"/>
    <mergeCell ref="Z78:Z79"/>
    <mergeCell ref="AA78:AA79"/>
    <mergeCell ref="AB78:AB79"/>
    <mergeCell ref="AC78:AC79"/>
    <mergeCell ref="AD78:AD79"/>
    <mergeCell ref="AE78:AE79"/>
    <mergeCell ref="AQ76:AQ77"/>
    <mergeCell ref="B77:B78"/>
    <mergeCell ref="H77:K77"/>
    <mergeCell ref="H78:H79"/>
    <mergeCell ref="L78:L79"/>
    <mergeCell ref="N78:N79"/>
    <mergeCell ref="Q78:Q79"/>
    <mergeCell ref="R78:R79"/>
    <mergeCell ref="X78:X79"/>
    <mergeCell ref="Y78:Y79"/>
    <mergeCell ref="AK76:AK77"/>
    <mergeCell ref="AL76:AL77"/>
    <mergeCell ref="AM76:AM77"/>
    <mergeCell ref="AN76:AN77"/>
    <mergeCell ref="AO76:AO77"/>
    <mergeCell ref="AP76:AP77"/>
    <mergeCell ref="L76:X77"/>
    <mergeCell ref="Y76:AF77"/>
    <mergeCell ref="AL78:AL79"/>
    <mergeCell ref="AM78:AM79"/>
    <mergeCell ref="AN78:AN79"/>
    <mergeCell ref="AO78:AO79"/>
    <mergeCell ref="AP78:AP79"/>
    <mergeCell ref="AQ78:AQ79"/>
    <mergeCell ref="AF78:AF79"/>
    <mergeCell ref="AG78:AG79"/>
    <mergeCell ref="AH78:AH79"/>
    <mergeCell ref="AI78:AI79"/>
    <mergeCell ref="AJ78:AJ79"/>
    <mergeCell ref="AK78:AK79"/>
    <mergeCell ref="X80:X82"/>
    <mergeCell ref="B87:B88"/>
    <mergeCell ref="D93:G93"/>
    <mergeCell ref="K93:K94"/>
    <mergeCell ref="L93:L94"/>
    <mergeCell ref="M93:M94"/>
    <mergeCell ref="N93:N94"/>
    <mergeCell ref="O93:O94"/>
    <mergeCell ref="P93:P94"/>
    <mergeCell ref="Q93:Q94"/>
    <mergeCell ref="Z93:Z94"/>
    <mergeCell ref="AA93:AA94"/>
    <mergeCell ref="AB93:AB94"/>
    <mergeCell ref="AC93:AC94"/>
    <mergeCell ref="R93:R94"/>
    <mergeCell ref="S93:S94"/>
    <mergeCell ref="T93:T94"/>
    <mergeCell ref="U93:U94"/>
    <mergeCell ref="V93:V94"/>
    <mergeCell ref="W93:W94"/>
    <mergeCell ref="AP93:AP94"/>
    <mergeCell ref="D94:G94"/>
    <mergeCell ref="D95:G95"/>
    <mergeCell ref="C97:C100"/>
    <mergeCell ref="D97:D100"/>
    <mergeCell ref="E97:E100"/>
    <mergeCell ref="F97:F100"/>
    <mergeCell ref="G97:G100"/>
    <mergeCell ref="H97:K97"/>
    <mergeCell ref="L97:X98"/>
    <mergeCell ref="AJ93:AJ94"/>
    <mergeCell ref="AK93:AK94"/>
    <mergeCell ref="AL93:AL94"/>
    <mergeCell ref="AM93:AM94"/>
    <mergeCell ref="AN93:AN94"/>
    <mergeCell ref="AO93:AO94"/>
    <mergeCell ref="AD93:AD94"/>
    <mergeCell ref="AE93:AE94"/>
    <mergeCell ref="AF93:AF94"/>
    <mergeCell ref="AG93:AG94"/>
    <mergeCell ref="AH93:AH94"/>
    <mergeCell ref="AI93:AI94"/>
    <mergeCell ref="X93:X94"/>
    <mergeCell ref="Y93:Y94"/>
    <mergeCell ref="AL97:AL98"/>
    <mergeCell ref="AM97:AM98"/>
    <mergeCell ref="AN97:AN98"/>
    <mergeCell ref="AO97:AO98"/>
    <mergeCell ref="AP97:AP98"/>
    <mergeCell ref="AQ97:AQ98"/>
    <mergeCell ref="Y97:AF98"/>
    <mergeCell ref="AG97:AG98"/>
    <mergeCell ref="AH97:AH98"/>
    <mergeCell ref="AI97:AI98"/>
    <mergeCell ref="AJ97:AJ98"/>
    <mergeCell ref="AK97:AK98"/>
    <mergeCell ref="Y99:Y100"/>
    <mergeCell ref="Z99:Z100"/>
    <mergeCell ref="AA99:AA100"/>
    <mergeCell ref="AB99:AB100"/>
    <mergeCell ref="B98:B99"/>
    <mergeCell ref="H98:K98"/>
    <mergeCell ref="H99:H100"/>
    <mergeCell ref="L99:L100"/>
    <mergeCell ref="N99:N100"/>
    <mergeCell ref="Q99:Q100"/>
    <mergeCell ref="AO99:AO100"/>
    <mergeCell ref="AP99:AP100"/>
    <mergeCell ref="AQ99:AQ100"/>
    <mergeCell ref="X101:X103"/>
    <mergeCell ref="B113:B114"/>
    <mergeCell ref="C116:C119"/>
    <mergeCell ref="D116:D119"/>
    <mergeCell ref="E116:E119"/>
    <mergeCell ref="F116:F119"/>
    <mergeCell ref="G116:G119"/>
    <mergeCell ref="AI99:AI100"/>
    <mergeCell ref="AJ99:AJ100"/>
    <mergeCell ref="AK99:AK100"/>
    <mergeCell ref="AL99:AL100"/>
    <mergeCell ref="AM99:AM100"/>
    <mergeCell ref="AN99:AN100"/>
    <mergeCell ref="AC99:AC100"/>
    <mergeCell ref="AD99:AD100"/>
    <mergeCell ref="AE99:AE100"/>
    <mergeCell ref="AF99:AF100"/>
    <mergeCell ref="AG99:AG100"/>
    <mergeCell ref="AH99:AH100"/>
    <mergeCell ref="R99:R100"/>
    <mergeCell ref="X99:X100"/>
    <mergeCell ref="AP116:AP117"/>
    <mergeCell ref="AQ116:AQ117"/>
    <mergeCell ref="B117:B118"/>
    <mergeCell ref="H117:K117"/>
    <mergeCell ref="H118:H119"/>
    <mergeCell ref="L118:L119"/>
    <mergeCell ref="N118:N119"/>
    <mergeCell ref="Q118:Q119"/>
    <mergeCell ref="R118:R119"/>
    <mergeCell ref="X118:X119"/>
    <mergeCell ref="AJ116:AJ117"/>
    <mergeCell ref="AK116:AK117"/>
    <mergeCell ref="AL116:AL117"/>
    <mergeCell ref="AM116:AM117"/>
    <mergeCell ref="AN116:AN117"/>
    <mergeCell ref="AO116:AO117"/>
    <mergeCell ref="H116:K116"/>
    <mergeCell ref="L116:X117"/>
    <mergeCell ref="Y116:AF117"/>
    <mergeCell ref="AG116:AG117"/>
    <mergeCell ref="AH116:AH117"/>
    <mergeCell ref="AI116:AI117"/>
    <mergeCell ref="AQ118:AQ119"/>
    <mergeCell ref="X120:X122"/>
    <mergeCell ref="B135:B136"/>
    <mergeCell ref="B137:B138"/>
    <mergeCell ref="AK118:AK119"/>
    <mergeCell ref="AL118:AL119"/>
    <mergeCell ref="AM118:AM119"/>
    <mergeCell ref="AN118:AN119"/>
    <mergeCell ref="AO118:AO119"/>
    <mergeCell ref="AP118:AP119"/>
    <mergeCell ref="AE118:AE119"/>
    <mergeCell ref="AF118:AF119"/>
    <mergeCell ref="AG118:AG119"/>
    <mergeCell ref="AH118:AH119"/>
    <mergeCell ref="AI118:AI119"/>
    <mergeCell ref="AJ118:AJ119"/>
    <mergeCell ref="Y118:Y119"/>
    <mergeCell ref="Z118:Z119"/>
    <mergeCell ref="AA118:AA119"/>
    <mergeCell ref="AB118:AB119"/>
    <mergeCell ref="AC118:AC119"/>
    <mergeCell ref="AD118:AD119"/>
  </mergeCells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品牌A</vt:lpstr>
      <vt:lpstr>品牌B</vt:lpstr>
      <vt:lpstr>品牌C</vt:lpstr>
      <vt:lpstr>品牌D</vt:lpstr>
      <vt:lpstr>品牌E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Bokie Li</dc:creator>
  <cp:lastModifiedBy>Jacqueline Yang</cp:lastModifiedBy>
  <dcterms:created xsi:type="dcterms:W3CDTF">2026-08-11T04:05:06Z</dcterms:created>
  <dcterms:modified xsi:type="dcterms:W3CDTF">2026-09-29T06:31:51Z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VERAGEOTS" linkTarget="PROP_AVERAGEOTS">
    <vt:r8>0</vt:r8>
  </property>
  <property fmtid="{D5CDD505-2E9C-101B-9397-08002B2CF9AE}" pid="3" name="CAMPAIGN" linkTarget="PROP_CAMPAIGN">
    <vt:r8>0</vt:r8>
  </property>
  <property fmtid="{D5CDD505-2E9C-101B-9397-08002B2CF9AE}" pid="4" name="CLIENT" linkTarget="PROP_CLIENT">
    <vt:r8>0</vt:r8>
  </property>
  <property fmtid="{D5CDD505-2E9C-101B-9397-08002B2CF9AE}" pid="5" name="CLIENTDIVI" linkTarget="PROP_CLIENTDIVI">
    <vt:r8>0</vt:r8>
  </property>
  <property fmtid="{D5CDD505-2E9C-101B-9397-08002B2CF9AE}" pid="6" name="ClientDivision" linkTarget="prop_ClientDivision">
    <vt:r8>0</vt:r8>
  </property>
  <property fmtid="{D5CDD505-2E9C-101B-9397-08002B2CF9AE}" pid="7" name="COUNTRY" linkTarget="PROP_COUNTRY">
    <vt:r8>0</vt:r8>
  </property>
  <property fmtid="{D5CDD505-2E9C-101B-9397-08002B2CF9AE}" pid="8" name="CURRENCY" linkTarget="PROP_CURRENCY">
    <vt:r8>0</vt:r8>
  </property>
  <property fmtid="{D5CDD505-2E9C-101B-9397-08002B2CF9AE}" pid="9" name="DATE" linkTarget="PROP_DATE">
    <vt:r8>0</vt:r8>
  </property>
  <property fmtid="{D5CDD505-2E9C-101B-9397-08002B2CF9AE}" pid="10" name="EXCHANGERA" linkTarget="PROP_EXCHANGERA">
    <vt:r8>0</vt:r8>
  </property>
  <property fmtid="{D5CDD505-2E9C-101B-9397-08002B2CF9AE}" pid="11" name="ExchangeRate" linkTarget="prop_ExchangeRate">
    <vt:r8>0</vt:r8>
  </property>
  <property fmtid="{D5CDD505-2E9C-101B-9397-08002B2CF9AE}" pid="12" name="INDIRECTEX" linkTarget="PROP_INDIRECTEX">
    <vt:r8>0</vt:r8>
  </property>
  <property fmtid="{D5CDD505-2E9C-101B-9397-08002B2CF9AE}" pid="13" name="IndirectExchangeRate" linkTarget="prop_IndirectExchangeRate">
    <vt:r8>0</vt:r8>
  </property>
  <property fmtid="{D5CDD505-2E9C-101B-9397-08002B2CF9AE}" pid="14" name="MEDIABUYIN" linkTarget="PROP_MEDIABUYIN">
    <vt:r8>0</vt:r8>
  </property>
  <property fmtid="{D5CDD505-2E9C-101B-9397-08002B2CF9AE}" pid="15" name="MediaBuyingTarget" linkTarget="prop_MediaBuyingTarget">
    <vt:r8>0</vt:r8>
  </property>
  <property fmtid="{D5CDD505-2E9C-101B-9397-08002B2CF9AE}" pid="16" name="MEDIATYPE" linkTarget="PROP_MEDIATYPE">
    <vt:r8>0</vt:r8>
  </property>
  <property fmtid="{D5CDD505-2E9C-101B-9397-08002B2CF9AE}" pid="17" name="PERCENTAGE" linkTarget="PROP_PERCENTAGE">
    <vt:r8>0</vt:r8>
  </property>
  <property fmtid="{D5CDD505-2E9C-101B-9397-08002B2CF9AE}" pid="18" name="PercentageCover" linkTarget="prop_PercentageCover">
    <vt:r8>0</vt:r8>
  </property>
  <property fmtid="{D5CDD505-2E9C-101B-9397-08002B2CF9AE}" pid="19" name="PLANNUMBER" linkTarget="PROP_PLANNUMBER">
    <vt:r8>0</vt:r8>
  </property>
  <property fmtid="{D5CDD505-2E9C-101B-9397-08002B2CF9AE}" pid="20" name="PRODUCTARE" linkTarget="PROP_PRODUCTARE">
    <vt:r8>0</vt:r8>
  </property>
  <property fmtid="{D5CDD505-2E9C-101B-9397-08002B2CF9AE}" pid="21" name="ProductArea" linkTarget="prop_ProductArea">
    <vt:r8>0</vt:r8>
  </property>
  <property fmtid="{D5CDD505-2E9C-101B-9397-08002B2CF9AE}" pid="22" name="QUOTATION" linkTarget="PROP_QUOTATION">
    <vt:r8>0</vt:r8>
  </property>
  <property fmtid="{D5CDD505-2E9C-101B-9397-08002B2CF9AE}" pid="23" name="SOURCE" linkTarget="PROP_SOURCE">
    <vt:r8>0</vt:r8>
  </property>
  <property fmtid="{D5CDD505-2E9C-101B-9397-08002B2CF9AE}" pid="24" name="UNIVERSESI" linkTarget="PROP_UNIVERSESI">
    <vt:r8>0</vt:r8>
  </property>
  <property fmtid="{D5CDD505-2E9C-101B-9397-08002B2CF9AE}" pid="25" name="UniverseSize" linkTarget="prop_UniverseSize">
    <vt:r8>0</vt:r8>
  </property>
  <property fmtid="{D5CDD505-2E9C-101B-9397-08002B2CF9AE}" pid="26" name="YEAR" linkTarget="PROP_YEAR">
    <vt:r8>0</vt:r8>
  </property>
</Properties>
</file>