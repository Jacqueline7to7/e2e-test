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jacqueline_yang_wppmedia_com/Documents/桌面/"/>
    </mc:Choice>
  </mc:AlternateContent>
  <xr:revisionPtr revIDLastSave="5" documentId="13_ncr:1_{588712DF-E867-459E-AFAC-758ED5193016}" xr6:coauthVersionLast="47" xr6:coauthVersionMax="47" xr10:uidLastSave="{11B3F83D-1574-4C30-813D-76DBEF49A66C}"/>
  <bookViews>
    <workbookView xWindow="28680" yWindow="-120" windowWidth="29040" windowHeight="15720" activeTab="1" xr2:uid="{00000000-000D-0000-FFFF-FFFF00000000}"/>
  </bookViews>
  <sheets>
    <sheet name="Summary" sheetId="3" r:id="rId1"/>
    <sheet name="品牌A" sheetId="22" r:id="rId2"/>
    <sheet name="品牌B" sheetId="24" r:id="rId3"/>
    <sheet name="品牌C" sheetId="15" r:id="rId4"/>
    <sheet name="品牌D" sheetId="16" r:id="rId5"/>
    <sheet name="品牌E" sheetId="17" r:id="rId6"/>
    <sheet name="品牌F" sheetId="18" r:id="rId7"/>
    <sheet name="品牌G" sheetId="23" r:id="rId8"/>
    <sheet name="品牌J" sheetId="21" r:id="rId9"/>
    <sheet name="品牌K" sheetId="20" r:id="rId10"/>
    <sheet name="品牌M" sheetId="19" r:id="rId11"/>
  </sheets>
  <definedNames>
    <definedName name="、、">#REF!</definedName>
    <definedName name="\">#REF!</definedName>
    <definedName name="\A">#REF!</definedName>
    <definedName name="\a1">#REF!</definedName>
    <definedName name="\b">#REF!</definedName>
    <definedName name="\c">#N/A</definedName>
    <definedName name="\d">#N/A</definedName>
    <definedName name="\e">#N/A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">#REF!</definedName>
    <definedName name="_____________________________________________________a2">#REF!</definedName>
    <definedName name="_____________________________________________________a3">#REF!</definedName>
    <definedName name="____________________________________________________a2">#REF!</definedName>
    <definedName name="____________________________________________________a3">#REF!</definedName>
    <definedName name="___________________________________________________a2">#REF!</definedName>
    <definedName name="___________________________________________________a3">#REF!</definedName>
    <definedName name="___________________________________________________a30">#REF!</definedName>
    <definedName name="__________________________________________________a2">#REF!</definedName>
    <definedName name="__________________________________________________a3">#REF!</definedName>
    <definedName name="__________________________________________________a30">#REF!</definedName>
    <definedName name="_________________________________________________a2">#REF!</definedName>
    <definedName name="_________________________________________________a3">#REF!</definedName>
    <definedName name="_________________________________________________a30">#REF!</definedName>
    <definedName name="________________________________________________a2">#REF!</definedName>
    <definedName name="________________________________________________a3">#REF!</definedName>
    <definedName name="________________________________________________a30">#REF!</definedName>
    <definedName name="________________________________________________DAT10">#N/A</definedName>
    <definedName name="________________________________________________DAT11">#N/A</definedName>
    <definedName name="________________________________________________DAT12">#N/A</definedName>
    <definedName name="________________________________________________DAT2">#N/A</definedName>
    <definedName name="________________________________________________DAT3">#N/A</definedName>
    <definedName name="________________________________________________DAT4">#N/A</definedName>
    <definedName name="________________________________________________DAT5">#N/A</definedName>
    <definedName name="________________________________________________DAT6">#N/A</definedName>
    <definedName name="________________________________________________DAT7">#N/A</definedName>
    <definedName name="________________________________________________DAT8">#N/A</definedName>
    <definedName name="________________________________________________DAT9">#N/A</definedName>
    <definedName name="________________________________________________ZZ28">#REF!</definedName>
    <definedName name="_______________________________________________a2">#REF!</definedName>
    <definedName name="_______________________________________________a3">#REF!</definedName>
    <definedName name="_______________________________________________a30">#REF!</definedName>
    <definedName name="_______________________________________________DAT1">#N/A</definedName>
    <definedName name="_______________________________________________DAT10">#REF!</definedName>
    <definedName name="_______________________________________________DAT11">#REF!</definedName>
    <definedName name="_______________________________________________DAT12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_ZZ28">#REF!</definedName>
    <definedName name="______________________________________________a2">#REF!</definedName>
    <definedName name="______________________________________________a3">#REF!</definedName>
    <definedName name="______________________________________________a30">#REF!</definedName>
    <definedName name="______________________________________________DAT1">#REF!</definedName>
    <definedName name="______________________________________________IV65555">#REF!</definedName>
    <definedName name="______________________________________________IV65999">#REF!</definedName>
    <definedName name="______________________________________________IV66000">#REF!</definedName>
    <definedName name="______________________________________________IV69999">#REF!</definedName>
    <definedName name="______________________________________________IV99999">#REF!</definedName>
    <definedName name="______________________________________________KE8" hidden="1">#REF!</definedName>
    <definedName name="______________________________________________key11" hidden="1">#REF!</definedName>
    <definedName name="______________________________________________key12" hidden="1">#REF!</definedName>
    <definedName name="______________________________________________KEY123" hidden="1">#REF!</definedName>
    <definedName name="______________________________________________KEY3" hidden="1">#REF!</definedName>
    <definedName name="______________________________________________KEY4" hidden="1">#REF!</definedName>
    <definedName name="______________________________________________KEY5" hidden="1">#REF!</definedName>
    <definedName name="______________________________________________KEY6" hidden="1">#REF!</definedName>
    <definedName name="______________________________________________LL1714">#N/A</definedName>
    <definedName name="______________________________________________NOD1">#REF!</definedName>
    <definedName name="______________________________________________tj1">#REF!</definedName>
    <definedName name="______________________________________________tj2">#REF!</definedName>
    <definedName name="______________________________________________tj3">#REF!</definedName>
    <definedName name="______________________________________________tj4">#REF!</definedName>
    <definedName name="_____________________________________________a2">#REF!</definedName>
    <definedName name="_____________________________________________a3">#REF!</definedName>
    <definedName name="_____________________________________________a30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_IV65555">#REF!</definedName>
    <definedName name="_____________________________________________IV65999">#REF!</definedName>
    <definedName name="_____________________________________________IV66000">#REF!</definedName>
    <definedName name="_____________________________________________IV69999">#REF!</definedName>
    <definedName name="_____________________________________________IV99999">#REF!</definedName>
    <definedName name="_____________________________________________KE8" hidden="1">#REF!</definedName>
    <definedName name="_____________________________________________key11" hidden="1">#REF!</definedName>
    <definedName name="_____________________________________________key12" hidden="1">#REF!</definedName>
    <definedName name="_____________________________________________KEY123" hidden="1">#REF!</definedName>
    <definedName name="_____________________________________________KEY3" hidden="1">#REF!</definedName>
    <definedName name="_____________________________________________KEY4" hidden="1">#REF!</definedName>
    <definedName name="_____________________________________________KEY5" hidden="1">#REF!</definedName>
    <definedName name="_____________________________________________KEY6" hidden="1">#REF!</definedName>
    <definedName name="_____________________________________________LL1714">#REF!</definedName>
    <definedName name="_____________________________________________NOD1">#REF!</definedName>
    <definedName name="_____________________________________________tj1">#REF!</definedName>
    <definedName name="_____________________________________________tj2">#REF!</definedName>
    <definedName name="_____________________________________________tj3">#REF!</definedName>
    <definedName name="_____________________________________________tj4">#REF!</definedName>
    <definedName name="_____________________________________________ZZ28">#REF!</definedName>
    <definedName name="____________________________________________a2">#REF!</definedName>
    <definedName name="____________________________________________a3">#REF!</definedName>
    <definedName name="____________________________________________a30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_key2" hidden="1">#REF!</definedName>
    <definedName name="____________________________________________KEY7" hidden="1">#REF!</definedName>
    <definedName name="____________________________________________key8" hidden="1">#REF!</definedName>
    <definedName name="____________________________________________KEY90" hidden="1">#REF!</definedName>
    <definedName name="____________________________________________LL1714">#REF!</definedName>
    <definedName name="____________________________________________NOD1">#REF!</definedName>
    <definedName name="____________________________________________ZZ28">#REF!</definedName>
    <definedName name="___________________________________________a2">#REF!</definedName>
    <definedName name="___________________________________________a3">#REF!</definedName>
    <definedName name="___________________________________________a30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_IV65555">#REF!</definedName>
    <definedName name="___________________________________________IV65999">#REF!</definedName>
    <definedName name="___________________________________________IV66000">#REF!</definedName>
    <definedName name="___________________________________________IV69999">#REF!</definedName>
    <definedName name="___________________________________________IV99999">#REF!</definedName>
    <definedName name="___________________________________________KE8" hidden="1">#REF!</definedName>
    <definedName name="___________________________________________key11" hidden="1">#REF!</definedName>
    <definedName name="___________________________________________key12" hidden="1">#REF!</definedName>
    <definedName name="___________________________________________KEY123" hidden="1">#REF!</definedName>
    <definedName name="___________________________________________key2" hidden="1">#REF!</definedName>
    <definedName name="___________________________________________KEY3" hidden="1">#REF!</definedName>
    <definedName name="___________________________________________KEY4" hidden="1">#REF!</definedName>
    <definedName name="___________________________________________KEY5" hidden="1">#REF!</definedName>
    <definedName name="___________________________________________KEY6" hidden="1">#REF!</definedName>
    <definedName name="___________________________________________KEY7" hidden="1">#REF!</definedName>
    <definedName name="___________________________________________key8" hidden="1">#REF!</definedName>
    <definedName name="___________________________________________KEY90" hidden="1">#REF!</definedName>
    <definedName name="___________________________________________LL1714">#REF!</definedName>
    <definedName name="___________________________________________NOD1">#REF!</definedName>
    <definedName name="___________________________________________tj1">#REF!</definedName>
    <definedName name="___________________________________________tj2">#REF!</definedName>
    <definedName name="___________________________________________tj3">#REF!</definedName>
    <definedName name="___________________________________________tj4">#REF!</definedName>
    <definedName name="___________________________________________ZZ28">#REF!</definedName>
    <definedName name="__________________________________________a2">#REF!</definedName>
    <definedName name="__________________________________________a3">#REF!</definedName>
    <definedName name="__________________________________________a30">#REF!</definedName>
    <definedName name="__________________________________________DAT1">#REF!</definedName>
    <definedName name="__________________________________________DAT10">#REF!</definedName>
    <definedName name="__________________________________________DAT11">#REF!</definedName>
    <definedName name="__________________________________________DAT12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_IV65555">#REF!</definedName>
    <definedName name="__________________________________________IV65999">#REF!</definedName>
    <definedName name="__________________________________________IV66000">#REF!</definedName>
    <definedName name="__________________________________________IV69999">#REF!</definedName>
    <definedName name="__________________________________________IV99999">#REF!</definedName>
    <definedName name="__________________________________________KE8" hidden="1">#REF!</definedName>
    <definedName name="__________________________________________key11" hidden="1">#REF!</definedName>
    <definedName name="__________________________________________key12" hidden="1">#REF!</definedName>
    <definedName name="__________________________________________KEY123" hidden="1">#REF!</definedName>
    <definedName name="__________________________________________key2" hidden="1">#REF!</definedName>
    <definedName name="__________________________________________KEY3" hidden="1">#REF!</definedName>
    <definedName name="__________________________________________KEY4" hidden="1">#REF!</definedName>
    <definedName name="__________________________________________KEY5" hidden="1">#REF!</definedName>
    <definedName name="__________________________________________KEY6" hidden="1">#REF!</definedName>
    <definedName name="__________________________________________KEY7" hidden="1">#REF!</definedName>
    <definedName name="__________________________________________key8" hidden="1">#REF!</definedName>
    <definedName name="__________________________________________KEY90" hidden="1">#REF!</definedName>
    <definedName name="__________________________________________LL1714">#REF!</definedName>
    <definedName name="__________________________________________NOD1">#REF!</definedName>
    <definedName name="__________________________________________tj1">#REF!</definedName>
    <definedName name="__________________________________________tj2">#REF!</definedName>
    <definedName name="__________________________________________tj3">#REF!</definedName>
    <definedName name="__________________________________________tj4">#REF!</definedName>
    <definedName name="__________________________________________zh1">#REF!</definedName>
    <definedName name="__________________________________________ZZ28">#REF!</definedName>
    <definedName name="_________________________________________a2">#REF!</definedName>
    <definedName name="_________________________________________a3">#REF!</definedName>
    <definedName name="_________________________________________a30">#REF!</definedName>
    <definedName name="_________________________________________DAT1">#REF!</definedName>
    <definedName name="_________________________________________DAT10">#REF!</definedName>
    <definedName name="_________________________________________DAT11">#REF!</definedName>
    <definedName name="_________________________________________DAT12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IV65555">#REF!</definedName>
    <definedName name="_________________________________________IV65999">#REF!</definedName>
    <definedName name="_________________________________________IV66000">#REF!</definedName>
    <definedName name="_________________________________________IV69999">#REF!</definedName>
    <definedName name="_________________________________________IV99999">#REF!</definedName>
    <definedName name="_________________________________________KE8" hidden="1">#REF!</definedName>
    <definedName name="_________________________________________key11" hidden="1">#REF!</definedName>
    <definedName name="_________________________________________key12" hidden="1">#REF!</definedName>
    <definedName name="_________________________________________KEY123" hidden="1">#REF!</definedName>
    <definedName name="_________________________________________key2" hidden="1">#REF!</definedName>
    <definedName name="_________________________________________KEY3" hidden="1">#REF!</definedName>
    <definedName name="_________________________________________KEY4" hidden="1">#REF!</definedName>
    <definedName name="_________________________________________KEY5" hidden="1">#REF!</definedName>
    <definedName name="_________________________________________KEY6" hidden="1">#REF!</definedName>
    <definedName name="_________________________________________KEY7" hidden="1">#REF!</definedName>
    <definedName name="_________________________________________key8" hidden="1">#REF!</definedName>
    <definedName name="_________________________________________KEY90" hidden="1">#REF!</definedName>
    <definedName name="_________________________________________LL1714">#REF!</definedName>
    <definedName name="_________________________________________NOD1">#REF!</definedName>
    <definedName name="_________________________________________tj1">#REF!</definedName>
    <definedName name="_________________________________________tj2">#REF!</definedName>
    <definedName name="_________________________________________tj3">#REF!</definedName>
    <definedName name="_________________________________________tj4">#REF!</definedName>
    <definedName name="_________________________________________zh1">#REF!</definedName>
    <definedName name="_________________________________________ZZ28">#REF!</definedName>
    <definedName name="________________________________________a2">#REF!</definedName>
    <definedName name="________________________________________a3">#REF!</definedName>
    <definedName name="________________________________________a30">#REF!</definedName>
    <definedName name="________________________________________a4">#N/A</definedName>
    <definedName name="________________________________________b1">#N/A</definedName>
    <definedName name="________________________________________DAT1">#REF!</definedName>
    <definedName name="________________________________________DAT10">#REF!</definedName>
    <definedName name="________________________________________DAT11">#REF!</definedName>
    <definedName name="________________________________________DAT12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IV65555">#REF!</definedName>
    <definedName name="________________________________________IV65999">#REF!</definedName>
    <definedName name="________________________________________IV66000">#REF!</definedName>
    <definedName name="________________________________________IV69999">#REF!</definedName>
    <definedName name="________________________________________IV99999">#REF!</definedName>
    <definedName name="________________________________________KE8" hidden="1">#REF!</definedName>
    <definedName name="________________________________________key11" hidden="1">#REF!</definedName>
    <definedName name="________________________________________key12" hidden="1">#REF!</definedName>
    <definedName name="________________________________________KEY123" hidden="1">#REF!</definedName>
    <definedName name="________________________________________key2" hidden="1">#REF!</definedName>
    <definedName name="________________________________________KEY3" hidden="1">#REF!</definedName>
    <definedName name="________________________________________KEY4" hidden="1">#REF!</definedName>
    <definedName name="________________________________________KEY5" hidden="1">#REF!</definedName>
    <definedName name="________________________________________KEY6" hidden="1">#REF!</definedName>
    <definedName name="________________________________________KEY7" hidden="1">#REF!</definedName>
    <definedName name="________________________________________key8" hidden="1">#REF!</definedName>
    <definedName name="________________________________________KEY90" hidden="1">#REF!</definedName>
    <definedName name="________________________________________LL1714">#REF!</definedName>
    <definedName name="________________________________________NOD1">#REF!</definedName>
    <definedName name="________________________________________tj1">#REF!</definedName>
    <definedName name="________________________________________tj2">#REF!</definedName>
    <definedName name="________________________________________tj3">#REF!</definedName>
    <definedName name="________________________________________tj4">#REF!</definedName>
    <definedName name="________________________________________z2">#N/A</definedName>
    <definedName name="________________________________________zh1">#REF!</definedName>
    <definedName name="________________________________________ZZ28">#REF!</definedName>
    <definedName name="_______________________________________a2">#REF!</definedName>
    <definedName name="_______________________________________a3">#REF!</definedName>
    <definedName name="_______________________________________a30">#REF!</definedName>
    <definedName name="_______________________________________a4">#REF!</definedName>
    <definedName name="_______________________________________b1">#REF!</definedName>
    <definedName name="_______________________________________DAT1">#REF!</definedName>
    <definedName name="_______________________________________DAT10">#REF!</definedName>
    <definedName name="_______________________________________DAT11">#REF!</definedName>
    <definedName name="_______________________________________DAT12">#REF!</definedName>
    <definedName name="_______________________________________DAT2">#REF!</definedName>
    <definedName name="_______________________________________DAT3">#REF!</definedName>
    <definedName name="_______________________________________DAT4">#REF!</definedName>
    <definedName name="_______________________________________DAT5">#REF!</definedName>
    <definedName name="_______________________________________DAT6">#REF!</definedName>
    <definedName name="_______________________________________DAT7">#REF!</definedName>
    <definedName name="_______________________________________DAT8">#REF!</definedName>
    <definedName name="_______________________________________DAT9">#REF!</definedName>
    <definedName name="_______________________________________IV65555">#REF!</definedName>
    <definedName name="_______________________________________IV65999">#REF!</definedName>
    <definedName name="_______________________________________IV66000">#REF!</definedName>
    <definedName name="_______________________________________IV69999">#REF!</definedName>
    <definedName name="_______________________________________IV99999">#REF!</definedName>
    <definedName name="_______________________________________KE8" hidden="1">#REF!</definedName>
    <definedName name="_______________________________________key11" hidden="1">#REF!</definedName>
    <definedName name="_______________________________________key12" hidden="1">#REF!</definedName>
    <definedName name="_______________________________________KEY123" hidden="1">#REF!</definedName>
    <definedName name="_______________________________________key2" hidden="1">#REF!</definedName>
    <definedName name="_______________________________________KEY3" hidden="1">#REF!</definedName>
    <definedName name="_______________________________________KEY4" hidden="1">#REF!</definedName>
    <definedName name="_______________________________________KEY5" hidden="1">#REF!</definedName>
    <definedName name="_______________________________________KEY6" hidden="1">#REF!</definedName>
    <definedName name="_______________________________________KEY7" hidden="1">#REF!</definedName>
    <definedName name="_______________________________________key8" hidden="1">#REF!</definedName>
    <definedName name="_______________________________________KEY90" hidden="1">#REF!</definedName>
    <definedName name="_______________________________________LL1714">#REF!</definedName>
    <definedName name="_______________________________________NOD1">#REF!</definedName>
    <definedName name="_______________________________________tj1">#REF!</definedName>
    <definedName name="_______________________________________tj2">#REF!</definedName>
    <definedName name="_______________________________________tj3">#REF!</definedName>
    <definedName name="_______________________________________tj4">#REF!</definedName>
    <definedName name="_______________________________________z2">#REF!</definedName>
    <definedName name="_______________________________________zh1">#REF!</definedName>
    <definedName name="_______________________________________ZZ28">#REF!</definedName>
    <definedName name="______________________________________a2">#REF!</definedName>
    <definedName name="______________________________________a3">#REF!</definedName>
    <definedName name="______________________________________a30">#REF!</definedName>
    <definedName name="______________________________________a4">#REF!</definedName>
    <definedName name="______________________________________b1">#REF!</definedName>
    <definedName name="______________________________________DAT1">#REF!</definedName>
    <definedName name="______________________________________DAT10">#REF!</definedName>
    <definedName name="______________________________________DAT11">#REF!</definedName>
    <definedName name="______________________________________DAT12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IV65555">#REF!</definedName>
    <definedName name="______________________________________IV65999">#REF!</definedName>
    <definedName name="______________________________________IV66000">#REF!</definedName>
    <definedName name="______________________________________IV69999">#REF!</definedName>
    <definedName name="______________________________________IV99999">#REF!</definedName>
    <definedName name="______________________________________KE8" hidden="1">#REF!</definedName>
    <definedName name="______________________________________key11" hidden="1">#REF!</definedName>
    <definedName name="______________________________________key12" hidden="1">#REF!</definedName>
    <definedName name="______________________________________KEY123" hidden="1">#REF!</definedName>
    <definedName name="______________________________________key2" hidden="1">#REF!</definedName>
    <definedName name="______________________________________KEY3" hidden="1">#REF!</definedName>
    <definedName name="______________________________________KEY4" hidden="1">#REF!</definedName>
    <definedName name="______________________________________KEY5" hidden="1">#REF!</definedName>
    <definedName name="______________________________________KEY6" hidden="1">#REF!</definedName>
    <definedName name="______________________________________KEY7" hidden="1">#REF!</definedName>
    <definedName name="______________________________________key8" hidden="1">#REF!</definedName>
    <definedName name="______________________________________KEY90" hidden="1">#REF!</definedName>
    <definedName name="______________________________________LL1714">#REF!</definedName>
    <definedName name="______________________________________NOD1">#REF!</definedName>
    <definedName name="______________________________________tj1">#REF!</definedName>
    <definedName name="______________________________________tj2">#REF!</definedName>
    <definedName name="______________________________________tj3">#REF!</definedName>
    <definedName name="______________________________________tj4">#REF!</definedName>
    <definedName name="______________________________________z2">#REF!</definedName>
    <definedName name="______________________________________zh1">#REF!</definedName>
    <definedName name="______________________________________ZZ28">#REF!</definedName>
    <definedName name="_____________________________________a2">#REF!</definedName>
    <definedName name="_____________________________________a3">#REF!</definedName>
    <definedName name="_____________________________________a30">#REF!</definedName>
    <definedName name="_____________________________________a4">#REF!</definedName>
    <definedName name="_____________________________________b1">#REF!</definedName>
    <definedName name="_____________________________________DAT1">#REF!</definedName>
    <definedName name="_____________________________________DAT10">#REF!</definedName>
    <definedName name="_____________________________________DAT11">#REF!</definedName>
    <definedName name="_____________________________________DAT12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IV65555">#REF!</definedName>
    <definedName name="_____________________________________IV65999">#REF!</definedName>
    <definedName name="_____________________________________IV66000">#REF!</definedName>
    <definedName name="_____________________________________IV69999">#REF!</definedName>
    <definedName name="_____________________________________IV99999">#REF!</definedName>
    <definedName name="_____________________________________KE8" hidden="1">#REF!</definedName>
    <definedName name="_____________________________________key11" hidden="1">#REF!</definedName>
    <definedName name="_____________________________________key12" hidden="1">#REF!</definedName>
    <definedName name="_____________________________________KEY123" hidden="1">#REF!</definedName>
    <definedName name="_____________________________________key2" hidden="1">#REF!</definedName>
    <definedName name="_____________________________________KEY3" hidden="1">#REF!</definedName>
    <definedName name="_____________________________________KEY4" hidden="1">#REF!</definedName>
    <definedName name="_____________________________________KEY5" hidden="1">#REF!</definedName>
    <definedName name="_____________________________________KEY6" hidden="1">#REF!</definedName>
    <definedName name="_____________________________________KEY7" hidden="1">#REF!</definedName>
    <definedName name="_____________________________________key8" hidden="1">#REF!</definedName>
    <definedName name="_____________________________________KEY90" hidden="1">#REF!</definedName>
    <definedName name="_____________________________________LL1714">#REF!</definedName>
    <definedName name="_____________________________________NOD1">#REF!</definedName>
    <definedName name="_____________________________________tj1">#REF!</definedName>
    <definedName name="_____________________________________tj2">#REF!</definedName>
    <definedName name="_____________________________________tj3">#REF!</definedName>
    <definedName name="_____________________________________tj4">#REF!</definedName>
    <definedName name="_____________________________________z2">#REF!</definedName>
    <definedName name="_____________________________________zh1">#REF!</definedName>
    <definedName name="_____________________________________ZZ28">#REF!</definedName>
    <definedName name="____________________________________a2">#REF!</definedName>
    <definedName name="____________________________________a3">#REF!</definedName>
    <definedName name="____________________________________a30">#REF!</definedName>
    <definedName name="____________________________________a4">#REF!</definedName>
    <definedName name="____________________________________b1">#REF!</definedName>
    <definedName name="____________________________________DAT1">#REF!</definedName>
    <definedName name="____________________________________DAT10">#REF!</definedName>
    <definedName name="____________________________________DAT11">#REF!</definedName>
    <definedName name="____________________________________DAT12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IV65555">#REF!</definedName>
    <definedName name="____________________________________IV65999">#REF!</definedName>
    <definedName name="____________________________________IV66000">#REF!</definedName>
    <definedName name="____________________________________IV69999">#REF!</definedName>
    <definedName name="____________________________________IV99999">#REF!</definedName>
    <definedName name="____________________________________KE8" hidden="1">#REF!</definedName>
    <definedName name="____________________________________key11" hidden="1">#REF!</definedName>
    <definedName name="____________________________________key12" hidden="1">#REF!</definedName>
    <definedName name="____________________________________KEY123" hidden="1">#REF!</definedName>
    <definedName name="____________________________________key2" hidden="1">#REF!</definedName>
    <definedName name="____________________________________KEY3" hidden="1">#REF!</definedName>
    <definedName name="____________________________________KEY4" hidden="1">#REF!</definedName>
    <definedName name="____________________________________KEY5" hidden="1">#REF!</definedName>
    <definedName name="____________________________________KEY6" hidden="1">#REF!</definedName>
    <definedName name="____________________________________KEY7" hidden="1">#REF!</definedName>
    <definedName name="____________________________________key8" hidden="1">#REF!</definedName>
    <definedName name="____________________________________KEY90" hidden="1">#REF!</definedName>
    <definedName name="____________________________________LL1714">#REF!</definedName>
    <definedName name="____________________________________NOD1">#REF!</definedName>
    <definedName name="____________________________________tj1">#REF!</definedName>
    <definedName name="____________________________________tj2">#REF!</definedName>
    <definedName name="____________________________________tj3">#REF!</definedName>
    <definedName name="____________________________________tj4">#REF!</definedName>
    <definedName name="____________________________________z2">#REF!</definedName>
    <definedName name="____________________________________zh1">#REF!</definedName>
    <definedName name="____________________________________ZZ28">#REF!</definedName>
    <definedName name="___________________________________a2">#REF!</definedName>
    <definedName name="___________________________________a3">#REF!</definedName>
    <definedName name="___________________________________a30">#REF!</definedName>
    <definedName name="___________________________________a4">#REF!</definedName>
    <definedName name="___________________________________b1">#REF!</definedName>
    <definedName name="___________________________________DAT1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2">#REF!</definedName>
    <definedName name="___________________________________DAT3">#REF!</definedName>
    <definedName name="___________________________________DAT4">#REF!</definedName>
    <definedName name="___________________________________DAT5">#REF!</definedName>
    <definedName name="___________________________________DAT6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_IV65555">#REF!</definedName>
    <definedName name="___________________________________IV65999">#REF!</definedName>
    <definedName name="___________________________________IV66000">#REF!</definedName>
    <definedName name="___________________________________IV69999">#REF!</definedName>
    <definedName name="___________________________________IV99999">#REF!</definedName>
    <definedName name="___________________________________KE8" hidden="1">#REF!</definedName>
    <definedName name="___________________________________key11" hidden="1">#REF!</definedName>
    <definedName name="___________________________________key12" hidden="1">#REF!</definedName>
    <definedName name="___________________________________KEY123" hidden="1">#REF!</definedName>
    <definedName name="___________________________________key2" hidden="1">#REF!</definedName>
    <definedName name="___________________________________KEY3" hidden="1">#REF!</definedName>
    <definedName name="___________________________________KEY4" hidden="1">#REF!</definedName>
    <definedName name="___________________________________KEY5" hidden="1">#REF!</definedName>
    <definedName name="___________________________________KEY6" hidden="1">#REF!</definedName>
    <definedName name="___________________________________KEY7" hidden="1">#REF!</definedName>
    <definedName name="___________________________________key8" hidden="1">#REF!</definedName>
    <definedName name="___________________________________KEY90" hidden="1">#REF!</definedName>
    <definedName name="___________________________________LL1714">#REF!</definedName>
    <definedName name="___________________________________NOD1">#REF!</definedName>
    <definedName name="___________________________________tj1">#REF!</definedName>
    <definedName name="___________________________________tj2">#REF!</definedName>
    <definedName name="___________________________________tj3">#REF!</definedName>
    <definedName name="___________________________________tj4">#REF!</definedName>
    <definedName name="___________________________________z2">#REF!</definedName>
    <definedName name="___________________________________zh1">#REF!</definedName>
    <definedName name="___________________________________ZZ28">#REF!</definedName>
    <definedName name="__________________________________a2">#REF!</definedName>
    <definedName name="__________________________________a3">#REF!</definedName>
    <definedName name="__________________________________a30">#REF!</definedName>
    <definedName name="__________________________________a4">#REF!</definedName>
    <definedName name="__________________________________b1">#REF!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IV65555">#REF!</definedName>
    <definedName name="__________________________________IV65999">#REF!</definedName>
    <definedName name="__________________________________IV66000">#REF!</definedName>
    <definedName name="__________________________________IV69999">#REF!</definedName>
    <definedName name="__________________________________IV99999">#REF!</definedName>
    <definedName name="__________________________________KE8" hidden="1">#REF!</definedName>
    <definedName name="__________________________________key11" hidden="1">#REF!</definedName>
    <definedName name="__________________________________key12" hidden="1">#REF!</definedName>
    <definedName name="__________________________________KEY123" hidden="1">#REF!</definedName>
    <definedName name="__________________________________key2" hidden="1">#REF!</definedName>
    <definedName name="__________________________________KEY3" hidden="1">#REF!</definedName>
    <definedName name="__________________________________KEY4" hidden="1">#REF!</definedName>
    <definedName name="__________________________________KEY5" hidden="1">#REF!</definedName>
    <definedName name="__________________________________KEY6" hidden="1">#REF!</definedName>
    <definedName name="__________________________________KEY7" hidden="1">#REF!</definedName>
    <definedName name="__________________________________key8" hidden="1">#REF!</definedName>
    <definedName name="__________________________________KEY90" hidden="1">#REF!</definedName>
    <definedName name="__________________________________LL1714">#REF!</definedName>
    <definedName name="__________________________________NOD1">#REF!</definedName>
    <definedName name="__________________________________pj1">#REF!</definedName>
    <definedName name="__________________________________tj1">#REF!</definedName>
    <definedName name="__________________________________tj2">#REF!</definedName>
    <definedName name="__________________________________tj3">#REF!</definedName>
    <definedName name="__________________________________tj4">#REF!</definedName>
    <definedName name="__________________________________z2">#REF!</definedName>
    <definedName name="__________________________________zh1">#REF!</definedName>
    <definedName name="__________________________________ZZ28">#REF!</definedName>
    <definedName name="_________________________________a2">#REF!</definedName>
    <definedName name="_________________________________a3">#REF!</definedName>
    <definedName name="_________________________________a30">#REF!</definedName>
    <definedName name="_________________________________a4">#REF!</definedName>
    <definedName name="_________________________________b1">#REF!</definedName>
    <definedName name="_________________________________DAT1">#REF!</definedName>
    <definedName name="_________________________________DAT10">#REF!</definedName>
    <definedName name="_________________________________DAT11">#REF!</definedName>
    <definedName name="_________________________________DAT12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IV65555">#REF!</definedName>
    <definedName name="_________________________________IV65999">#REF!</definedName>
    <definedName name="_________________________________IV66000">#REF!</definedName>
    <definedName name="_________________________________IV69999">#REF!</definedName>
    <definedName name="_________________________________IV99999">#REF!</definedName>
    <definedName name="_________________________________KE8" hidden="1">#REF!</definedName>
    <definedName name="_________________________________key11" hidden="1">#REF!</definedName>
    <definedName name="_________________________________key12" hidden="1">#REF!</definedName>
    <definedName name="_________________________________KEY123" hidden="1">#REF!</definedName>
    <definedName name="_________________________________key2" hidden="1">#REF!</definedName>
    <definedName name="_________________________________KEY3" hidden="1">#REF!</definedName>
    <definedName name="_________________________________KEY4" hidden="1">#REF!</definedName>
    <definedName name="_________________________________KEY5" hidden="1">#REF!</definedName>
    <definedName name="_________________________________KEY6" hidden="1">#REF!</definedName>
    <definedName name="_________________________________KEY7" hidden="1">#REF!</definedName>
    <definedName name="_________________________________key8" hidden="1">#REF!</definedName>
    <definedName name="_________________________________KEY90" hidden="1">#REF!</definedName>
    <definedName name="_________________________________LL1714">#REF!</definedName>
    <definedName name="_________________________________NOD1">#REF!</definedName>
    <definedName name="_________________________________pj1">#REF!</definedName>
    <definedName name="_________________________________tj1">#REF!</definedName>
    <definedName name="_________________________________tj2">#REF!</definedName>
    <definedName name="_________________________________tj3">#REF!</definedName>
    <definedName name="_________________________________tj4">#REF!</definedName>
    <definedName name="_________________________________z2">#REF!</definedName>
    <definedName name="_________________________________zh1">#REF!</definedName>
    <definedName name="_________________________________ZZ28">#REF!</definedName>
    <definedName name="________________________________a2">#REF!</definedName>
    <definedName name="________________________________a3">#REF!</definedName>
    <definedName name="________________________________a30">#REF!</definedName>
    <definedName name="________________________________a4">#REF!</definedName>
    <definedName name="________________________________b1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IV65555">#REF!</definedName>
    <definedName name="________________________________IV65999">#REF!</definedName>
    <definedName name="________________________________IV66000">#REF!</definedName>
    <definedName name="________________________________IV69999">#REF!</definedName>
    <definedName name="________________________________IV99999">#REF!</definedName>
    <definedName name="________________________________KE8" hidden="1">#REF!</definedName>
    <definedName name="________________________________key11" hidden="1">#REF!</definedName>
    <definedName name="________________________________key12" hidden="1">#REF!</definedName>
    <definedName name="________________________________KEY123" hidden="1">#REF!</definedName>
    <definedName name="________________________________key2" hidden="1">#REF!</definedName>
    <definedName name="________________________________KEY3" hidden="1">#REF!</definedName>
    <definedName name="________________________________KEY4" hidden="1">#REF!</definedName>
    <definedName name="________________________________KEY5" hidden="1">#REF!</definedName>
    <definedName name="________________________________KEY6" hidden="1">#REF!</definedName>
    <definedName name="________________________________KEY7" hidden="1">#REF!</definedName>
    <definedName name="________________________________key8" hidden="1">#REF!</definedName>
    <definedName name="________________________________KEY90" hidden="1">#REF!</definedName>
    <definedName name="________________________________LL1714">#REF!</definedName>
    <definedName name="________________________________NOD1">#REF!</definedName>
    <definedName name="________________________________pj1">#REF!</definedName>
    <definedName name="________________________________tj1">#REF!</definedName>
    <definedName name="________________________________tj2">#REF!</definedName>
    <definedName name="________________________________tj3">#REF!</definedName>
    <definedName name="________________________________tj4">#REF!</definedName>
    <definedName name="________________________________z2">#REF!</definedName>
    <definedName name="________________________________zh1">#REF!</definedName>
    <definedName name="________________________________ZZ28">#REF!</definedName>
    <definedName name="_______________________________a2">#REF!</definedName>
    <definedName name="_______________________________a3">#REF!</definedName>
    <definedName name="_______________________________a30">#REF!</definedName>
    <definedName name="_______________________________a4">#REF!</definedName>
    <definedName name="_______________________________b1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IV65555">#REF!</definedName>
    <definedName name="_______________________________IV65999">#REF!</definedName>
    <definedName name="_______________________________IV66000">#REF!</definedName>
    <definedName name="_______________________________IV69999">#REF!</definedName>
    <definedName name="_______________________________IV99999">#REF!</definedName>
    <definedName name="_______________________________KE8" hidden="1">#REF!</definedName>
    <definedName name="_______________________________key11" hidden="1">#REF!</definedName>
    <definedName name="_______________________________key12" hidden="1">#REF!</definedName>
    <definedName name="_______________________________KEY123" hidden="1">#REF!</definedName>
    <definedName name="_______________________________key2" hidden="1">#REF!</definedName>
    <definedName name="_______________________________KEY3" hidden="1">#REF!</definedName>
    <definedName name="_______________________________KEY4" hidden="1">#REF!</definedName>
    <definedName name="_______________________________KEY5" hidden="1">#REF!</definedName>
    <definedName name="_______________________________KEY6" hidden="1">#REF!</definedName>
    <definedName name="_______________________________KEY7" hidden="1">#REF!</definedName>
    <definedName name="_______________________________key8" hidden="1">#REF!</definedName>
    <definedName name="_______________________________KEY90" hidden="1">#REF!</definedName>
    <definedName name="_______________________________LL1714">#REF!</definedName>
    <definedName name="_______________________________NOD1">#REF!</definedName>
    <definedName name="_______________________________pj1">#REF!</definedName>
    <definedName name="_______________________________tj1">#REF!</definedName>
    <definedName name="_______________________________tj2">#REF!</definedName>
    <definedName name="_______________________________tj3">#REF!</definedName>
    <definedName name="_______________________________tj4">#REF!</definedName>
    <definedName name="_______________________________z2">#REF!</definedName>
    <definedName name="_______________________________zh1">#REF!</definedName>
    <definedName name="_______________________________ZZ28">#REF!</definedName>
    <definedName name="______________________________a2">#REF!</definedName>
    <definedName name="______________________________a3">#REF!</definedName>
    <definedName name="______________________________a30">#REF!</definedName>
    <definedName name="______________________________a4">#REF!</definedName>
    <definedName name="______________________________b1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IV65555">#REF!</definedName>
    <definedName name="______________________________IV65999">#REF!</definedName>
    <definedName name="______________________________IV66000">#REF!</definedName>
    <definedName name="______________________________IV69999">#REF!</definedName>
    <definedName name="______________________________IV99999">#REF!</definedName>
    <definedName name="______________________________KE8" hidden="1">#REF!</definedName>
    <definedName name="______________________________key11" hidden="1">#REF!</definedName>
    <definedName name="______________________________key12" hidden="1">#REF!</definedName>
    <definedName name="______________________________KEY123" hidden="1">#REF!</definedName>
    <definedName name="______________________________key2" hidden="1">#REF!</definedName>
    <definedName name="______________________________KEY3" hidden="1">#REF!</definedName>
    <definedName name="______________________________KEY4" hidden="1">#REF!</definedName>
    <definedName name="______________________________KEY5" hidden="1">#REF!</definedName>
    <definedName name="______________________________KEY6" hidden="1">#REF!</definedName>
    <definedName name="______________________________KEY7" hidden="1">#REF!</definedName>
    <definedName name="______________________________key8" hidden="1">#REF!</definedName>
    <definedName name="______________________________KEY90" hidden="1">#REF!</definedName>
    <definedName name="______________________________LL1714">#REF!</definedName>
    <definedName name="______________________________NOD1">#REF!</definedName>
    <definedName name="______________________________pj1">#REF!</definedName>
    <definedName name="______________________________tj1">#REF!</definedName>
    <definedName name="______________________________tj2">#REF!</definedName>
    <definedName name="______________________________tj3">#REF!</definedName>
    <definedName name="______________________________tj4">#REF!</definedName>
    <definedName name="______________________________z2">#REF!</definedName>
    <definedName name="______________________________zh1">#REF!</definedName>
    <definedName name="______________________________ZZ28">#REF!</definedName>
    <definedName name="_____________________________a2">#REF!</definedName>
    <definedName name="_____________________________a3">#REF!</definedName>
    <definedName name="_____________________________a30">#REF!</definedName>
    <definedName name="_____________________________a4">#REF!</definedName>
    <definedName name="_____________________________b1">#REF!</definedName>
    <definedName name="_____________________________DAT1">#REF!</definedName>
    <definedName name="_____________________________DAT10">#REF!</definedName>
    <definedName name="_____________________________DAT11">#REF!</definedName>
    <definedName name="_____________________________DAT12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IV65555">#REF!</definedName>
    <definedName name="_____________________________IV65999">#REF!</definedName>
    <definedName name="_____________________________IV66000">#REF!</definedName>
    <definedName name="_____________________________IV69999">#REF!</definedName>
    <definedName name="_____________________________IV99999">#REF!</definedName>
    <definedName name="_____________________________KE8" hidden="1">#REF!</definedName>
    <definedName name="_____________________________key11" hidden="1">#REF!</definedName>
    <definedName name="_____________________________key12" hidden="1">#REF!</definedName>
    <definedName name="_____________________________KEY123" hidden="1">#REF!</definedName>
    <definedName name="_____________________________key2" hidden="1">#REF!</definedName>
    <definedName name="_____________________________KEY3" hidden="1">#REF!</definedName>
    <definedName name="_____________________________KEY4" hidden="1">#REF!</definedName>
    <definedName name="_____________________________KEY5" hidden="1">#REF!</definedName>
    <definedName name="_____________________________KEY6" hidden="1">#REF!</definedName>
    <definedName name="_____________________________KEY7" hidden="1">#REF!</definedName>
    <definedName name="_____________________________key8" hidden="1">#REF!</definedName>
    <definedName name="_____________________________KEY90" hidden="1">#REF!</definedName>
    <definedName name="_____________________________LL1714">#REF!</definedName>
    <definedName name="_____________________________NOD1">#REF!</definedName>
    <definedName name="_____________________________pj1">#REF!</definedName>
    <definedName name="_____________________________tj1">#REF!</definedName>
    <definedName name="_____________________________tj2">#REF!</definedName>
    <definedName name="_____________________________tj3">#REF!</definedName>
    <definedName name="_____________________________tj4">#REF!</definedName>
    <definedName name="_____________________________z2">#REF!</definedName>
    <definedName name="_____________________________zh1">#REF!</definedName>
    <definedName name="_____________________________ZZ28">#REF!</definedName>
    <definedName name="____________________________a2">#REF!</definedName>
    <definedName name="____________________________a3">#REF!</definedName>
    <definedName name="____________________________a30">#REF!</definedName>
    <definedName name="____________________________a4">#REF!</definedName>
    <definedName name="____________________________b1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IV65555">#REF!</definedName>
    <definedName name="____________________________IV65999">#REF!</definedName>
    <definedName name="____________________________IV66000">#REF!</definedName>
    <definedName name="____________________________IV69999">#REF!</definedName>
    <definedName name="____________________________IV99999">#REF!</definedName>
    <definedName name="____________________________KE8" hidden="1">#REF!</definedName>
    <definedName name="____________________________key11" hidden="1">#REF!</definedName>
    <definedName name="____________________________key12" hidden="1">#REF!</definedName>
    <definedName name="____________________________KEY123" hidden="1">#REF!</definedName>
    <definedName name="____________________________key2" hidden="1">#REF!</definedName>
    <definedName name="____________________________KEY3" hidden="1">#REF!</definedName>
    <definedName name="____________________________KEY4" hidden="1">#REF!</definedName>
    <definedName name="____________________________KEY5" hidden="1">#REF!</definedName>
    <definedName name="____________________________KEY6" hidden="1">#REF!</definedName>
    <definedName name="____________________________KEY7" hidden="1">#REF!</definedName>
    <definedName name="____________________________key8" hidden="1">#REF!</definedName>
    <definedName name="____________________________KEY90" hidden="1">#REF!</definedName>
    <definedName name="____________________________LL1714">#REF!</definedName>
    <definedName name="____________________________NOD1">#REF!</definedName>
    <definedName name="____________________________pj1">#REF!</definedName>
    <definedName name="____________________________tj1">#REF!</definedName>
    <definedName name="____________________________tj2">#REF!</definedName>
    <definedName name="____________________________tj3">#REF!</definedName>
    <definedName name="____________________________tj4">#REF!</definedName>
    <definedName name="____________________________z2">#REF!</definedName>
    <definedName name="____________________________zh1">#REF!</definedName>
    <definedName name="____________________________ZZ28">#REF!</definedName>
    <definedName name="___________________________a2">#REF!</definedName>
    <definedName name="___________________________a3">#REF!</definedName>
    <definedName name="___________________________a30">#REF!</definedName>
    <definedName name="___________________________a4">#REF!</definedName>
    <definedName name="___________________________b1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IV65555">#REF!</definedName>
    <definedName name="___________________________IV65999">#REF!</definedName>
    <definedName name="___________________________IV66000">#REF!</definedName>
    <definedName name="___________________________IV69999">#REF!</definedName>
    <definedName name="___________________________IV99999">#REF!</definedName>
    <definedName name="___________________________KE8" hidden="1">#REF!</definedName>
    <definedName name="___________________________key11" hidden="1">#REF!</definedName>
    <definedName name="___________________________key12" hidden="1">#REF!</definedName>
    <definedName name="___________________________KEY123" hidden="1">#REF!</definedName>
    <definedName name="___________________________key2" hidden="1">#REF!</definedName>
    <definedName name="___________________________KEY3" hidden="1">#REF!</definedName>
    <definedName name="___________________________KEY4" hidden="1">#REF!</definedName>
    <definedName name="___________________________KEY5" hidden="1">#REF!</definedName>
    <definedName name="___________________________KEY6" hidden="1">#REF!</definedName>
    <definedName name="___________________________KEY7" hidden="1">#REF!</definedName>
    <definedName name="___________________________key8" hidden="1">#REF!</definedName>
    <definedName name="___________________________KEY90" hidden="1">#REF!</definedName>
    <definedName name="___________________________LL1714">#REF!</definedName>
    <definedName name="___________________________NOD1">#REF!</definedName>
    <definedName name="___________________________pj1">#REF!</definedName>
    <definedName name="___________________________tj1">#REF!</definedName>
    <definedName name="___________________________tj2">#REF!</definedName>
    <definedName name="___________________________tj3">#REF!</definedName>
    <definedName name="___________________________tj4">#REF!</definedName>
    <definedName name="___________________________z2">#REF!</definedName>
    <definedName name="___________________________zh1">#REF!</definedName>
    <definedName name="___________________________ZZ28">#REF!</definedName>
    <definedName name="__________________________a2">#REF!</definedName>
    <definedName name="__________________________a3">#REF!</definedName>
    <definedName name="__________________________a30">#REF!</definedName>
    <definedName name="__________________________a4">#REF!</definedName>
    <definedName name="__________________________b1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IV65555">#REF!</definedName>
    <definedName name="__________________________IV65999">#REF!</definedName>
    <definedName name="__________________________IV66000">#REF!</definedName>
    <definedName name="__________________________IV69999">#REF!</definedName>
    <definedName name="__________________________IV99999">#REF!</definedName>
    <definedName name="__________________________KE8" hidden="1">#REF!</definedName>
    <definedName name="__________________________key11" hidden="1">#REF!</definedName>
    <definedName name="__________________________key12" hidden="1">#REF!</definedName>
    <definedName name="__________________________KEY123" hidden="1">#REF!</definedName>
    <definedName name="__________________________key2" hidden="1">#REF!</definedName>
    <definedName name="__________________________KEY3" hidden="1">#REF!</definedName>
    <definedName name="__________________________KEY4" hidden="1">#REF!</definedName>
    <definedName name="__________________________KEY5" hidden="1">#REF!</definedName>
    <definedName name="__________________________KEY6" hidden="1">#REF!</definedName>
    <definedName name="__________________________KEY7" hidden="1">#REF!</definedName>
    <definedName name="__________________________key8" hidden="1">#REF!</definedName>
    <definedName name="__________________________KEY90" hidden="1">#REF!</definedName>
    <definedName name="__________________________LL1714">#REF!</definedName>
    <definedName name="__________________________NOD1">#REF!</definedName>
    <definedName name="__________________________pj1">#REF!</definedName>
    <definedName name="__________________________tj1">#REF!</definedName>
    <definedName name="__________________________tj2">#REF!</definedName>
    <definedName name="__________________________tj3">#REF!</definedName>
    <definedName name="__________________________tj4">#REF!</definedName>
    <definedName name="__________________________z2">#REF!</definedName>
    <definedName name="__________________________zh1">#REF!</definedName>
    <definedName name="__________________________ZZ28">#REF!</definedName>
    <definedName name="_________________________a2">#REF!</definedName>
    <definedName name="_________________________a3">#REF!</definedName>
    <definedName name="_________________________a30">#REF!</definedName>
    <definedName name="_________________________a4">#REF!</definedName>
    <definedName name="_________________________b1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IV65555">#REF!</definedName>
    <definedName name="_________________________IV65999">#REF!</definedName>
    <definedName name="_________________________IV66000">#REF!</definedName>
    <definedName name="_________________________IV69999">#REF!</definedName>
    <definedName name="_________________________IV99999">#REF!</definedName>
    <definedName name="_________________________KE8" hidden="1">#REF!</definedName>
    <definedName name="_________________________key11" hidden="1">#REF!</definedName>
    <definedName name="_________________________key12" hidden="1">#REF!</definedName>
    <definedName name="_________________________KEY123" hidden="1">#REF!</definedName>
    <definedName name="_________________________key2" hidden="1">#REF!</definedName>
    <definedName name="_________________________KEY3" hidden="1">#REF!</definedName>
    <definedName name="_________________________KEY4" hidden="1">#REF!</definedName>
    <definedName name="_________________________KEY5" hidden="1">#REF!</definedName>
    <definedName name="_________________________KEY6" hidden="1">#REF!</definedName>
    <definedName name="_________________________KEY7" hidden="1">#REF!</definedName>
    <definedName name="_________________________key8" hidden="1">#REF!</definedName>
    <definedName name="_________________________KEY90" hidden="1">#REF!</definedName>
    <definedName name="_________________________LL1714">#REF!</definedName>
    <definedName name="_________________________NOD1">#REF!</definedName>
    <definedName name="_________________________pj1">#REF!</definedName>
    <definedName name="_________________________tj1">#REF!</definedName>
    <definedName name="_________________________tj2">#REF!</definedName>
    <definedName name="_________________________tj3">#REF!</definedName>
    <definedName name="_________________________tj4">#REF!</definedName>
    <definedName name="_________________________z2">#REF!</definedName>
    <definedName name="_________________________zh1">#REF!</definedName>
    <definedName name="_________________________ZZ28">#REF!</definedName>
    <definedName name="________________________a2">#REF!</definedName>
    <definedName name="________________________a3">#REF!</definedName>
    <definedName name="________________________a30">#REF!</definedName>
    <definedName name="________________________a4">#REF!</definedName>
    <definedName name="________________________aug2">#REF!</definedName>
    <definedName name="________________________b1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IV65555">#REF!</definedName>
    <definedName name="________________________IV65999">#REF!</definedName>
    <definedName name="________________________IV66000">#REF!</definedName>
    <definedName name="________________________IV69999">#REF!</definedName>
    <definedName name="________________________IV99999">#REF!</definedName>
    <definedName name="________________________KE8" hidden="1">#REF!</definedName>
    <definedName name="________________________key11" hidden="1">#REF!</definedName>
    <definedName name="________________________key12" hidden="1">#REF!</definedName>
    <definedName name="________________________KEY123" hidden="1">#REF!</definedName>
    <definedName name="________________________key2" hidden="1">#REF!</definedName>
    <definedName name="________________________KEY3" hidden="1">#REF!</definedName>
    <definedName name="________________________KEY4" hidden="1">#REF!</definedName>
    <definedName name="________________________KEY5" hidden="1">#REF!</definedName>
    <definedName name="________________________KEY6" hidden="1">#REF!</definedName>
    <definedName name="________________________KEY7" hidden="1">#REF!</definedName>
    <definedName name="________________________key8" hidden="1">#REF!</definedName>
    <definedName name="________________________KEY90" hidden="1">#REF!</definedName>
    <definedName name="________________________LL1714">#REF!</definedName>
    <definedName name="________________________NOD1">#REF!</definedName>
    <definedName name="________________________pj1">#REF!</definedName>
    <definedName name="________________________tj1">#REF!</definedName>
    <definedName name="________________________tj2">#REF!</definedName>
    <definedName name="________________________tj3">#REF!</definedName>
    <definedName name="________________________tj4">#REF!</definedName>
    <definedName name="________________________z2">#REF!</definedName>
    <definedName name="________________________zh1">#REF!</definedName>
    <definedName name="________________________ZZ28">#REF!</definedName>
    <definedName name="_______________________a2">#REF!</definedName>
    <definedName name="_______________________a3">#REF!</definedName>
    <definedName name="_______________________a30">#REF!</definedName>
    <definedName name="_______________________a4">#REF!</definedName>
    <definedName name="_______________________aug2">#REF!</definedName>
    <definedName name="_______________________b1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IV65555">#REF!</definedName>
    <definedName name="_______________________IV65999">#REF!</definedName>
    <definedName name="_______________________IV66000">#REF!</definedName>
    <definedName name="_______________________IV69999">#REF!</definedName>
    <definedName name="_______________________IV99999">#REF!</definedName>
    <definedName name="_______________________KE8" hidden="1">#REF!</definedName>
    <definedName name="_______________________key11" hidden="1">#REF!</definedName>
    <definedName name="_______________________key12" hidden="1">#REF!</definedName>
    <definedName name="_______________________KEY123" hidden="1">#REF!</definedName>
    <definedName name="_______________________key2" hidden="1">#REF!</definedName>
    <definedName name="_______________________KEY3" hidden="1">#REF!</definedName>
    <definedName name="_______________________KEY4" hidden="1">#REF!</definedName>
    <definedName name="_______________________KEY5" hidden="1">#REF!</definedName>
    <definedName name="_______________________KEY6" hidden="1">#REF!</definedName>
    <definedName name="_______________________KEY7" hidden="1">#REF!</definedName>
    <definedName name="_______________________key8" hidden="1">#REF!</definedName>
    <definedName name="_______________________KEY90" hidden="1">#REF!</definedName>
    <definedName name="_______________________LL1714">#REF!</definedName>
    <definedName name="_______________________NOD1">#REF!</definedName>
    <definedName name="_______________________pj1">#REF!</definedName>
    <definedName name="_______________________tj1">#REF!</definedName>
    <definedName name="_______________________tj2">#REF!</definedName>
    <definedName name="_______________________tj3">#REF!</definedName>
    <definedName name="_______________________tj4">#REF!</definedName>
    <definedName name="_______________________z2">#REF!</definedName>
    <definedName name="_______________________zh1">#REF!</definedName>
    <definedName name="_______________________ZZ28">#REF!</definedName>
    <definedName name="______________________a2">#REF!</definedName>
    <definedName name="______________________a3">#REF!</definedName>
    <definedName name="______________________a30">#REF!</definedName>
    <definedName name="______________________a4">#REF!</definedName>
    <definedName name="______________________aug2">#REF!</definedName>
    <definedName name="______________________b1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IV65555">#REF!</definedName>
    <definedName name="______________________IV65999">#REF!</definedName>
    <definedName name="______________________IV66000">#REF!</definedName>
    <definedName name="______________________IV69999">#REF!</definedName>
    <definedName name="______________________IV99999">#REF!</definedName>
    <definedName name="______________________KE8" hidden="1">#REF!</definedName>
    <definedName name="______________________key11" hidden="1">#REF!</definedName>
    <definedName name="______________________key12" hidden="1">#REF!</definedName>
    <definedName name="______________________KEY123" hidden="1">#REF!</definedName>
    <definedName name="______________________key2" hidden="1">#REF!</definedName>
    <definedName name="______________________KEY3" hidden="1">#REF!</definedName>
    <definedName name="______________________KEY4" hidden="1">#REF!</definedName>
    <definedName name="______________________KEY5" hidden="1">#REF!</definedName>
    <definedName name="______________________KEY6" hidden="1">#REF!</definedName>
    <definedName name="______________________KEY7" hidden="1">#REF!</definedName>
    <definedName name="______________________key8" hidden="1">#REF!</definedName>
    <definedName name="______________________KEY90" hidden="1">#REF!</definedName>
    <definedName name="______________________LL1714">#REF!</definedName>
    <definedName name="______________________NOD1">#REF!</definedName>
    <definedName name="______________________pj1">#REF!</definedName>
    <definedName name="______________________tj1">#REF!</definedName>
    <definedName name="______________________tj2">#REF!</definedName>
    <definedName name="______________________tj3">#REF!</definedName>
    <definedName name="______________________tj4">#REF!</definedName>
    <definedName name="______________________z2">#REF!</definedName>
    <definedName name="______________________zh1">#REF!</definedName>
    <definedName name="______________________ZZ28">#REF!</definedName>
    <definedName name="_____________________a2">#REF!</definedName>
    <definedName name="_____________________a3">#REF!</definedName>
    <definedName name="_____________________a30">#REF!</definedName>
    <definedName name="_____________________a4">#REF!</definedName>
    <definedName name="_____________________aug2">#REF!</definedName>
    <definedName name="_____________________b1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IV65555">#REF!</definedName>
    <definedName name="_____________________IV65999">#REF!</definedName>
    <definedName name="_____________________IV66000">#REF!</definedName>
    <definedName name="_____________________IV69999">#REF!</definedName>
    <definedName name="_____________________IV99999">#REF!</definedName>
    <definedName name="_____________________KE8" hidden="1">#REF!</definedName>
    <definedName name="_____________________key11" hidden="1">#REF!</definedName>
    <definedName name="_____________________key12" hidden="1">#REF!</definedName>
    <definedName name="_____________________KEY123" hidden="1">#REF!</definedName>
    <definedName name="_____________________key2" hidden="1">#REF!</definedName>
    <definedName name="_____________________KEY3" hidden="1">#REF!</definedName>
    <definedName name="_____________________KEY4" hidden="1">#REF!</definedName>
    <definedName name="_____________________KEY5" hidden="1">#REF!</definedName>
    <definedName name="_____________________KEY6" hidden="1">#REF!</definedName>
    <definedName name="_____________________KEY7" hidden="1">#REF!</definedName>
    <definedName name="_____________________key8" hidden="1">#REF!</definedName>
    <definedName name="_____________________KEY90" hidden="1">#REF!</definedName>
    <definedName name="_____________________LL1714">#REF!</definedName>
    <definedName name="_____________________NOD1">#REF!</definedName>
    <definedName name="_____________________pj1">#REF!</definedName>
    <definedName name="_____________________tj1">#REF!</definedName>
    <definedName name="_____________________tj2">#REF!</definedName>
    <definedName name="_____________________tj3">#REF!</definedName>
    <definedName name="_____________________tj4">#REF!</definedName>
    <definedName name="_____________________z2">#REF!</definedName>
    <definedName name="_____________________zh1">#REF!</definedName>
    <definedName name="_____________________ZZ28">#REF!</definedName>
    <definedName name="____________________a2">#REF!</definedName>
    <definedName name="____________________a3">#REF!</definedName>
    <definedName name="____________________a30">#REF!</definedName>
    <definedName name="____________________a4">#REF!</definedName>
    <definedName name="____________________aug2">#REF!</definedName>
    <definedName name="____________________b1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IV65555">#REF!</definedName>
    <definedName name="____________________IV65999">#REF!</definedName>
    <definedName name="____________________IV66000">#REF!</definedName>
    <definedName name="____________________IV69999">#REF!</definedName>
    <definedName name="____________________IV99999">#REF!</definedName>
    <definedName name="____________________KE8" hidden="1">#REF!</definedName>
    <definedName name="____________________key11" hidden="1">#REF!</definedName>
    <definedName name="____________________key12" hidden="1">#REF!</definedName>
    <definedName name="____________________KEY123" hidden="1">#REF!</definedName>
    <definedName name="____________________key2" hidden="1">#REF!</definedName>
    <definedName name="____________________KEY3" hidden="1">#REF!</definedName>
    <definedName name="____________________KEY4" hidden="1">#REF!</definedName>
    <definedName name="____________________KEY5" hidden="1">#REF!</definedName>
    <definedName name="____________________KEY6" hidden="1">#REF!</definedName>
    <definedName name="____________________KEY7" hidden="1">#REF!</definedName>
    <definedName name="____________________key8" hidden="1">#REF!</definedName>
    <definedName name="____________________KEY90" hidden="1">#REF!</definedName>
    <definedName name="____________________LL1714">#REF!</definedName>
    <definedName name="____________________NOD1">#REF!</definedName>
    <definedName name="____________________pj1">#REF!</definedName>
    <definedName name="____________________tj1">#REF!</definedName>
    <definedName name="____________________tj2">#REF!</definedName>
    <definedName name="____________________tj3">#REF!</definedName>
    <definedName name="____________________tj4">#REF!</definedName>
    <definedName name="____________________z2">#REF!</definedName>
    <definedName name="____________________zh1">#REF!</definedName>
    <definedName name="____________________ZZ28">#REF!</definedName>
    <definedName name="___________________a2">#REF!</definedName>
    <definedName name="___________________a3">#REF!</definedName>
    <definedName name="___________________a30">#REF!</definedName>
    <definedName name="___________________a4">#REF!</definedName>
    <definedName name="___________________aug2">#REF!</definedName>
    <definedName name="___________________b1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IV65555">#REF!</definedName>
    <definedName name="___________________IV65999">#REF!</definedName>
    <definedName name="___________________IV66000">#REF!</definedName>
    <definedName name="___________________IV69999">#REF!</definedName>
    <definedName name="___________________IV99999">#REF!</definedName>
    <definedName name="___________________KE8" hidden="1">#REF!</definedName>
    <definedName name="___________________key11" hidden="1">#REF!</definedName>
    <definedName name="___________________key12" hidden="1">#REF!</definedName>
    <definedName name="___________________KEY123" hidden="1">#REF!</definedName>
    <definedName name="___________________key2" hidden="1">#REF!</definedName>
    <definedName name="___________________KEY3" hidden="1">#REF!</definedName>
    <definedName name="___________________KEY4" hidden="1">#REF!</definedName>
    <definedName name="___________________KEY5" hidden="1">#REF!</definedName>
    <definedName name="___________________KEY6" hidden="1">#REF!</definedName>
    <definedName name="___________________KEY7" hidden="1">#REF!</definedName>
    <definedName name="___________________key8" hidden="1">#REF!</definedName>
    <definedName name="___________________KEY90" hidden="1">#REF!</definedName>
    <definedName name="___________________LL1714">#REF!</definedName>
    <definedName name="___________________NOD1">#REF!</definedName>
    <definedName name="___________________pj1">#REF!</definedName>
    <definedName name="__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_tj1">#REF!</definedName>
    <definedName name="___________________tj2">#REF!</definedName>
    <definedName name="___________________tj3">#REF!</definedName>
    <definedName name="___________________tj4">#REF!</definedName>
    <definedName name="___________________z2">#REF!</definedName>
    <definedName name="___________________zh1">#REF!</definedName>
    <definedName name="___________________ZZ28">#REF!</definedName>
    <definedName name="__________________a2">#REF!</definedName>
    <definedName name="__________________a3">#REF!</definedName>
    <definedName name="__________________a30">#REF!</definedName>
    <definedName name="__________________a4">#REF!</definedName>
    <definedName name="__________________aug2">#REF!</definedName>
    <definedName name="__________________b1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IV65555">#REF!</definedName>
    <definedName name="__________________IV65999">#REF!</definedName>
    <definedName name="__________________IV66000">#REF!</definedName>
    <definedName name="__________________IV69999">#REF!</definedName>
    <definedName name="__________________IV99999">#REF!</definedName>
    <definedName name="__________________KE8" hidden="1">#REF!</definedName>
    <definedName name="__________________key11" hidden="1">#REF!</definedName>
    <definedName name="__________________key12" hidden="1">#REF!</definedName>
    <definedName name="__________________KEY123" hidden="1">#REF!</definedName>
    <definedName name="__________________key2" hidden="1">#REF!</definedName>
    <definedName name="__________________KEY3" hidden="1">#REF!</definedName>
    <definedName name="__________________KEY4" hidden="1">#REF!</definedName>
    <definedName name="__________________KEY5" hidden="1">#REF!</definedName>
    <definedName name="__________________KEY6" hidden="1">#REF!</definedName>
    <definedName name="__________________KEY7" hidden="1">#REF!</definedName>
    <definedName name="__________________key8" hidden="1">#REF!</definedName>
    <definedName name="__________________KEY90" hidden="1">#REF!</definedName>
    <definedName name="__________________LL1714">#REF!</definedName>
    <definedName name="__________________NOD1">#REF!</definedName>
    <definedName name="__________________pj1">#REF!</definedName>
    <definedName name="_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tj1">#REF!</definedName>
    <definedName name="__________________tj2">#REF!</definedName>
    <definedName name="__________________tj3">#REF!</definedName>
    <definedName name="__________________tj4">#REF!</definedName>
    <definedName name="__________________z2">#REF!</definedName>
    <definedName name="__________________zh1">#REF!</definedName>
    <definedName name="__________________ZZ28">#REF!</definedName>
    <definedName name="_________________a2">#REF!</definedName>
    <definedName name="_________________a3">#REF!</definedName>
    <definedName name="_________________a30">#REF!</definedName>
    <definedName name="_________________a4">#REF!</definedName>
    <definedName name="_________________aug2">#REF!</definedName>
    <definedName name="_________________b1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IV65555">#REF!</definedName>
    <definedName name="_________________IV65999">#REF!</definedName>
    <definedName name="_________________IV66000">#REF!</definedName>
    <definedName name="_________________IV69999">#REF!</definedName>
    <definedName name="_________________IV99999">#REF!</definedName>
    <definedName name="_________________KE8" hidden="1">#REF!</definedName>
    <definedName name="_________________key11" hidden="1">#REF!</definedName>
    <definedName name="_________________key12" hidden="1">#REF!</definedName>
    <definedName name="_________________KEY123" hidden="1">#REF!</definedName>
    <definedName name="_________________key2" hidden="1">#REF!</definedName>
    <definedName name="_________________KEY3" hidden="1">#REF!</definedName>
    <definedName name="_________________KEY4" hidden="1">#REF!</definedName>
    <definedName name="_________________KEY5" hidden="1">#REF!</definedName>
    <definedName name="_________________KEY6" hidden="1">#REF!</definedName>
    <definedName name="_________________KEY7" hidden="1">#REF!</definedName>
    <definedName name="_________________key8" hidden="1">#REF!</definedName>
    <definedName name="_________________KEY90" hidden="1">#REF!</definedName>
    <definedName name="_________________LL1714">#REF!</definedName>
    <definedName name="_________________NOD1">#REF!</definedName>
    <definedName name="_________________pj1">#REF!</definedName>
    <definedName name="_________________q1" hidden="1">{#N/A,#N/A,FALSE,"elraw";#N/A,#N/A,FALSE,"clraw ";#N/A,#N/A,FALSE,"pxraw ";#N/A,#N/A,FALSE,"arraw ";#N/A,#N/A,FALSE,"orraw ";#N/A,#N/A,FALSE,"90raw  ";#N/A,#N/A,FALSE,"dcraw   "}</definedName>
    <definedName name="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tj1">#REF!</definedName>
    <definedName name="_________________tj2">#REF!</definedName>
    <definedName name="_________________tj3">#REF!</definedName>
    <definedName name="_________________tj4">#REF!</definedName>
    <definedName name="_________________z2">#REF!</definedName>
    <definedName name="_________________zh1">#REF!</definedName>
    <definedName name="_________________ZZ28">#REF!</definedName>
    <definedName name="________________a2">#REF!</definedName>
    <definedName name="________________a3">#REF!</definedName>
    <definedName name="________________a30">#REF!</definedName>
    <definedName name="________________a4">#REF!</definedName>
    <definedName name="________________aug2">#REF!</definedName>
    <definedName name="________________b1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IV65555">#REF!</definedName>
    <definedName name="________________IV65999">#REF!</definedName>
    <definedName name="________________IV66000">#REF!</definedName>
    <definedName name="________________IV69999">#REF!</definedName>
    <definedName name="________________IV99999">#REF!</definedName>
    <definedName name="________________KE8" hidden="1">#REF!</definedName>
    <definedName name="________________key11" hidden="1">#REF!</definedName>
    <definedName name="________________key12" hidden="1">#REF!</definedName>
    <definedName name="________________KEY123" hidden="1">#REF!</definedName>
    <definedName name="________________key2" hidden="1">#REF!</definedName>
    <definedName name="________________KEY3" hidden="1">#REF!</definedName>
    <definedName name="________________KEY4" hidden="1">#REF!</definedName>
    <definedName name="________________KEY5" hidden="1">#REF!</definedName>
    <definedName name="________________KEY6" hidden="1">#REF!</definedName>
    <definedName name="________________KEY7" hidden="1">#REF!</definedName>
    <definedName name="________________key8" hidden="1">#REF!</definedName>
    <definedName name="________________KEY90" hidden="1">#REF!</definedName>
    <definedName name="________________LL1714">#REF!</definedName>
    <definedName name="________________NOD1">#REF!</definedName>
    <definedName name="________________pj1">#REF!</definedName>
    <definedName name="________________q1" hidden="1">{#N/A,#N/A,FALSE,"elraw";#N/A,#N/A,FALSE,"clraw ";#N/A,#N/A,FALSE,"pxraw ";#N/A,#N/A,FALSE,"arraw ";#N/A,#N/A,FALSE,"orraw ";#N/A,#N/A,FALSE,"90raw  ";#N/A,#N/A,FALSE,"dcraw   "}</definedName>
    <definedName name="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tj1">#REF!</definedName>
    <definedName name="________________tj2">#REF!</definedName>
    <definedName name="________________tj3">#REF!</definedName>
    <definedName name="________________tj4">#REF!</definedName>
    <definedName name="________________z2">#REF!</definedName>
    <definedName name="________________zh1">#REF!</definedName>
    <definedName name="________________ZZ28">#REF!</definedName>
    <definedName name="_______________a2">#REF!</definedName>
    <definedName name="_______________a3">#REF!</definedName>
    <definedName name="_______________a30">#REF!</definedName>
    <definedName name="_______________a4">#REF!</definedName>
    <definedName name="_______________aug2">#REF!</definedName>
    <definedName name="_______________b1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IV65555">#REF!</definedName>
    <definedName name="_______________IV65999">#REF!</definedName>
    <definedName name="_______________IV66000">#REF!</definedName>
    <definedName name="_______________IV69999">#REF!</definedName>
    <definedName name="_______________IV99999">#REF!</definedName>
    <definedName name="_______________KE8" hidden="1">#REF!</definedName>
    <definedName name="_______________key11" hidden="1">#REF!</definedName>
    <definedName name="_______________key12" hidden="1">#REF!</definedName>
    <definedName name="_______________KEY123" hidden="1">#REF!</definedName>
    <definedName name="_______________key2" hidden="1">#REF!</definedName>
    <definedName name="_______________KEY3" hidden="1">#REF!</definedName>
    <definedName name="_______________KEY4" hidden="1">#REF!</definedName>
    <definedName name="_______________KEY5" hidden="1">#REF!</definedName>
    <definedName name="_______________KEY6" hidden="1">#REF!</definedName>
    <definedName name="_______________KEY7" hidden="1">#REF!</definedName>
    <definedName name="_______________key8" hidden="1">#REF!</definedName>
    <definedName name="_______________KEY90" hidden="1">#REF!</definedName>
    <definedName name="_______________LL1714">#REF!</definedName>
    <definedName name="_______________NOD1">#REF!</definedName>
    <definedName name="_______________pj1">#REF!</definedName>
    <definedName name="_______________q1" hidden="1">{#N/A,#N/A,FALSE,"elraw";#N/A,#N/A,FALSE,"clraw ";#N/A,#N/A,FALSE,"pxraw ";#N/A,#N/A,FALSE,"arraw ";#N/A,#N/A,FALSE,"orraw ";#N/A,#N/A,FALSE,"90raw  ";#N/A,#N/A,FALSE,"dcraw   "}</definedName>
    <definedName name="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Row1">#REF!</definedName>
    <definedName name="_______________row2">#REF!</definedName>
    <definedName name="_______________tj1">#REF!</definedName>
    <definedName name="_______________tj2">#REF!</definedName>
    <definedName name="_______________tj3">#REF!</definedName>
    <definedName name="_______________tj4">#REF!</definedName>
    <definedName name="_______________z2">#REF!</definedName>
    <definedName name="_______________zh1">#REF!</definedName>
    <definedName name="_______________ZZ28">#REF!</definedName>
    <definedName name="______________a2">#REF!</definedName>
    <definedName name="______________a3">#REF!</definedName>
    <definedName name="______________a30">#REF!</definedName>
    <definedName name="______________a4">#REF!</definedName>
    <definedName name="______________aug2">#REF!</definedName>
    <definedName name="______________b1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IV65555">#REF!</definedName>
    <definedName name="______________IV65999">#REF!</definedName>
    <definedName name="______________IV66000">#REF!</definedName>
    <definedName name="______________IV69999">#REF!</definedName>
    <definedName name="______________IV99999">#REF!</definedName>
    <definedName name="______________KE8" hidden="1">#REF!</definedName>
    <definedName name="______________key11" hidden="1">#REF!</definedName>
    <definedName name="______________key12" hidden="1">#REF!</definedName>
    <definedName name="______________KEY123" hidden="1">#REF!</definedName>
    <definedName name="______________key2" hidden="1">#REF!</definedName>
    <definedName name="______________KEY3" hidden="1">#REF!</definedName>
    <definedName name="______________KEY4" hidden="1">#REF!</definedName>
    <definedName name="______________KEY5" hidden="1">#REF!</definedName>
    <definedName name="______________KEY6" hidden="1">#REF!</definedName>
    <definedName name="______________KEY7" hidden="1">#REF!</definedName>
    <definedName name="______________key8" hidden="1">#REF!</definedName>
    <definedName name="______________KEY90" hidden="1">#REF!</definedName>
    <definedName name="______________LL1714">#REF!</definedName>
    <definedName name="______________NOD1">#REF!</definedName>
    <definedName name="______________pj1">#REF!</definedName>
    <definedName name="______________q1" hidden="1">{#N/A,#N/A,FALSE,"elraw";#N/A,#N/A,FALSE,"clraw ";#N/A,#N/A,FALSE,"pxraw ";#N/A,#N/A,FALSE,"arraw ";#N/A,#N/A,FALSE,"orraw ";#N/A,#N/A,FALSE,"90raw  ";#N/A,#N/A,FALSE,"dcraw   "}</definedName>
    <definedName name="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Row1">#REF!</definedName>
    <definedName name="______________row2">#REF!</definedName>
    <definedName name="______________tj1">#REF!</definedName>
    <definedName name="______________tj2">#REF!</definedName>
    <definedName name="______________tj3">#REF!</definedName>
    <definedName name="______________tj4">#REF!</definedName>
    <definedName name="______________TOT1">#REF!</definedName>
    <definedName name="______________TOT2">#REF!</definedName>
    <definedName name="______________TOT3">#REF!</definedName>
    <definedName name="______________TOT4">#REF!</definedName>
    <definedName name="______________z2">#REF!</definedName>
    <definedName name="______________zh1">#REF!</definedName>
    <definedName name="______________ZZ28">#REF!</definedName>
    <definedName name="_____________a2">#REF!</definedName>
    <definedName name="_____________a3">#REF!</definedName>
    <definedName name="_____________a30">#REF!</definedName>
    <definedName name="_____________a4">#REF!</definedName>
    <definedName name="_____________aug2">#REF!</definedName>
    <definedName name="_____________b1">#REF!</definedName>
    <definedName name="_____________cat2">#REF!</definedName>
    <definedName name="_____________cpc1">#REF!</definedName>
    <definedName name="_____________cpc2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gwk5">#REF!</definedName>
    <definedName name="_____________gwk55">#REF!</definedName>
    <definedName name="_____________IV65555">#REF!</definedName>
    <definedName name="_____________IV65999">#REF!</definedName>
    <definedName name="_____________IV66000">#REF!</definedName>
    <definedName name="_____________IV69999">#REF!</definedName>
    <definedName name="_____________IV99999">#REF!</definedName>
    <definedName name="_____________KE8" hidden="1">#REF!</definedName>
    <definedName name="_____________key11" hidden="1">#REF!</definedName>
    <definedName name="_____________key12" hidden="1">#REF!</definedName>
    <definedName name="_____________KEY123" hidden="1">#REF!</definedName>
    <definedName name="_____________key2" hidden="1">#REF!</definedName>
    <definedName name="_____________KEY3" hidden="1">#REF!</definedName>
    <definedName name="_____________KEY4" hidden="1">#REF!</definedName>
    <definedName name="_____________KEY5" hidden="1">#REF!</definedName>
    <definedName name="_____________KEY6" hidden="1">#REF!</definedName>
    <definedName name="_____________KEY7" hidden="1">#REF!</definedName>
    <definedName name="_____________key8" hidden="1">#REF!</definedName>
    <definedName name="_____________KEY90" hidden="1">#REF!</definedName>
    <definedName name="_____________LL1714">#REF!</definedName>
    <definedName name="_____________moo2">#REF!</definedName>
    <definedName name="_____________NOD1">#REF!</definedName>
    <definedName name="_____________nyu1">#REF!</definedName>
    <definedName name="_____________owk5">#REF!</definedName>
    <definedName name="_____________pj1">#REF!</definedName>
    <definedName name="_____________q1" hidden="1">{#N/A,#N/A,FALSE,"elraw";#N/A,#N/A,FALSE,"clraw ";#N/A,#N/A,FALSE,"pxraw ";#N/A,#N/A,FALSE,"arraw ";#N/A,#N/A,FALSE,"orraw ";#N/A,#N/A,FALSE,"90raw  ";#N/A,#N/A,FALSE,"dcraw   "}</definedName>
    <definedName name="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Row1">#REF!</definedName>
    <definedName name="_____________row2">#REF!</definedName>
    <definedName name="_____________tj1">#REF!</definedName>
    <definedName name="_____________tj2">#REF!</definedName>
    <definedName name="_____________tj3">#REF!</definedName>
    <definedName name="_____________tj4">#REF!</definedName>
    <definedName name="_____________TOT1">#REF!</definedName>
    <definedName name="_____________TOT2">#REF!</definedName>
    <definedName name="_____________TOT3">#REF!</definedName>
    <definedName name="_____________TOT4">#REF!</definedName>
    <definedName name="_____________z2">#REF!</definedName>
    <definedName name="_____________zh1">#REF!</definedName>
    <definedName name="_____________ZZ28">#REF!</definedName>
    <definedName name="____________a2">#REF!</definedName>
    <definedName name="____________a3">#REF!</definedName>
    <definedName name="____________a30">#REF!</definedName>
    <definedName name="____________a4">#REF!</definedName>
    <definedName name="____________aug2">#REF!</definedName>
    <definedName name="____________b1">#REF!</definedName>
    <definedName name="____________cat2">#REF!</definedName>
    <definedName name="____________cpc1">#REF!</definedName>
    <definedName name="____________cpc2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gwk5">#REF!</definedName>
    <definedName name="____________gwk55">#REF!</definedName>
    <definedName name="____________IV65555">#REF!</definedName>
    <definedName name="____________IV65999">#REF!</definedName>
    <definedName name="____________IV66000">#REF!</definedName>
    <definedName name="____________IV69999">#REF!</definedName>
    <definedName name="____________IV99999">#REF!</definedName>
    <definedName name="____________KE8" hidden="1">#REF!</definedName>
    <definedName name="____________key11" hidden="1">#REF!</definedName>
    <definedName name="____________key12" hidden="1">#REF!</definedName>
    <definedName name="____________KEY123" hidden="1">#REF!</definedName>
    <definedName name="____________key2" hidden="1">#REF!</definedName>
    <definedName name="____________KEY3" hidden="1">#REF!</definedName>
    <definedName name="____________KEY4" hidden="1">#REF!</definedName>
    <definedName name="____________KEY5" hidden="1">#REF!</definedName>
    <definedName name="____________KEY6" hidden="1">#REF!</definedName>
    <definedName name="____________KEY7" hidden="1">#REF!</definedName>
    <definedName name="____________key8" hidden="1">#REF!</definedName>
    <definedName name="____________KEY90" hidden="1">#REF!</definedName>
    <definedName name="____________LL1714">#REF!</definedName>
    <definedName name="____________moo2">#REF!</definedName>
    <definedName name="____________NOD1">#REF!</definedName>
    <definedName name="____________nyu1">#REF!</definedName>
    <definedName name="____________owk5">#REF!</definedName>
    <definedName name="____________pj1">#REF!</definedName>
    <definedName name="____________q1" hidden="1">{#N/A,#N/A,FALSE,"elraw";#N/A,#N/A,FALSE,"clraw ";#N/A,#N/A,FALSE,"pxraw ";#N/A,#N/A,FALSE,"arraw ";#N/A,#N/A,FALSE,"orraw ";#N/A,#N/A,FALSE,"90raw  ";#N/A,#N/A,FALSE,"dcraw   "}</definedName>
    <definedName name="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Row1">#REF!</definedName>
    <definedName name="____________row2">#REF!</definedName>
    <definedName name="____________tj1">#REF!</definedName>
    <definedName name="____________tj2">#REF!</definedName>
    <definedName name="____________tj3">#REF!</definedName>
    <definedName name="____________tj4">#REF!</definedName>
    <definedName name="____________TOT1">#REF!</definedName>
    <definedName name="____________TOT2">#REF!</definedName>
    <definedName name="____________TOT3">#REF!</definedName>
    <definedName name="____________TOT4">#REF!</definedName>
    <definedName name="____________z2">#REF!</definedName>
    <definedName name="____________zh1">#REF!</definedName>
    <definedName name="____________ZZ28">#REF!</definedName>
    <definedName name="___________a2">#REF!</definedName>
    <definedName name="___________a3">#REF!</definedName>
    <definedName name="___________a30">#REF!</definedName>
    <definedName name="___________a4">#REF!</definedName>
    <definedName name="___________aug2">#REF!</definedName>
    <definedName name="___________b1">#REF!</definedName>
    <definedName name="___________cat2">#REF!</definedName>
    <definedName name="___________cpc1">#REF!</definedName>
    <definedName name="___________cpc2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gwk5">#REF!</definedName>
    <definedName name="___________gwk55">#REF!</definedName>
    <definedName name="___________IV65555">#REF!</definedName>
    <definedName name="___________IV65999">#REF!</definedName>
    <definedName name="___________IV66000">#REF!</definedName>
    <definedName name="___________IV69999">#REF!</definedName>
    <definedName name="___________IV99999">#REF!</definedName>
    <definedName name="___________KE8" hidden="1">#REF!</definedName>
    <definedName name="___________key11" hidden="1">#REF!</definedName>
    <definedName name="___________key12" hidden="1">#REF!</definedName>
    <definedName name="___________KEY123" hidden="1">#REF!</definedName>
    <definedName name="___________key2" hidden="1">#REF!</definedName>
    <definedName name="___________KEY3" hidden="1">#REF!</definedName>
    <definedName name="___________KEY4" hidden="1">#REF!</definedName>
    <definedName name="___________KEY5" hidden="1">#REF!</definedName>
    <definedName name="___________KEY6" hidden="1">#REF!</definedName>
    <definedName name="___________KEY7" hidden="1">#REF!</definedName>
    <definedName name="___________key8" hidden="1">#REF!</definedName>
    <definedName name="___________KEY90" hidden="1">#REF!</definedName>
    <definedName name="___________LL1714">#REF!</definedName>
    <definedName name="___________moo2">#REF!</definedName>
    <definedName name="___________NOD1">#REF!</definedName>
    <definedName name="___________nyu1">#REF!</definedName>
    <definedName name="___________owk5">#REF!</definedName>
    <definedName name="___________pj1">#REF!</definedName>
    <definedName name="___________q1" hidden="1">{#N/A,#N/A,FALSE,"elraw";#N/A,#N/A,FALSE,"clraw ";#N/A,#N/A,FALSE,"pxraw ";#N/A,#N/A,FALSE,"arraw ";#N/A,#N/A,FALSE,"orraw ";#N/A,#N/A,FALSE,"90raw  ";#N/A,#N/A,FALSE,"dcraw   "}</definedName>
    <definedName name="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Row1">#REF!</definedName>
    <definedName name="___________row2">#REF!</definedName>
    <definedName name="___________tj1">#REF!</definedName>
    <definedName name="___________tj2">#REF!</definedName>
    <definedName name="___________tj3">#REF!</definedName>
    <definedName name="___________tj4">#REF!</definedName>
    <definedName name="___________TOT1">#REF!</definedName>
    <definedName name="___________TOT2">#REF!</definedName>
    <definedName name="___________TOT3">#REF!</definedName>
    <definedName name="___________TOT4">#REF!</definedName>
    <definedName name="___________z2">#REF!</definedName>
    <definedName name="___________zh1">#REF!</definedName>
    <definedName name="___________ZZ28">#REF!</definedName>
    <definedName name="__________a2">#REF!</definedName>
    <definedName name="__________a3">#REF!</definedName>
    <definedName name="__________a30">#REF!</definedName>
    <definedName name="__________a4">#REF!</definedName>
    <definedName name="__________aug2">#REF!</definedName>
    <definedName name="__________b1">#REF!</definedName>
    <definedName name="__________cat2">#REF!</definedName>
    <definedName name="__________cpc1">#REF!</definedName>
    <definedName name="__________cpc2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gwk5">#REF!</definedName>
    <definedName name="__________gwk55">#REF!</definedName>
    <definedName name="__________IV65555">#REF!</definedName>
    <definedName name="__________IV65999">#REF!</definedName>
    <definedName name="__________IV66000">#REF!</definedName>
    <definedName name="__________IV69999">#REF!</definedName>
    <definedName name="__________IV99999">#REF!</definedName>
    <definedName name="__________KE8" hidden="1">#REF!</definedName>
    <definedName name="__________key11" hidden="1">#REF!</definedName>
    <definedName name="__________key12" hidden="1">#REF!</definedName>
    <definedName name="__________KEY123" hidden="1">#REF!</definedName>
    <definedName name="__________key2" hidden="1">#REF!</definedName>
    <definedName name="__________KEY3" hidden="1">#REF!</definedName>
    <definedName name="__________KEY4" hidden="1">#REF!</definedName>
    <definedName name="__________KEY5" hidden="1">#REF!</definedName>
    <definedName name="__________KEY6" hidden="1">#REF!</definedName>
    <definedName name="__________KEY7" hidden="1">#REF!</definedName>
    <definedName name="__________key8" hidden="1">#REF!</definedName>
    <definedName name="__________KEY90" hidden="1">#REF!</definedName>
    <definedName name="__________LL1714">#REF!</definedName>
    <definedName name="__________moo2">#REF!</definedName>
    <definedName name="__________NOD1">#REF!</definedName>
    <definedName name="__________nyu1">#REF!</definedName>
    <definedName name="__________owk5">#REF!</definedName>
    <definedName name="__________pj1">#REF!</definedName>
    <definedName name="__________q1" hidden="1">{#N/A,#N/A,FALSE,"elraw";#N/A,#N/A,FALSE,"clraw ";#N/A,#N/A,FALSE,"pxraw ";#N/A,#N/A,FALSE,"arraw ";#N/A,#N/A,FALSE,"orraw ";#N/A,#N/A,FALSE,"90raw  ";#N/A,#N/A,FALSE,"dcraw   "}</definedName>
    <definedName name="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Row1">#REF!</definedName>
    <definedName name="__________row2">#REF!</definedName>
    <definedName name="__________tj1">#REF!</definedName>
    <definedName name="__________tj2">#REF!</definedName>
    <definedName name="__________tj3">#REF!</definedName>
    <definedName name="__________tj4">#REF!</definedName>
    <definedName name="__________TOT1">#REF!</definedName>
    <definedName name="__________TOT2">#REF!</definedName>
    <definedName name="__________TOT3">#REF!</definedName>
    <definedName name="__________TOT4">#REF!</definedName>
    <definedName name="__________z2">#REF!</definedName>
    <definedName name="__________zh1">#REF!</definedName>
    <definedName name="__________ZZ28">#REF!</definedName>
    <definedName name="_________a2">#REF!</definedName>
    <definedName name="_________a3">#REF!</definedName>
    <definedName name="_________a30">#REF!</definedName>
    <definedName name="_________a4">#REF!</definedName>
    <definedName name="_________aug2">#REF!</definedName>
    <definedName name="_________b1">#REF!</definedName>
    <definedName name="_________cat2">#REF!</definedName>
    <definedName name="_________cpc1">#REF!</definedName>
    <definedName name="_________cpc2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wk5">#REF!</definedName>
    <definedName name="_________gwk55">#REF!</definedName>
    <definedName name="_________IV65555">#REF!</definedName>
    <definedName name="_________IV65999">#REF!</definedName>
    <definedName name="_________IV66000">#REF!</definedName>
    <definedName name="_________IV69999">#REF!</definedName>
    <definedName name="_________IV99999">#REF!</definedName>
    <definedName name="_________KE8" hidden="1">#REF!</definedName>
    <definedName name="_________key11" hidden="1">#REF!</definedName>
    <definedName name="_________key12" hidden="1">#REF!</definedName>
    <definedName name="_________KEY123" hidden="1">#REF!</definedName>
    <definedName name="_________key2" hidden="1">#REF!</definedName>
    <definedName name="_________KEY3" hidden="1">#REF!</definedName>
    <definedName name="_________KEY4" hidden="1">#REF!</definedName>
    <definedName name="_________KEY5" hidden="1">#REF!</definedName>
    <definedName name="_________KEY6" hidden="1">#REF!</definedName>
    <definedName name="_________KEY7" hidden="1">#REF!</definedName>
    <definedName name="_________key8" hidden="1">#REF!</definedName>
    <definedName name="_________KEY90" hidden="1">#REF!</definedName>
    <definedName name="_________LL1714">#REF!</definedName>
    <definedName name="_________moo2">#REF!</definedName>
    <definedName name="_________NOD1">#REF!</definedName>
    <definedName name="_________nyu1">#REF!</definedName>
    <definedName name="_________owk5">#REF!</definedName>
    <definedName name="_________pj1">#REF!</definedName>
    <definedName name="_________q1" hidden="1">{#N/A,#N/A,FALSE,"elraw";#N/A,#N/A,FALSE,"clraw ";#N/A,#N/A,FALSE,"pxraw ";#N/A,#N/A,FALSE,"arraw ";#N/A,#N/A,FALSE,"orraw ";#N/A,#N/A,FALSE,"90raw  ";#N/A,#N/A,FALSE,"dcraw   "}</definedName>
    <definedName name="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Row1">#REF!</definedName>
    <definedName name="_________row2">#REF!</definedName>
    <definedName name="_________tj1">#REF!</definedName>
    <definedName name="_________tj2">#REF!</definedName>
    <definedName name="_________tj3">#REF!</definedName>
    <definedName name="_________tj4">#REF!</definedName>
    <definedName name="_________TOT1">#REF!</definedName>
    <definedName name="_________TOT2">#REF!</definedName>
    <definedName name="_________TOT3">#REF!</definedName>
    <definedName name="_________TOT4">#REF!</definedName>
    <definedName name="_________z2">#REF!</definedName>
    <definedName name="_________zh1">#REF!</definedName>
    <definedName name="_________ZZ28">#REF!</definedName>
    <definedName name="________a2">#REF!</definedName>
    <definedName name="________a3">#REF!</definedName>
    <definedName name="________a30">#REF!</definedName>
    <definedName name="________a4">#REF!</definedName>
    <definedName name="________aug2">#REF!</definedName>
    <definedName name="________b1">#REF!</definedName>
    <definedName name="________cat2">#REF!</definedName>
    <definedName name="________cpc1">#REF!</definedName>
    <definedName name="________cpc2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gwk5">#REF!</definedName>
    <definedName name="________gwk55">#REF!</definedName>
    <definedName name="________IV65555">#REF!</definedName>
    <definedName name="________IV65999">#REF!</definedName>
    <definedName name="________IV66000">#REF!</definedName>
    <definedName name="________IV69999">#REF!</definedName>
    <definedName name="________IV99999">#REF!</definedName>
    <definedName name="________KE8" hidden="1">#REF!</definedName>
    <definedName name="________key11" hidden="1">#REF!</definedName>
    <definedName name="________key12" hidden="1">#REF!</definedName>
    <definedName name="________KEY123" hidden="1">#REF!</definedName>
    <definedName name="________key2" hidden="1">#REF!</definedName>
    <definedName name="________KEY3" hidden="1">#REF!</definedName>
    <definedName name="________KEY4" hidden="1">#REF!</definedName>
    <definedName name="________KEY5" hidden="1">#REF!</definedName>
    <definedName name="________KEY6" hidden="1">#REF!</definedName>
    <definedName name="________KEY7" hidden="1">#REF!</definedName>
    <definedName name="________key8" hidden="1">#REF!</definedName>
    <definedName name="________KEY90" hidden="1">#REF!</definedName>
    <definedName name="________LL1714">#REF!</definedName>
    <definedName name="________moo2">#REF!</definedName>
    <definedName name="________NOD1">#REF!</definedName>
    <definedName name="________nyu1">#REF!</definedName>
    <definedName name="________owk5">#REF!</definedName>
    <definedName name="________pj1">#REF!</definedName>
    <definedName name="________q1" hidden="1">{#N/A,#N/A,FALSE,"elraw";#N/A,#N/A,FALSE,"clraw ";#N/A,#N/A,FALSE,"pxraw ";#N/A,#N/A,FALSE,"arraw ";#N/A,#N/A,FALSE,"orraw ";#N/A,#N/A,FALSE,"90raw  ";#N/A,#N/A,FALSE,"dcraw   "}</definedName>
    <definedName name="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Row1">#REF!</definedName>
    <definedName name="________row2">#REF!</definedName>
    <definedName name="________SY1">#N/A</definedName>
    <definedName name="________Tab1">#N/A</definedName>
    <definedName name="________tj1">#REF!</definedName>
    <definedName name="________tj2">#REF!</definedName>
    <definedName name="________tj3">#REF!</definedName>
    <definedName name="________tj4">#REF!</definedName>
    <definedName name="________TOT1">#REF!</definedName>
    <definedName name="________TOT2">#REF!</definedName>
    <definedName name="________TOT3">#REF!</definedName>
    <definedName name="________TOT4">#REF!</definedName>
    <definedName name="________z2">#REF!</definedName>
    <definedName name="________zh1">#REF!</definedName>
    <definedName name="________ZZ28">#REF!</definedName>
    <definedName name="_______a2">#REF!</definedName>
    <definedName name="_______a3">#REF!</definedName>
    <definedName name="_______a30">#REF!</definedName>
    <definedName name="_______a4">#REF!</definedName>
    <definedName name="_______aug2">#REF!</definedName>
    <definedName name="_______b1">#REF!</definedName>
    <definedName name="_______cat2">#REF!</definedName>
    <definedName name="_______cpc1">#REF!</definedName>
    <definedName name="_______cpc2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gwk5">#REF!</definedName>
    <definedName name="_______gwk55">#REF!</definedName>
    <definedName name="_______IV65555">#REF!</definedName>
    <definedName name="_______IV65999">#REF!</definedName>
    <definedName name="_______IV66000">#REF!</definedName>
    <definedName name="_______IV69999">#REF!</definedName>
    <definedName name="_______IV99999">#REF!</definedName>
    <definedName name="_______KE8" hidden="1">#REF!</definedName>
    <definedName name="_______key11" hidden="1">#REF!</definedName>
    <definedName name="_______key12" hidden="1">#REF!</definedName>
    <definedName name="_______KEY123" hidden="1">#REF!</definedName>
    <definedName name="_______key2" hidden="1">#REF!</definedName>
    <definedName name="_______KEY3" hidden="1">#REF!</definedName>
    <definedName name="_______KEY4" hidden="1">#REF!</definedName>
    <definedName name="_______KEY5" hidden="1">#REF!</definedName>
    <definedName name="_______KEY6" hidden="1">#REF!</definedName>
    <definedName name="_______KEY7" hidden="1">#REF!</definedName>
    <definedName name="_______key8" hidden="1">#REF!</definedName>
    <definedName name="_______KEY90" hidden="1">#REF!</definedName>
    <definedName name="_______LL1714">#REF!</definedName>
    <definedName name="_______moo2">#REF!</definedName>
    <definedName name="_______NOD1">#REF!</definedName>
    <definedName name="_______nyu1">#REF!</definedName>
    <definedName name="_______owk5">#REF!</definedName>
    <definedName name="_______pj1">#REF!</definedName>
    <definedName name="_______q1" hidden="1">{#N/A,#N/A,FALSE,"elraw";#N/A,#N/A,FALSE,"clraw ";#N/A,#N/A,FALSE,"pxraw ";#N/A,#N/A,FALSE,"arraw ";#N/A,#N/A,FALSE,"orraw ";#N/A,#N/A,FALSE,"90raw  ";#N/A,#N/A,FALSE,"dcraw   "}</definedName>
    <definedName name="_______q2" hidden="1">{#N/A,#N/A,FALSE,"elraw";#N/A,#N/A,FALSE,"clraw ";#N/A,#N/A,FALSE,"pxraw ";#N/A,#N/A,FALSE,"arraw ";#N/A,#N/A,FALSE,"orraw ";#N/A,#N/A,FALSE,"90raw  ";#N/A,#N/A,FALSE,"dcraw   "}</definedName>
    <definedName name="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Row1">#REF!</definedName>
    <definedName name="_______row2">#REF!</definedName>
    <definedName name="_______SY1">#REF!</definedName>
    <definedName name="_______Tab1">#REF!</definedName>
    <definedName name="_______tj1">#REF!</definedName>
    <definedName name="_______tj2">#REF!</definedName>
    <definedName name="_______tj3">#REF!</definedName>
    <definedName name="_______tj4">#REF!</definedName>
    <definedName name="_______TOT1">#REF!</definedName>
    <definedName name="_______TOT2">#REF!</definedName>
    <definedName name="_______TOT3">#REF!</definedName>
    <definedName name="_______TOT4">#REF!</definedName>
    <definedName name="_______z2">#REF!</definedName>
    <definedName name="_______zh1">#REF!</definedName>
    <definedName name="_______ZZ28">#REF!</definedName>
    <definedName name="______a2">#REF!</definedName>
    <definedName name="______a3">#REF!</definedName>
    <definedName name="______a30">#REF!</definedName>
    <definedName name="______a4">#REF!</definedName>
    <definedName name="______aug2">#REF!</definedName>
    <definedName name="______b1">#REF!</definedName>
    <definedName name="______cat2">#REF!</definedName>
    <definedName name="______cpc1">#REF!</definedName>
    <definedName name="______cpc2">#REF!</definedName>
    <definedName name="______DAT1">#REF!</definedName>
    <definedName name="______DAT10">#REF!</definedName>
    <definedName name="______DAT11">#REF!</definedName>
    <definedName name="______DAT12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gwk5">#REF!</definedName>
    <definedName name="______gwk55">#REF!</definedName>
    <definedName name="______IV65555">#REF!</definedName>
    <definedName name="______IV65999">#REF!</definedName>
    <definedName name="______IV66000">#REF!</definedName>
    <definedName name="______IV69999">#REF!</definedName>
    <definedName name="______IV99999">#REF!</definedName>
    <definedName name="______KE8" hidden="1">#REF!</definedName>
    <definedName name="______key11" hidden="1">#REF!</definedName>
    <definedName name="______key12" hidden="1">#REF!</definedName>
    <definedName name="______KEY123" hidden="1">#REF!</definedName>
    <definedName name="______key2" hidden="1">#REF!</definedName>
    <definedName name="______KEY3" hidden="1">#REF!</definedName>
    <definedName name="______KEY4" hidden="1">#REF!</definedName>
    <definedName name="______KEY5" hidden="1">#REF!</definedName>
    <definedName name="______KEY6" hidden="1">#REF!</definedName>
    <definedName name="______KEY7" hidden="1">#REF!</definedName>
    <definedName name="______key8" hidden="1">#REF!</definedName>
    <definedName name="______KEY90" hidden="1">#REF!</definedName>
    <definedName name="______LL1714">#REF!</definedName>
    <definedName name="______moo2">#REF!</definedName>
    <definedName name="______NOD1">#REF!</definedName>
    <definedName name="______nyu1">#REF!</definedName>
    <definedName name="______owk5">#REF!</definedName>
    <definedName name="______pj1">#REF!</definedName>
    <definedName name="______q1" hidden="1">{#N/A,#N/A,FALSE,"elraw";#N/A,#N/A,FALSE,"clraw ";#N/A,#N/A,FALSE,"pxraw ";#N/A,#N/A,FALSE,"arraw ";#N/A,#N/A,FALSE,"orraw ";#N/A,#N/A,FALSE,"90raw  ";#N/A,#N/A,FALSE,"dcraw   "}</definedName>
    <definedName name="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Row1">#REF!</definedName>
    <definedName name="______row2">#REF!</definedName>
    <definedName name="______SY1">#REF!</definedName>
    <definedName name="______Tab1">#REF!</definedName>
    <definedName name="______tj1">#REF!</definedName>
    <definedName name="______tj2">#REF!</definedName>
    <definedName name="______tj3">#REF!</definedName>
    <definedName name="______tj4">#REF!</definedName>
    <definedName name="______TOT1">#REF!</definedName>
    <definedName name="______TOT2">#REF!</definedName>
    <definedName name="______TOT3">#REF!</definedName>
    <definedName name="______TOT4">#REF!</definedName>
    <definedName name="______YS001">#REF!</definedName>
    <definedName name="______z2">#REF!</definedName>
    <definedName name="______zh1">#REF!</definedName>
    <definedName name="______ZZ28">#REF!</definedName>
    <definedName name="_____a2">#REF!</definedName>
    <definedName name="_____a3">#REF!</definedName>
    <definedName name="_____a30">#REF!</definedName>
    <definedName name="_____a4">#REF!</definedName>
    <definedName name="_____ad1">#REF!</definedName>
    <definedName name="_____aug2">#REF!</definedName>
    <definedName name="_____b1">#REF!</definedName>
    <definedName name="_____cat2">#REF!</definedName>
    <definedName name="_____cpc1">#REF!</definedName>
    <definedName name="_____cpc2">#REF!</definedName>
    <definedName name="_____DAT1">#REF!</definedName>
    <definedName name="_____DAT10">#REF!</definedName>
    <definedName name="_____DAT11">#REF!</definedName>
    <definedName name="_____DAT12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gwk5">#REF!</definedName>
    <definedName name="_____gwk55">#REF!</definedName>
    <definedName name="_____IV65555">#REF!</definedName>
    <definedName name="_____IV65999">#REF!</definedName>
    <definedName name="_____IV66000">#REF!</definedName>
    <definedName name="_____IV69999">#REF!</definedName>
    <definedName name="_____IV99999">#REF!</definedName>
    <definedName name="_____KE8" hidden="1">#REF!</definedName>
    <definedName name="_____key11" hidden="1">#REF!</definedName>
    <definedName name="_____key12" hidden="1">#REF!</definedName>
    <definedName name="_____KEY123" hidden="1">#REF!</definedName>
    <definedName name="_____key2" hidden="1">#REF!</definedName>
    <definedName name="_____KEY3" hidden="1">#REF!</definedName>
    <definedName name="_____KEY4" hidden="1">#REF!</definedName>
    <definedName name="_____KEY5" hidden="1">#REF!</definedName>
    <definedName name="_____KEY6" hidden="1">#REF!</definedName>
    <definedName name="_____KEY7" hidden="1">#REF!</definedName>
    <definedName name="_____key8" hidden="1">#REF!</definedName>
    <definedName name="_____KEY90" hidden="1">#REF!</definedName>
    <definedName name="_____LL1714">#REF!</definedName>
    <definedName name="_____moo2">#REF!</definedName>
    <definedName name="_____NOD1">#REF!</definedName>
    <definedName name="_____nyu1">#REF!</definedName>
    <definedName name="_____owk5">#REF!</definedName>
    <definedName name="_____pj1">#REF!</definedName>
    <definedName name="_____q1" hidden="1">{#N/A,#N/A,FALSE,"elraw";#N/A,#N/A,FALSE,"clraw ";#N/A,#N/A,FALSE,"pxraw ";#N/A,#N/A,FALSE,"arraw ";#N/A,#N/A,FALSE,"orraw ";#N/A,#N/A,FALSE,"90raw  ";#N/A,#N/A,FALSE,"dcraw   "}</definedName>
    <definedName name="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Row1">#REF!</definedName>
    <definedName name="_____row2">#REF!</definedName>
    <definedName name="_____SY1">#REF!</definedName>
    <definedName name="_____Tab1">#REF!</definedName>
    <definedName name="_____tj1">#REF!</definedName>
    <definedName name="_____tj2">#REF!</definedName>
    <definedName name="_____tj3">#REF!</definedName>
    <definedName name="_____tj4">#REF!</definedName>
    <definedName name="_____TOT1">#REF!</definedName>
    <definedName name="_____TOT2">#REF!</definedName>
    <definedName name="_____TOT3">#REF!</definedName>
    <definedName name="_____TOT4">#REF!</definedName>
    <definedName name="_____z2">#REF!</definedName>
    <definedName name="_____zh1">#REF!</definedName>
    <definedName name="_____ZZ28">#REF!</definedName>
    <definedName name="_____ZZ36234">#REF!</definedName>
    <definedName name="____1a2_">#REF!</definedName>
    <definedName name="____2a3_">#REF!</definedName>
    <definedName name="____3a30_">#REF!</definedName>
    <definedName name="____4b1_">#REF!</definedName>
    <definedName name="____a2">#REF!</definedName>
    <definedName name="____a3">#REF!</definedName>
    <definedName name="____a30">#REF!</definedName>
    <definedName name="____a4">#REF!</definedName>
    <definedName name="____ad1">#REF!</definedName>
    <definedName name="____aug2">#REF!</definedName>
    <definedName name="____b1">#REF!</definedName>
    <definedName name="____cat2">#REF!</definedName>
    <definedName name="____cpc1">#REF!</definedName>
    <definedName name="____cpc2">#REF!</definedName>
    <definedName name="____DAT1">#REF!</definedName>
    <definedName name="____DAT10">#N/A</definedName>
    <definedName name="____DAT11">#N/A</definedName>
    <definedName name="____DAT12">#N/A</definedName>
    <definedName name="____DAT2">#N/A</definedName>
    <definedName name="____DAT3">#N/A</definedName>
    <definedName name="____DAT4">#N/A</definedName>
    <definedName name="____DAT5">#N/A</definedName>
    <definedName name="____DAT6">#N/A</definedName>
    <definedName name="____DAT7">#N/A</definedName>
    <definedName name="____DAT8">#N/A</definedName>
    <definedName name="____DAT9">#N/A</definedName>
    <definedName name="____gwk5">#REF!</definedName>
    <definedName name="____gwk55">#REF!</definedName>
    <definedName name="____IV65555">#REF!</definedName>
    <definedName name="____IV65999">#REF!</definedName>
    <definedName name="____IV66000">#REF!</definedName>
    <definedName name="____IV69999">#REF!</definedName>
    <definedName name="____IV99999">#REF!</definedName>
    <definedName name="____KE8" hidden="1">#REF!</definedName>
    <definedName name="____key11" hidden="1">#REF!</definedName>
    <definedName name="____key12" hidden="1">#REF!</definedName>
    <definedName name="____KEY123" hidden="1">#REF!</definedName>
    <definedName name="____key2" hidden="1">#REF!</definedName>
    <definedName name="____KEY3" hidden="1">#REF!</definedName>
    <definedName name="____KEY4" hidden="1">#REF!</definedName>
    <definedName name="____KEY5" hidden="1">#REF!</definedName>
    <definedName name="____KEY6" hidden="1">#REF!</definedName>
    <definedName name="____KEY7" hidden="1">#REF!</definedName>
    <definedName name="____key8" hidden="1">#REF!</definedName>
    <definedName name="____KEY90" hidden="1">#REF!</definedName>
    <definedName name="____LL1714">#REF!</definedName>
    <definedName name="____moo2">#REF!</definedName>
    <definedName name="____NOD1">#REF!</definedName>
    <definedName name="____nyu1">#REF!</definedName>
    <definedName name="____owk5">#REF!</definedName>
    <definedName name="____pj1">#REF!</definedName>
    <definedName name="____q1" hidden="1">{#N/A,#N/A,FALSE,"elraw";#N/A,#N/A,FALSE,"clraw ";#N/A,#N/A,FALSE,"pxraw ";#N/A,#N/A,FALSE,"arraw ";#N/A,#N/A,FALSE,"orraw ";#N/A,#N/A,FALSE,"90raw  ";#N/A,#N/A,FALSE,"dcraw   "}</definedName>
    <definedName name="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Row1">#REF!</definedName>
    <definedName name="____row2">#REF!</definedName>
    <definedName name="____SY1">#N/A</definedName>
    <definedName name="____Tab1">#REF!</definedName>
    <definedName name="____tj1">#REF!</definedName>
    <definedName name="____tj2">#REF!</definedName>
    <definedName name="____tj3">#REF!</definedName>
    <definedName name="____tj4">#REF!</definedName>
    <definedName name="____top25">#REF!</definedName>
    <definedName name="____TOT1">#REF!</definedName>
    <definedName name="____TOT2">#REF!</definedName>
    <definedName name="____TOT3">#REF!</definedName>
    <definedName name="____TOT4">#REF!</definedName>
    <definedName name="____YS001">#REF!</definedName>
    <definedName name="____YS002">#REF!</definedName>
    <definedName name="____z2">#REF!</definedName>
    <definedName name="____zh1">#REF!</definedName>
    <definedName name="____ZZ28">#REF!</definedName>
    <definedName name="____ZZ36234">#REF!</definedName>
    <definedName name="___1a2_">#REF!</definedName>
    <definedName name="___2a2_">#REF!</definedName>
    <definedName name="___2a3_">#REF!</definedName>
    <definedName name="___3a30_">#REF!</definedName>
    <definedName name="___4a3_">#REF!</definedName>
    <definedName name="___4b1_">#REF!</definedName>
    <definedName name="___6a30_">#N/A</definedName>
    <definedName name="___a2">#REF!</definedName>
    <definedName name="___a3">#REF!</definedName>
    <definedName name="___a30">#REF!</definedName>
    <definedName name="___a4">#REF!</definedName>
    <definedName name="___ad1">#REF!</definedName>
    <definedName name="___aug2">#REF!</definedName>
    <definedName name="___b1">#REF!</definedName>
    <definedName name="___cat2">#REF!</definedName>
    <definedName name="___cpc1">#REF!</definedName>
    <definedName name="___cpc2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gwk5">#REF!</definedName>
    <definedName name="___gwk55">#REF!</definedName>
    <definedName name="___IV65555">#REF!</definedName>
    <definedName name="___IV65999">#REF!</definedName>
    <definedName name="___IV66000">#REF!</definedName>
    <definedName name="___IV69999">#REF!</definedName>
    <definedName name="___IV99999">#REF!</definedName>
    <definedName name="___KE8" hidden="1">#REF!</definedName>
    <definedName name="___key11" hidden="1">#REF!</definedName>
    <definedName name="___key12" hidden="1">#REF!</definedName>
    <definedName name="___KEY123" hidden="1">#REF!</definedName>
    <definedName name="___key2" hidden="1">#REF!</definedName>
    <definedName name="___KEY3" hidden="1">#REF!</definedName>
    <definedName name="___KEY4" hidden="1">#REF!</definedName>
    <definedName name="___KEY5" hidden="1">#REF!</definedName>
    <definedName name="___KEY6" hidden="1">#REF!</definedName>
    <definedName name="___KEY7" hidden="1">#REF!</definedName>
    <definedName name="___key8" hidden="1">#REF!</definedName>
    <definedName name="___KEY90" hidden="1">#REF!</definedName>
    <definedName name="___LL1714">#REF!</definedName>
    <definedName name="___moo2">#REF!</definedName>
    <definedName name="___MR1">#REF!</definedName>
    <definedName name="___NOD1">#REF!</definedName>
    <definedName name="___nyu1">#REF!</definedName>
    <definedName name="___owk5">#REF!</definedName>
    <definedName name="___pg3">#REF!</definedName>
    <definedName name="___pj1">#REF!</definedName>
    <definedName name="___q1" hidden="1">{#N/A,#N/A,FALSE,"elraw";#N/A,#N/A,FALSE,"clraw ";#N/A,#N/A,FALSE,"pxraw ";#N/A,#N/A,FALSE,"arraw ";#N/A,#N/A,FALSE,"orraw ";#N/A,#N/A,FALSE,"90raw  ";#N/A,#N/A,FALSE,"dcraw   "}</definedName>
    <definedName name="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Row1">#REF!</definedName>
    <definedName name="___row2">#REF!</definedName>
    <definedName name="___SY1">#REF!</definedName>
    <definedName name="___Tab1">#N/A</definedName>
    <definedName name="___tj1">#REF!</definedName>
    <definedName name="___tj2">#REF!</definedName>
    <definedName name="___tj3">#REF!</definedName>
    <definedName name="___tj4">#REF!</definedName>
    <definedName name="___top25">#REF!</definedName>
    <definedName name="___TOT1">#REF!</definedName>
    <definedName name="___TOT2">#REF!</definedName>
    <definedName name="___TOT3">#REF!</definedName>
    <definedName name="___TOT4">#REF!</definedName>
    <definedName name="___YS002">#REF!</definedName>
    <definedName name="___z2">#REF!</definedName>
    <definedName name="___zh1">#REF!</definedName>
    <definedName name="___ZZ28">#REF!</definedName>
    <definedName name="___ZZ36234">#REF!</definedName>
    <definedName name="__1__123Graph_ALTP_DIRECT" hidden="1">#REF!</definedName>
    <definedName name="__1__123Graph_ALTP_DIRECT_2" hidden="1">#REF!</definedName>
    <definedName name="__10__123Graph_LBL_CLTP_DIRECT" hidden="1">#REF!</definedName>
    <definedName name="__11__123Graph_XLTP_DIRECT" hidden="1">#REF!</definedName>
    <definedName name="__12__123Graph_XLTP_W_S" hidden="1">#REF!</definedName>
    <definedName name="__123Graph" hidden="1">#REF!</definedName>
    <definedName name="__123Graph_A" hidden="1">#REF!</definedName>
    <definedName name="__123Graph_ACurrent" hidden="1">#REF!</definedName>
    <definedName name="__123Graph_AGRAPH1" hidden="1">#REF!</definedName>
    <definedName name="__123Graph_AGRAPH11" hidden="1">#REF!</definedName>
    <definedName name="__123Graph_AGRAPH12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INNE" hidden="1">#REF!</definedName>
    <definedName name="__123Graph_AKERASTASE" hidden="1">#REF!</definedName>
    <definedName name="__123Graph_AKERDIRECT" hidden="1">#REF!</definedName>
    <definedName name="__123Graph_AKERPRESTIGE" hidden="1">#REF!</definedName>
    <definedName name="__123Graph_ALTPPRESTIGE" hidden="1">#REF!</definedName>
    <definedName name="__123Graph_ALTPREPS" hidden="1">#REF!</definedName>
    <definedName name="__123Graph_B" hidden="1">#REF!</definedName>
    <definedName name="__123Graph_BCurrent" hidden="1">#REF!</definedName>
    <definedName name="__123Graph_BGRAPH1" hidden="1">#REF!</definedName>
    <definedName name="__123Graph_BGRAPH11" hidden="1">#REF!</definedName>
    <definedName name="__123Graph_BGRAPH7" hidden="1">#REF!</definedName>
    <definedName name="__123Graph_BINNE" hidden="1">#REF!</definedName>
    <definedName name="__123Graph_BKERASTASE" hidden="1">#REF!</definedName>
    <definedName name="__123Graph_BKERDIRECT" hidden="1">#REF!</definedName>
    <definedName name="__123Graph_BKERPRESTIGE" hidden="1">#REF!</definedName>
    <definedName name="__123Graph_BLTPPRESTIGE" hidden="1">#REF!</definedName>
    <definedName name="__123Graph_BLTPREPS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GRAPH1" hidden="1">#REF!</definedName>
    <definedName name="__123Graph_LBL_AGRAPH11" hidden="1">#REF!</definedName>
    <definedName name="__123Graph_LBL_AGRAPH6" hidden="1">#REF!</definedName>
    <definedName name="__123Graph_LBL_AGRAPH8" hidden="1">#REF!</definedName>
    <definedName name="__123Graph_LBL_AGRAPH9" hidden="1">#REF!</definedName>
    <definedName name="__123Graph_LBL_AINNE" hidden="1">#REF!</definedName>
    <definedName name="__123Graph_LBL_AKERASTASE" hidden="1">#REF!</definedName>
    <definedName name="__123Graph_LBL_AKERDIRECT" hidden="1">#REF!</definedName>
    <definedName name="__123Graph_LBL_AKERPRESTIGE" hidden="1">#REF!</definedName>
    <definedName name="__123Graph_LBL_ALTPPRESTIGE" hidden="1">#REF!</definedName>
    <definedName name="__123Graph_LBL_ALTPREPS" hidden="1">#REF!</definedName>
    <definedName name="__123Graph_LBL_CKERPRESTIGE" hidden="1">#REF!</definedName>
    <definedName name="__123Graph_LBL_CLTPPRESTIGE" hidden="1">#REF!</definedName>
    <definedName name="__123Graph_LBL_CLTPREPS" hidden="1">#REF!</definedName>
    <definedName name="__123Graph_X" hidden="1">#REF!</definedName>
    <definedName name="__123Graph_XGRAPH12" hidden="1">#REF!</definedName>
    <definedName name="__123Graph_XGRAPH7" hidden="1">#REF!</definedName>
    <definedName name="__123Graph_XGRAPH9" hidden="1">#REF!</definedName>
    <definedName name="__123Graph_XINNE" hidden="1">#REF!</definedName>
    <definedName name="__123Graph_XKERASTASE" hidden="1">#REF!</definedName>
    <definedName name="__123Graph_XKERDIRECT" hidden="1">#REF!</definedName>
    <definedName name="__123Graph_XKERPRESTIGE" hidden="1">#REF!</definedName>
    <definedName name="__123Graph_XLTPPRESTIGE" hidden="1">#REF!</definedName>
    <definedName name="__123Graph_XLTPREPS" hidden="1">#REF!</definedName>
    <definedName name="__13__123Graph_XW_SAVERAGE" hidden="1">#REF!</definedName>
    <definedName name="__1a13_">#REF!</definedName>
    <definedName name="__1a2_">#REF!</definedName>
    <definedName name="__2__123Graph_ALTP_W_S" hidden="1">#REF!</definedName>
    <definedName name="__2a2_">#REF!</definedName>
    <definedName name="__2a3_">#REF!</definedName>
    <definedName name="__2A95_">#REF!</definedName>
    <definedName name="__3__123Graph_BLTP_DIRECT" hidden="1">#REF!</definedName>
    <definedName name="__3a2_">#REF!</definedName>
    <definedName name="__3a30_">#REF!</definedName>
    <definedName name="__4__123Graph_BLTP_W_S" hidden="1">#REF!</definedName>
    <definedName name="__4a3_">#REF!</definedName>
    <definedName name="__4a4_">#REF!</definedName>
    <definedName name="__4b1_">#REF!</definedName>
    <definedName name="__5__123Graph_CW_SAVERAGE" hidden="1">#REF!</definedName>
    <definedName name="__5b1_">#N/A</definedName>
    <definedName name="__6__123Graph_DW_SAVERAGE" hidden="1">#REF!</definedName>
    <definedName name="__6a3_">#REF!</definedName>
    <definedName name="__6a30_">#N/A</definedName>
    <definedName name="__6z2_">#N/A</definedName>
    <definedName name="__7__123Graph_EW_SAVERAGE" hidden="1">#REF!</definedName>
    <definedName name="__7a4_">#N/A</definedName>
    <definedName name="__8__123Graph_LBL_ALTP_DIRECT" hidden="1">#REF!</definedName>
    <definedName name="__8b1_">#N/A</definedName>
    <definedName name="__9__123Graph_LBL_ALTP_W_S" hidden="1">#REF!</definedName>
    <definedName name="__9z2_">#N/A</definedName>
    <definedName name="__a12">#REF!</definedName>
    <definedName name="__a13">#REF!</definedName>
    <definedName name="__a2">#REF!</definedName>
    <definedName name="__a3">#REF!</definedName>
    <definedName name="__a30">#REF!</definedName>
    <definedName name="__a4">#REF!</definedName>
    <definedName name="__A95">#REF!</definedName>
    <definedName name="__ad1">#REF!</definedName>
    <definedName name="__ad2">[0]!__ad2</definedName>
    <definedName name="__aug2">#REF!</definedName>
    <definedName name="__b1">#REF!</definedName>
    <definedName name="__cat2">#REF!</definedName>
    <definedName name="__ｃｄ6">#REF!</definedName>
    <definedName name="__cpc1">#REF!</definedName>
    <definedName name="__cpc2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f6" hidden="1">{"'Matrix'!$A$3:$J$47"}</definedName>
    <definedName name="__FDS_HYPERLINK_TOGGLE_STATE__" hidden="1">"ON"</definedName>
    <definedName name="__gwk5">#REF!</definedName>
    <definedName name="__gwk55">#REF!</definedName>
    <definedName name="__hz2">#REF!</definedName>
    <definedName name="__IntlFixup" hidden="1">TRUE</definedName>
    <definedName name="__IV65555">#REF!</definedName>
    <definedName name="__IV65999">#REF!</definedName>
    <definedName name="__IV66000">#REF!</definedName>
    <definedName name="__IV69999">#REF!</definedName>
    <definedName name="__IV99999">#REF!</definedName>
    <definedName name="__jzr1">#REF!</definedName>
    <definedName name="__KB2">#REF!</definedName>
    <definedName name="__KB3">#REF!</definedName>
    <definedName name="__KE8" hidden="1">#REF!</definedName>
    <definedName name="__key11" hidden="1">#REF!</definedName>
    <definedName name="__key12" hidden="1">#REF!</definedName>
    <definedName name="__KEY123" hidden="1">#REF!</definedName>
    <definedName name="__key2" hidden="1">#REF!</definedName>
    <definedName name="__KEY3" hidden="1">#REF!</definedName>
    <definedName name="__KEY4" hidden="1">#REF!</definedName>
    <definedName name="__KEY5" hidden="1">#REF!</definedName>
    <definedName name="__KEY6" hidden="1">#REF!</definedName>
    <definedName name="__KEY7" hidden="1">#REF!</definedName>
    <definedName name="__key8" hidden="1">#REF!</definedName>
    <definedName name="__KEY90" hidden="1">#REF!</definedName>
    <definedName name="__lg1">#REF!</definedName>
    <definedName name="__lg2">#REF!</definedName>
    <definedName name="__LL1714">#REF!</definedName>
    <definedName name="__Mile_Dedupe_Covg">#REF!</definedName>
    <definedName name="__moo2">#REF!</definedName>
    <definedName name="__MR1">#REF!</definedName>
    <definedName name="__New2" hidden="1">{"ELUSA",#N/A,FALSE,"EL"}</definedName>
    <definedName name="__NOD1">#REF!</definedName>
    <definedName name="__NS2">#REF!</definedName>
    <definedName name="__nyu1">#REF!</definedName>
    <definedName name="__OI2">#REF!</definedName>
    <definedName name="__owk5">#REF!</definedName>
    <definedName name="__pg3">#REF!</definedName>
    <definedName name="__pj1">#REF!</definedName>
    <definedName name="__PUB1">#REF!</definedName>
    <definedName name="__q1" hidden="1">{#N/A,#N/A,FALSE,"elraw";#N/A,#N/A,FALSE,"clraw ";#N/A,#N/A,FALSE,"pxraw ";#N/A,#N/A,FALSE,"arraw ";#N/A,#N/A,FALSE,"orraw ";#N/A,#N/A,FALSE,"90raw  ";#N/A,#N/A,FALSE,"dcraw   "}</definedName>
    <definedName name="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RAI1">#REF!</definedName>
    <definedName name="__Row1">#REF!</definedName>
    <definedName name="__row2">#REF!</definedName>
    <definedName name="__SJZ2">[0]!__SJZ2</definedName>
    <definedName name="__SY1">#N/A</definedName>
    <definedName name="__Tab1">#N/A</definedName>
    <definedName name="__tj1">#REF!</definedName>
    <definedName name="__tj2">#REF!</definedName>
    <definedName name="__tj3">#REF!</definedName>
    <definedName name="__tj4">#REF!</definedName>
    <definedName name="__top25">#REF!</definedName>
    <definedName name="__TOT1">#REF!</definedName>
    <definedName name="__TOT2">#REF!</definedName>
    <definedName name="__TOT3">#REF!</definedName>
    <definedName name="__TOT4">#REF!</definedName>
    <definedName name="__wb1">#REF!</definedName>
    <definedName name="__xlcn.WorksheetConnection_数据源数云AS1" hidden="1">#REF!</definedName>
    <definedName name="__xlcn.WorksheetConnection_数云订单AS1" hidden="1">#REF!</definedName>
    <definedName name="__xlcn.WorksheetConnection_数云订单AS11" hidden="1">#REF!</definedName>
    <definedName name="__xlcn.WorksheetConnection_数云订单BP1" hidden="1">#REF!</definedName>
    <definedName name="__xlcn.WorksheetConnection_数云订单数据BT1" hidden="1">#REF!</definedName>
    <definedName name="__xlcn.WorksheetConnection_现货数据源数云AS1" hidden="1">#REF!</definedName>
    <definedName name="__xlfn.IFERROR" hidden="1">#NAME?</definedName>
    <definedName name="__YS001">#REF!</definedName>
    <definedName name="__YS002">#REF!</definedName>
    <definedName name="__z2">#REF!</definedName>
    <definedName name="__zh1">#REF!</definedName>
    <definedName name="__ZZ28">#REF!</definedName>
    <definedName name="__ZZ36234">#REF!</definedName>
    <definedName name="_1">#N/A</definedName>
    <definedName name="_1_?">#REF!</definedName>
    <definedName name="_1__123Graph_ALTP_DIRECT" hidden="1">#REF!</definedName>
    <definedName name="_1_0national.wireless.partn">#REF!</definedName>
    <definedName name="_10__123Graph_CW_SAVERAGE" hidden="1">#REF!</definedName>
    <definedName name="_10__123Graph_LBL_AG_FRAM2H" hidden="1">#REF!</definedName>
    <definedName name="_10__123Graph_LBL_CLTP_DIRECT" hidden="1">#REF!</definedName>
    <definedName name="_10a30_">#REF!</definedName>
    <definedName name="_10z2_">#REF!</definedName>
    <definedName name="_11__123Graph_XLTP_DIRECT" hidden="1">#REF!</definedName>
    <definedName name="_11b1_">#REF!</definedName>
    <definedName name="_12">#REF!</definedName>
    <definedName name="_12__123Graph_ALTP_W_S" hidden="1">#REF!</definedName>
    <definedName name="_12__123Graph_BLTP_DIRECT" hidden="1">#REF!</definedName>
    <definedName name="_12__123Graph_BLTP_W_S" hidden="1">#REF!</definedName>
    <definedName name="_12__123Graph_DW_SAVERAGE" hidden="1">#REF!</definedName>
    <definedName name="_12__123Graph_XLTP_W_S" hidden="1">#REF!</definedName>
    <definedName name="_1212" hidden="1">{"'毛利比较'!$A$4:$P$26"}</definedName>
    <definedName name="_12a4_">#REF!</definedName>
    <definedName name="_13__123Graph_XW_SAVERAGE" hidden="1">#REF!</definedName>
    <definedName name="_14__123Graph_EW_SAVERAGE" hidden="1">#REF!</definedName>
    <definedName name="_14b1_">#REF!</definedName>
    <definedName name="_15__123Graph_CW_SAVERAGE" hidden="1">#REF!</definedName>
    <definedName name="_16__123Graph_BLTP_W_S" hidden="1">#REF!</definedName>
    <definedName name="_16__123Graph_LBL_ALTP_DIRECT" hidden="1">#REF!</definedName>
    <definedName name="_18__123Graph_BLTP_DIRECT" hidden="1">#REF!</definedName>
    <definedName name="_18__123Graph_DW_SAVERAGE" hidden="1">#REF!</definedName>
    <definedName name="_18__123Graph_LBL_ALTP_W_S" hidden="1">#REF!</definedName>
    <definedName name="_1a13_">#REF!</definedName>
    <definedName name="_1a2_">#REF!</definedName>
    <definedName name="_1ad1_">#REF!</definedName>
    <definedName name="_1Excel_BuiltIn_Print_Area_2">#REF!</definedName>
    <definedName name="_2">#REF!</definedName>
    <definedName name="_2_??????">#REF!</definedName>
    <definedName name="_2__123Graph_ALTP_DIRECT" hidden="1">#REF!</definedName>
    <definedName name="_2__123Graph_ALTP_W_S" hidden="1">#REF!</definedName>
    <definedName name="_2__123Graph_LBL_AG_E15BM1" hidden="1">#REF!</definedName>
    <definedName name="_2_0wireless.national.resu">#REF!</definedName>
    <definedName name="_20__123Graph_CW_SAVERAGE" hidden="1">#REF!</definedName>
    <definedName name="_20__123Graph_LBL_CLTP_DIRECT" hidden="1">#REF!</definedName>
    <definedName name="_2016">#REF!</definedName>
    <definedName name="_21__123Graph_EW_SAVERAGE" hidden="1">#REF!</definedName>
    <definedName name="_22__123Graph_XLTP_DIRECT" hidden="1">#REF!</definedName>
    <definedName name="_24__123Graph_BLTP_W_S" hidden="1">#REF!</definedName>
    <definedName name="_24__123Graph_DW_SAVERAGE" hidden="1">#REF!</definedName>
    <definedName name="_24__123Graph_LBL_ALTP_DIRECT" hidden="1">#REF!</definedName>
    <definedName name="_24__123Graph_XLTP_W_S" hidden="1">#REF!</definedName>
    <definedName name="_26__123Graph_XW_SAVERAGE" hidden="1">#REF!</definedName>
    <definedName name="_27__123Graph_LBL_ALTP_W_S" hidden="1">#REF!</definedName>
    <definedName name="_28__123Graph_EW_SAVERAGE" hidden="1">#REF!</definedName>
    <definedName name="_2a2_">#REF!</definedName>
    <definedName name="_2a3_">#REF!</definedName>
    <definedName name="_2A95_">#REF!</definedName>
    <definedName name="_2Remark_Area_1">#REF!</definedName>
    <definedName name="_2外滩划拨啊">#REF!</definedName>
    <definedName name="_3">#REF!</definedName>
    <definedName name="_3__123Graph_ALTP_DIRECT" hidden="1">#REF!</definedName>
    <definedName name="_3__123Graph_BLTP_DIRECT" hidden="1">#REF!</definedName>
    <definedName name="_3_0wireless.rat">#REF!</definedName>
    <definedName name="_30__123Graph_CW_SAVERAGE" hidden="1">#REF!</definedName>
    <definedName name="_30__123Graph_LBL_CLTP_DIRECT" hidden="1">#REF!</definedName>
    <definedName name="_32__123Graph_LBL_ALTP_DIRECT" hidden="1">#REF!</definedName>
    <definedName name="_322_radE0235">#REF!</definedName>
    <definedName name="_33__123Graph_XLTP_DIRECT" hidden="1">#REF!</definedName>
    <definedName name="_36__123Graph_DW_SAVERAGE" hidden="1">#REF!</definedName>
    <definedName name="_36__123Graph_LBL_ALTP_W_S" hidden="1">#REF!</definedName>
    <definedName name="_36__123Graph_XLTP_W_S" hidden="1">#REF!</definedName>
    <definedName name="_39__123Graph_XW_SAVERAGE" hidden="1">#REF!</definedName>
    <definedName name="_3a2_">#REF!</definedName>
    <definedName name="_3a30_">#REF!</definedName>
    <definedName name="_3Remark_Area_2">#REF!</definedName>
    <definedName name="_4__123Graph_ALTP_DIRECT" hidden="1">#REF!</definedName>
    <definedName name="_4__123Graph_ALTP_W_S" hidden="1">#REF!</definedName>
    <definedName name="_4__123Graph_BLTP_W_S" hidden="1">#REF!</definedName>
    <definedName name="_4__123Graph_LBL_AG_E15M2H" hidden="1">#REF!</definedName>
    <definedName name="_4_0wireless.ratio">#REF!</definedName>
    <definedName name="_40__123Graph_LBL_CLTP_DIRECT" hidden="1">#REF!</definedName>
    <definedName name="_42__123Graph_EW_SAVERAGE" hidden="1">#REF!</definedName>
    <definedName name="_44__123Graph_XLTP_DIRECT" hidden="1">#REF!</definedName>
    <definedName name="_48__123Graph_LBL_ALTP_DIRECT" hidden="1">#REF!</definedName>
    <definedName name="_48__123Graph_XLTP_W_S" hidden="1">#REF!</definedName>
    <definedName name="_4a2_">#REF!</definedName>
    <definedName name="_4a3_">#REF!</definedName>
    <definedName name="_4a30_">#REF!</definedName>
    <definedName name="_4a4_">#REF!</definedName>
    <definedName name="_4b1_">#REF!</definedName>
    <definedName name="_5">#REF!</definedName>
    <definedName name="_5__123Graph_CW_SAVERAGE" hidden="1">#REF!</definedName>
    <definedName name="_5_0Input.Coop">#REF!</definedName>
    <definedName name="_503_rad2987D">#REF!</definedName>
    <definedName name="_52__123Graph_XW_SAVERAGE" hidden="1">#REF!</definedName>
    <definedName name="_54__123Graph_LBL_ALTP_W_S" hidden="1">#REF!</definedName>
    <definedName name="_5a30_">#REF!</definedName>
    <definedName name="_5a4_">#N/A</definedName>
    <definedName name="_5b1_">#REF!</definedName>
    <definedName name="_6__123Graph_ALTP_DIRECT" hidden="1">#REF!</definedName>
    <definedName name="_6__123Graph_ALTP_W_S" hidden="1">#REF!</definedName>
    <definedName name="_6__123Graph_BLTP_DIRECT" hidden="1">#REF!</definedName>
    <definedName name="_6__123Graph_DW_SAVERAGE" hidden="1">#REF!</definedName>
    <definedName name="_6_123Graph_LBL_AG_FRA" hidden="1">#REF!</definedName>
    <definedName name="_60__123Graph_LBL_CLTP_DIRECT" hidden="1">#REF!</definedName>
    <definedName name="_66__123Graph_XLTP_DIRECT" hidden="1">#REF!</definedName>
    <definedName name="_6a3_">#REF!</definedName>
    <definedName name="_6a30_">#REF!</definedName>
    <definedName name="_6a4_">#REF!</definedName>
    <definedName name="_6b1_">#N/A</definedName>
    <definedName name="_6z2_">#REF!</definedName>
    <definedName name="_7__123Graph_EW_SAVERAGE" hidden="1">#REF!</definedName>
    <definedName name="_72__123Graph_XLTP_W_S" hidden="1">#REF!</definedName>
    <definedName name="_78__123Graph_XW_SAVERAGE" hidden="1">#REF!</definedName>
    <definedName name="_7a30_">#REF!</definedName>
    <definedName name="_7a4_">#N/A</definedName>
    <definedName name="_7b1_">#REF!</definedName>
    <definedName name="_7z2_">#N/A</definedName>
    <definedName name="_8__123Graph_ALTP_W_S" hidden="1">#REF!</definedName>
    <definedName name="_8__123Graph_BLTP_W_S" hidden="1">#REF!</definedName>
    <definedName name="_8__123Graph_LBL_AG_FRABM1" hidden="1">#REF!</definedName>
    <definedName name="_8__123Graph_LBL_ALTP_DIRECT" hidden="1">#REF!</definedName>
    <definedName name="_8a3_">#REF!</definedName>
    <definedName name="_8b1_">#REF!</definedName>
    <definedName name="_8z2_">#N/A</definedName>
    <definedName name="_9__123Graph_BLTP_DIRECT" hidden="1">#REF!</definedName>
    <definedName name="_9__123Graph_LBL_ALTP_W_S" hidden="1">#REF!</definedName>
    <definedName name="_9218_validation">#REF!</definedName>
    <definedName name="_9a30_">#REF!</definedName>
    <definedName name="_9z2_">#N/A</definedName>
    <definedName name="_a">OFFSET(#REF!,0,#REF!,9,136-#REF!)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13">#REF!</definedName>
    <definedName name="_a16734">#REF!</definedName>
    <definedName name="_a2">#REF!</definedName>
    <definedName name="_a3">#REF!</definedName>
    <definedName name="_a30">#REF!</definedName>
    <definedName name="_a4">#REF!</definedName>
    <definedName name="_A66666">#REF!</definedName>
    <definedName name="_A66753">#REF!</definedName>
    <definedName name="_A67653">#REF!</definedName>
    <definedName name="_A95">#REF!</definedName>
    <definedName name="_aaa1">#REF!</definedName>
    <definedName name="_ad1">#REF!</definedName>
    <definedName name="_aid1">#REF!</definedName>
    <definedName name="_AMO_ContentDefinition_120537796" hidden="1">"'Partitions:8'"</definedName>
    <definedName name="_AMO_ContentDefinition_120537796.0" hidden="1">"'&lt;ContentDefinition name=""SASMain:ELCSTD.SUMMARY_PURCHFREQ"" rsid=""120537796"" type=""Dataset"" format=""REPORTXML"" imgfmt=""ACTIVEX"" created=""08/17/2006 21:37:26"" modifed=""11/09/2006 13:34:20"" user=""seepanas"" apply=""True"" thread=""BACKGR'"</definedName>
    <definedName name="_AMO_ContentDefinition_120537796.1" hidden="1">"'OUND"" css=""C:\Program Files\SAS\Shared Files\BIClientStyles\AMODefault.css"" range=""SASMain_ELCSTD_SUMMARY_PURCHFREQ"" auto=""False"" rdc=""False"" mig=""False"" xTime=""00:00:00.1406250"" rTime=""00:00:00.2187500"" bgnew=""False"" nFmt=""True""'"</definedName>
    <definedName name="_AMO_ContentDefinition_120537796.2" hidden="1">"' grphSet=""True"" imgY=""0"" imgX=""0""&gt;
  &lt;files /&gt;
  &lt;param n=""DisplayName"" v=""SASMain:ELCSTD.SUMMARY_PURCHFREQ"" /&gt;
  &lt;param n=""AMO_Version"" v=""2.1"" /&gt;
  &lt;param n=""DataSourceType"" v=""SAS DATASET"" /&gt;
  &lt;param n=""SASFilter"" v=""elc_'"</definedName>
    <definedName name="_AMO_ContentDefinition_120537796.3" hidden="1">"'country='JP' and brand='BB' and channel='RETL'"" /&gt;
  &lt;param n=""OpenDataInto"" v=""ExistingWorksheet"" /&gt;
  &lt;param n=""MoreSheetsForRows"" v=""False"" /&gt;
  &lt;param n=""ClassName"" v=""SAS.OfficeAddin.DataViewItem"" /&gt;
  &lt;param n=""ServerName"" v'"</definedName>
    <definedName name="_AMO_ContentDefinition_120537796.4" hidden="1">"'=""SASMain""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UseLbls='"</definedName>
    <definedName name="_AMO_ContentDefinition_120537796.5" hidden="1">"'&amp;quot;true&amp;quot; ColSelFlg=&amp;quot;1&amp;quot; Name=&amp;quot;SUMMARY_PURCHFREQ&amp;quot;&amp;gt;&amp;#xD;&amp;#xA;&amp;lt;Cols&amp;gt;&amp;#xD;&amp;#xA;&amp;lt;cn&amp;gt;NumberofTransactions&amp;lt;/cn&amp;gt;&amp;#xD;&amp;#xA;&amp;lt;cn&amp;gt;Customers&amp;lt;/cn&amp;gt;&amp;#xD;&amp;#xA;&amp;lt;cn&amp;gt;PercentofCustomers&amp;lt;/cn&amp;gt;&amp;#xD;&amp;#xA;'"</definedName>
    <definedName name="_AMO_ContentDefinition_120537796.6" hidden="1">"'&amp;lt;/Cols&amp;gt;&amp;#xD;&amp;#xA;&amp;lt;ColOrd&amp;gt;&amp;#xD;&amp;#xA;&amp;lt;cn&amp;gt;NumberofTransactions&amp;lt;/cn&amp;gt;&amp;#xD;&amp;#xA;&amp;lt;cn&amp;gt;Customers&amp;lt;/cn&amp;gt;&amp;#xD;&amp;#xA;&amp;lt;cn&amp;gt;PercentofCustomers&amp;lt;/cn&amp;gt;&amp;#xD;&amp;#xA;&amp;lt;cn&amp;gt;elc_country&amp;lt;/cn&amp;gt;&amp;#xD;&amp;#xA;&amp;lt;cn&amp;gt;brand&amp;lt;/cn'"</definedName>
    <definedName name="_AMO_ContentDefinition_120537796.7" hidden="1">"'&amp;gt;&amp;#xD;&amp;#xA;&amp;lt;cn&amp;gt;channel&amp;lt;/cn&amp;gt;&amp;#xD;&amp;#xA;&amp;lt;/ColOrd&amp;gt;&amp;#xD;&amp;#xA;&amp;lt;/SasDataSource&amp;gt;""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356642672" hidden="1">"'Partitions:8'"</definedName>
    <definedName name="_AMO_ContentDefinition_356642672.0" hidden="1">"'&lt;ContentDefinition name=""SASMain:ELCSTD.SUMMARY_HEADERS"" rsid=""356642672"" type=""Dataset"" format=""REPORTXML"" imgfmt=""ACTIVEX"" created=""08/17/2006 22:03:31"" modifed=""11/09/2006 13:34:19"" user=""seepanas"" apply=""True"" thread=""BACKGROU'"</definedName>
    <definedName name="_AMO_ContentDefinition_356642672.1" hidden="1">"'ND"" css=""C:\Program Files\SAS\Shared Files\BIClientStyles\AMODefault.css"" range=""SASMain_ELCSTD_SUMMARY_HEADERS"" auto=""False"" rdc=""False"" mig=""False"" xTime=""00:00:00.1562500"" rTime=""00:00:00.3906250"" bgnew=""False"" nFmt=""True"" gr'"</definedName>
    <definedName name="_AMO_ContentDefinition_356642672.2" hidden="1">"'phSet=""True"" imgY=""0"" imgX=""0""&gt;
  &lt;files /&gt;
  &lt;param n=""DisplayName"" v=""SASMain:ELCSTD.SUMMARY_HEADERS"" /&gt;
  &lt;param n=""AMO_Version"" v=""2.1"" /&gt;
  &lt;param n=""DataSourceType"" v=""SAS DATASET"" /&gt;
  &lt;param n=""SASFilter"" v=""elc_count'"</definedName>
    <definedName name="_AMO_ContentDefinition_356642672.3" hidden="1">"'ry='JP' and brand='BB' and channel='RETL'"" /&gt;
  &lt;param n=""OpenDataInto"" v=""ExistingWorksheet"" /&gt;
  &lt;param n=""MoreSheetsForRows"" v=""False"" /&gt;
  &lt;param n=""ClassName"" v=""SAS.OfficeAddin.DataViewItem"" /&gt;
  &lt;param n=""ServerName"" v=""SAS'"</definedName>
    <definedName name="_AMO_ContentDefinition_356642672.4" hidden="1">"'Main""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UseLbls=&amp;quot;'"</definedName>
    <definedName name="_AMO_ContentDefinition_356642672.5" hidden="1">"'true&amp;quot; ColSelFlg=&amp;quot;2&amp;quot; Name=&amp;quot;SUMMARY_HEADERS&amp;quot;&amp;gt;&amp;#xD;&amp;#xA;&amp;lt;Cols&amp;gt;&amp;#xD;&amp;#xA;&amp;lt;cn&amp;gt;hdr1&amp;lt;/cn&amp;gt;&amp;#xD;&amp;#xA;&amp;lt;/Cols&amp;gt;&amp;#xD;&amp;#xA;&amp;lt;ColOrd&amp;gt;&amp;#xD;&amp;#xA;&amp;lt;cn&amp;gt;hdr1&amp;lt;/cn&amp;gt;&amp;#xD;&amp;#xA;&amp;lt;cn&amp;gt;elc_country&amp;lt;/cn&amp;gt'"</definedName>
    <definedName name="_AMO_ContentDefinition_356642672.6" hidden="1">"';&amp;#xD;&amp;#xA;&amp;lt;cn&amp;gt;brand&amp;lt;/cn&amp;gt;&amp;#xD;&amp;#xA;&amp;lt;cn&amp;gt;channel&amp;lt;/cn&amp;gt;&amp;#xD;&amp;#xA;&amp;lt;cn&amp;gt;hdr2&amp;lt;/cn&amp;gt;&amp;#xD;&amp;#xA;&amp;lt;cn&amp;gt;hdr3&amp;lt;/cn&amp;gt;&amp;#xD;&amp;#xA;&amp;lt;cn&amp;gt;hdr4&amp;lt;/cn&amp;gt;&amp;#xD;&amp;#xA;&amp;lt;cn&amp;gt;hdr0&amp;lt;/cn&amp;gt;&amp;#xD;&amp;#xA;&amp;lt;/ColOrd&amp;gt;&amp;#xD;&amp;#xA;&amp;'"</definedName>
    <definedName name="_AMO_ContentDefinition_356642672.7" hidden="1">"'lt;/SasDataSource&amp;gt;"" /&gt;
  &lt;ExcelXMLOptions AdjColWidths=""False"" RowOpt=""InsertCells"" ColOpt=""InsertCells"" /&gt;
&lt;/ContentDefinition&gt;'"</definedName>
    <definedName name="_AMO_ContentDefinition_388544619" hidden="1">"'Partitions:10'"</definedName>
    <definedName name="_AMO_ContentDefinition_388544619.0" hidden="1">"'&lt;ContentDefinition name=""SASMain:ELCSTD.SUMMARY_NEWTOFILETRANS"" rsid=""388544619"" type=""Dataset"" format=""REPORTXML"" imgfmt=""ACTIVEX"" created=""08/17/2006 21:48:12"" modifed=""11/09/2006 13:34:19"" user=""seepanas"" apply=""True"" thread=""B'"</definedName>
    <definedName name="_AMO_ContentDefinition_388544619.1" hidden="1">"'ACKGROUND"" css=""C:\Program Files\SAS\Shared Files\BIClientStyles\AMODefault.css"" range=""SASMain_ELCSTD_SUMMARY_NEWTOFILETRANS"" auto=""False"" rdc=""False"" mig=""False"" xTime=""00:00:00.2968750"" rTime=""00:00:00.3750000"" bgnew=""False"" nFm'"</definedName>
    <definedName name="_AMO_ContentDefinition_388544619.2" hidden="1">"'t=""True"" grphSet=""True"" imgY=""0"" imgX=""0""&gt;
  &lt;files /&gt;
  &lt;param n=""DisplayName"" v=""SASMain:ELCSTD.SUMMARY_NEWTOFILETRANS"" /&gt;
  &lt;param n=""AMO_Version"" v=""2.1"" /&gt;
  &lt;param n=""DataSourceType"" v=""SAS DATASET"" /&gt;
  &lt;param n=""SAS'"</definedName>
    <definedName name="_AMO_ContentDefinition_388544619.3" hidden="1">"'Filter"" v=""elc_country='JP' and brand='BB' and channel='RETL' and contactinformation like '%JP%'"" /&gt;
  &lt;param n=""OpenDataInto"" v=""ExistingWorksheet"" /&gt;
  &lt;param n=""MoreSheetsForRows"" v=""False"" /&gt;
  &lt;param n=""ClassName"" v=""SAS.OfficeAd'"</definedName>
    <definedName name="_AMO_ContentDefinition_388544619.4" hidden="1">"'din.DataViewItem"" /&gt;
  &lt;param n=""ServerName"" v=""SASMain"" /&gt;
  &lt;param n=""DataSource"" v=""&amp;lt;SasDataSource Version=&amp;quot;2.1&amp;quot; Type=&amp;quot;SAS.Servers.Dataset&amp;quot; Svr=&amp;quot;SASMain&amp;quot; Lib=&amp;quot;ELCSTD&amp;quot; Filter=&amp;quot;elc_country='JP'"</definedName>
    <definedName name="_AMO_ContentDefinition_388544619.5" hidden="1">"'' and brand='BB' and channel='RETL' and contactinformation like '%JP%'&amp;quot; UseLbls=&amp;quot;true&amp;quot; ColSelFlg=&amp;quot;1&amp;quot; Name=&amp;quot;SUMMARY_NEWTOFILETRANS&amp;quot;&amp;gt;&amp;#xD;&amp;#xA;&amp;lt;Cols&amp;gt;&amp;#xD;&amp;#xA;&amp;lt;cn&amp;gt;tm&amp;lt;/cn&amp;gt;&amp;#xD;&amp;#xA;&amp;lt;cn&amp;gt;ty&amp;lt;/'"</definedName>
    <definedName name="_AMO_ContentDefinition_388544619.6" hidden="1">"'cn&amp;gt;&amp;#xD;&amp;#xA;&amp;lt;cn&amp;gt;py&amp;lt;/cn&amp;gt;&amp;#xD;&amp;#xA;&amp;lt;cn&amp;gt;PctChangeY&amp;lt;/cn&amp;gt;&amp;#xD;&amp;#xA;&amp;lt;/Cols&amp;gt;&amp;#xD;&amp;#xA;&amp;lt;ColOrd&amp;gt;&amp;#xD;&amp;#xA;&amp;lt;cn&amp;gt;tm&amp;lt;/cn&amp;gt;&amp;#xD;&amp;#xA;&amp;lt;cn&amp;gt;ty&amp;lt;/cn&amp;gt;&amp;#xD;&amp;#xA;&amp;lt;cn&amp;gt;py&amp;lt;/cn&amp;gt;&amp;#xD;&amp;#xA;&amp;lt;cn&amp;gt;PctCh'"</definedName>
    <definedName name="_AMO_ContentDefinition_388544619.7" hidden="1">"'angeY&amp;lt;/cn&amp;gt;&amp;#xD;&amp;#xA;&amp;lt;cn&amp;gt;elc_country&amp;lt;/cn&amp;gt;&amp;#xD;&amp;#xA;&amp;lt;cn&amp;gt;brand&amp;lt;/cn&amp;gt;&amp;#xD;&amp;#xA;&amp;lt;cn&amp;gt;channel&amp;lt;/cn&amp;gt;&amp;#xD;&amp;#xA;&amp;lt;cn&amp;gt;ContactInformation&amp;lt;/cn&amp;gt;&amp;#xD;&amp;#xA;&amp;lt;cn&amp;gt;tm_pct&amp;lt;/cn&amp;gt;&amp;#xD;&amp;#xA;&amp;lt;cn&amp;gt;ty_pct&amp;lt;/cn'"</definedName>
    <definedName name="_AMO_ContentDefinition_388544619.8" hidden="1">"'&amp;gt;&amp;#xD;&amp;#xA;&amp;lt;cn&amp;gt;pm&amp;lt;/cn&amp;gt;&amp;#xD;&amp;#xA;&amp;lt;cn&amp;gt;pm_pct&amp;lt;/cn&amp;gt;&amp;#xD;&amp;#xA;&amp;lt;cn&amp;gt;PctChangeM&amp;lt;/cn&amp;gt;&amp;#xD;&amp;#xA;&amp;lt;cn&amp;gt;py_pct&amp;lt;/cn&amp;gt;&amp;#xD;&amp;#xA;&amp;lt;/ColOrd&amp;gt;&amp;#xD;&amp;#xA;&amp;lt;/SasDataSource&amp;gt;"" /&gt;
  &lt;ExcelXMLOptions AdjColWidths=""F'"</definedName>
    <definedName name="_AMO_ContentDefinition_388544619.9" hidden="1">"'alse"" RowOpt=""InsertCells"" ColOpt=""InsertCells"" /&gt;
&lt;/ContentDefinition&gt;'"</definedName>
    <definedName name="_AMO_ContentDefinition_43577925" hidden="1">"'Partitions:8'"</definedName>
    <definedName name="_AMO_ContentDefinition_43577925.0" hidden="1">"'&lt;ContentDefinition name=""SASMain:ELCSTD.SUMMARY_TOPCUST25"" rsid=""43577925"" type=""Dataset"" format=""REPORTXML"" imgfmt=""ACTIVEX"" created=""08/17/2006 22:19:37"" modifed=""11/09/2006 13:34:21"" user=""seepanas"" apply=""True"" thread=""BACKGRO'"</definedName>
    <definedName name="_AMO_ContentDefinition_43577925.1" hidden="1">"'UND"" css=""C:\Program Files\SAS\Shared Files\BIClientStyles\AMODefault.css"" range=""SASMain_ELCSTD_SUMMARY_TOPCUST25"" auto=""False"" rdc=""False"" mig=""False"" xTime=""00:00:00.2343750"" rTime=""00:00:00.5156250"" bgnew=""False"" nFmt=""True"" '"</definedName>
    <definedName name="_AMO_ContentDefinition_43577925.2" hidden="1">"'grphSet=""True"" imgY=""0"" imgX=""0""&gt;
  &lt;files /&gt;
  &lt;param n=""DisplayName"" v=""SASMain:ELCSTD.SUMMARY_TOPCUST25"" /&gt;
  &lt;param n=""AMO_Version"" v=""2.1"" /&gt;
  &lt;param n=""DataSourceType"" v=""SAS DATASET"" /&gt;
  &lt;param n=""SASFilter"" v=""elc_c'"</definedName>
    <definedName name="_AMO_ContentDefinition_43577925.3" hidden="1">"'ountry='JP' and brand='BB' and channel='RETL'"" /&gt;
  &lt;param n=""OpenDataInto"" v=""ExistingWorksheet"" /&gt;
  &lt;param n=""MoreSheetsForRows"" v=""False"" /&gt;
  &lt;param n=""ClassName"" v=""SAS.OfficeAddin.DataViewItem"" /&gt;
  &lt;param n=""ServerName"" v='"</definedName>
    <definedName name="_AMO_ContentDefinition_43577925.4" hidden="1">"'""SASMain""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UseLbls=&amp;'"</definedName>
    <definedName name="_AMO_ContentDefinition_43577925.5" hidden="1">"'quot;true&amp;quot; ColSelFlg=&amp;quot;1&amp;quot; Name=&amp;quot;SUMMARY_TOPCUST25&amp;quot;&amp;gt;&amp;#xD;&amp;#xA;&amp;lt;Cols&amp;gt;&amp;#xD;&amp;#xA;&amp;lt;cn&amp;gt;CUST_ID&amp;lt;/cn&amp;gt;&amp;#xD;&amp;#xA;&amp;lt;cn&amp;gt;tottrips&amp;lt;/cn&amp;gt;&amp;#xD;&amp;#xA;&amp;lt;cn&amp;gt;totrev&amp;lt;/cn&amp;gt;&amp;#xD;&amp;#xA;&amp;lt;/Cols&amp;gt;&amp;#xD;&amp;#xA;&amp;lt;'"</definedName>
    <definedName name="_AMO_ContentDefinition_43577925.6" hidden="1">"'ColOrd&amp;gt;&amp;#xD;&amp;#xA;&amp;lt;cn&amp;gt;CUST_ID&amp;lt;/cn&amp;gt;&amp;#xD;&amp;#xA;&amp;lt;cn&amp;gt;tottrips&amp;lt;/cn&amp;gt;&amp;#xD;&amp;#xA;&amp;lt;cn&amp;gt;totrev&amp;lt;/cn&amp;gt;&amp;#xD;&amp;#xA;&amp;lt;cn&amp;gt;elc_country&amp;lt;/cn&amp;gt;&amp;#xD;&amp;#xA;&amp;lt;cn&amp;gt;brand&amp;lt;/cn&amp;gt;&amp;#xD;&amp;#xA;&amp;lt;cn&amp;gt;channel&amp;lt;/cn&amp;gt;&amp;#xD;&amp;#xA;&amp;'"</definedName>
    <definedName name="_AMO_ContentDefinition_43577925.7" hidden="1">"'lt;/ColOrd&amp;gt;&amp;#xD;&amp;#xA;&amp;lt;/SasDataSource&amp;gt;"" /&gt;
  &lt;ExcelXMLOptions AdjColWidths=""False"" RowOpt=""InsertCells"" ColOpt=""InsertCells"" /&gt;
&lt;/ContentDefinition&gt;'"</definedName>
    <definedName name="_AMO_ContentDefinition_525496189" hidden="1">"'Partitions:11'"</definedName>
    <definedName name="_AMO_ContentDefinition_525496189.0" hidden="1">"'&lt;ContentDefinition name=""SASMain:ELCSTD.SUMMARY_DECILEGROUP"" rsid=""525496189"" type=""Dataset"" format=""REPORTXML"" imgfmt=""ACTIVEX"" created=""08/17/2006 21:55:02"" modifed=""11/09/2006 13:34:20"" user=""seepanas"" apply=""True"" thread=""BACK'"</definedName>
    <definedName name="_AMO_ContentDefinition_525496189.1" hidden="1">"'GROUND"" css=""C:\Program Files\SAS\Shared Files\BIClientStyles\AMODefault.css"" range=""SASMain_ELCSTD_SUMMARY_DECILEGROUP"" auto=""False"" rdc=""False"" mig=""False"" xTime=""00:00:00.1562500"" rTime=""00:00:00.3437500"" bgnew=""False"" nFmt=""Tr'"</definedName>
    <definedName name="_AMO_ContentDefinition_525496189.10" hidden="1">"'t;/ColOrd&amp;gt;&amp;#xD;&amp;#xA;&amp;lt;/SasDataSource&amp;gt;"" /&gt;
  &lt;ExcelXMLOptions AdjColWidths=""False"" RowOpt=""InsertCells"" ColOpt=""InsertCells"" /&gt;
&lt;/ContentDefinition&gt;'"</definedName>
    <definedName name="_AMO_ContentDefinition_525496189.2" hidden="1">"'ue"" grphSet=""True"" imgY=""0"" imgX=""0""&gt;
  &lt;files /&gt;
  &lt;param n=""DisplayName"" v=""SASMain:ELCSTD.SUMMARY_DECILEGROUP"" /&gt;
  &lt;param n=""AMO_Version"" v=""2.1"" /&gt;
  &lt;param n=""DataSourceType"" v=""SAS DATASET"" /&gt;
  &lt;param n=""SASFilter"" v'"</definedName>
    <definedName name="_AMO_ContentDefinition_525496189.3" hidden="1">"'=""elc_country='JP' and brand='BB' and channel='RETL'"" /&gt;
  &lt;param n=""OpenDataInto"" v=""ExistingWorksheet"" /&gt;
  &lt;param n=""MoreSheetsForRows"" v=""False"" /&gt;
  &lt;param n=""ClassName"" v=""SAS.OfficeAddin.DataViewItem"" /&gt;
  &lt;param n=""Server'"</definedName>
    <definedName name="_AMO_ContentDefinition_525496189.4" hidden="1">"'Name""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'"</definedName>
    <definedName name="_AMO_ContentDefinition_525496189.5" hidden="1">"'UseLbls=&amp;quot;true&amp;quot; ColSelFlg=&amp;quot;1&amp;quot; Name=&amp;quot;SUMMARY_DECILEGROUP&amp;quot;&amp;gt;&amp;#xD;&amp;#xA;&amp;lt;Cols&amp;gt;&amp;#xD;&amp;#xA;&amp;lt;cn&amp;gt;Group&amp;lt;/cn&amp;gt;&amp;#xD;&amp;#xA;&amp;lt;cn&amp;gt;Customers&amp;lt;/cn&amp;gt;&amp;#xD;&amp;#xA;&amp;lt;cn&amp;gt;TotalRevenue1000&amp;lt;/cn&amp;gt;&amp;#xD;&amp;#xA;&amp;lt;cn&amp;'"</definedName>
    <definedName name="_AMO_ContentDefinition_525496189.6" hidden="1">"'gt;Av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'"</definedName>
    <definedName name="_AMO_ContentDefinition_525496189.7" hidden="1">"'/cn&amp;gt;&amp;#xD;&amp;#xA;&amp;lt;cn&amp;gt;TransactionPct&amp;lt;/cn&amp;gt;&amp;#xD;&amp;#xA;&amp;lt;/Cols&amp;gt;&amp;#xD;&amp;#xA;&amp;lt;ColOrd&amp;gt;&amp;#xD;&amp;#xA;&amp;lt;cn&amp;gt;Group&amp;lt;/cn&amp;gt;&amp;#xD;&amp;#xA;&amp;lt;cn&amp;gt;Customers&amp;lt;/cn&amp;gt;&amp;#xD;&amp;#xA;&amp;lt;cn&amp;gt;TotalRevenue1000&amp;lt;/cn&amp;gt;&amp;#xD;&amp;#xA;&amp;lt;cn&amp;gt;AvgRevPer'"</definedName>
    <definedName name="_AMO_ContentDefinition_525496189.8" hidden="1">"'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/cn&amp;gt;&amp;#xD;'"</definedName>
    <definedName name="_AMO_ContentDefinition_525496189.9" hidden="1">"'&amp;#xA;&amp;lt;cn&amp;gt;TransactionPct&amp;lt;/cn&amp;gt;&amp;#xD;&amp;#xA;&amp;lt;cn&amp;gt;elc_country&amp;lt;/cn&amp;gt;&amp;#xD;&amp;#xA;&amp;lt;cn&amp;gt;brand&amp;lt;/cn&amp;gt;&amp;#xD;&amp;#xA;&amp;lt;cn&amp;gt;channel&amp;lt;/cn&amp;gt;&amp;#xD;&amp;#xA;&amp;lt;cn&amp;gt;TotalRevenue&amp;lt;/cn&amp;gt;&amp;#xD;&amp;#xA;&amp;lt;cn&amp;gt;RevChange&amp;lt;/cn&amp;gt;&amp;#xD;&amp;#xA;&amp;l'"</definedName>
    <definedName name="_AMO_ContentDefinition_573259020" hidden="1">"'Partitions:12'"</definedName>
    <definedName name="_AMO_ContentDefinition_573259020.0" hidden="1">"'&lt;ContentDefinition name=""SASMain:ELCSTD.SUMMARY_CUSTDATABASE"" rsid=""573259020"" type=""Dataset"" format=""REPORTXML"" imgfmt=""ACTIVEX"" created=""08/17/2006 21:32:29"" modifed=""11/09/2006 13:34:19"" user=""seepanas"" apply=""True"" thread=""BAC'"</definedName>
    <definedName name="_AMO_ContentDefinition_573259020.1" hidden="1">"'KGROUND"" css=""C:\Program Files\SAS\Shared Files\BIClientStyles\AMODefault.css"" range=""SASMain_ELCSTD_SUMMARY_CUSTDATABASE"" auto=""False"" rdc=""False"" mig=""False"" xTime=""00:00:02.2031250"" rTime=""00:00:00.6718750"" bgnew=""False"" nFmt=""'"</definedName>
    <definedName name="_AMO_ContentDefinition_573259020.10" hidden="1">"'&amp;lt;/cn&amp;gt;&amp;#xD;&amp;#xA;&amp;lt;cn&amp;gt;NameAddr_or_Email&amp;lt;/cn&amp;gt;&amp;#xD;&amp;#xA;&amp;lt;cn&amp;gt;NameAddr_or_NameEmail&amp;lt;/cn&amp;gt;&amp;#xD;&amp;#xA;&amp;lt;cn&amp;gt;NameAddr_or_NameEmail_Pct&amp;lt;/cn&amp;gt;&amp;#xD;&amp;#xA;&amp;lt;cn&amp;gt;NameAddr_or_NameEmail_Pctc&amp;lt;/cn&amp;gt;&amp;#xD;&amp;#xA;&amp;lt;/ColOrd&amp;gt;&amp;#'"</definedName>
    <definedName name="_AMO_ContentDefinition_573259020.11" hidden="1">"'xD;&amp;#xA;&amp;lt;/SasDataSource&amp;gt;"" /&gt;
  &lt;ExcelXMLOptions AdjColWidths=""False"" RowOpt=""InsertCells"" ColOpt=""InsertCells"" /&gt;
&lt;/ContentDefinition&gt;'"</definedName>
    <definedName name="_AMO_ContentDefinition_573259020.2" hidden="1">"'True"" grphSet=""True"" imgY=""0"" imgX=""0""&gt;
  &lt;files /&gt;
  &lt;param n=""DisplayName"" v=""SASMain:ELCSTD.SUMMARY_CUSTDATABASE"" /&gt;
  &lt;param n=""AMO_Version"" v=""2.1"" /&gt;
  &lt;param n=""DataSourceType"" v=""SAS DATASET"" /&gt;
  &lt;param n=""SASFilter'"</definedName>
    <definedName name="_AMO_ContentDefinition_573259020.3" hidden="1">"'"" v=""elc_country='JP' and brand='BB' and channel='RETL'"" /&gt;
  &lt;param n=""OpenDataInto"" v=""ExistingWorksheet"" /&gt;
  &lt;param n=""MoreSheetsForRows"" v=""False"" /&gt;
  &lt;param n=""ClassName"" v=""SAS.OfficeAddin.DataViewItem"" /&gt;
  &lt;param n=""Ser'"</definedName>
    <definedName name="_AMO_ContentDefinition_573259020.4" hidden="1">"'verName""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channel='RETL'&amp;quo'"</definedName>
    <definedName name="_AMO_ContentDefinition_573259020.5" hidden="1">"'t; UseLbls=&amp;quot;true&amp;quot; ColSelFlg=&amp;quot;1&amp;quot; Name=&amp;quot;SUMMARY_CUSTDATABASE&amp;quot;&amp;gt;&amp;#xD;&amp;#xA;&amp;lt;Cols&amp;gt;&amp;#xD;&amp;#xA;&amp;lt;cn&amp;gt;CustomersinDatabase&amp;lt;/cn&amp;gt;&amp;#xD;&amp;#xA;&amp;lt;cn&amp;gt;JP_OptIn&amp;lt;/cn&amp;gt;&amp;#xD;&amp;#xA;&amp;lt;cn&amp;gt;JP_NameAddr&amp;lt;/cn&amp;gt;&amp;#xD;'"</definedName>
    <definedName name="_AMO_ContentDefinition_573259020.6" hidden="1">"'&amp;#xA;&amp;lt;cn&amp;gt;JP_Email&amp;lt;/cn&amp;gt;&amp;#xD;&amp;#xA;&amp;lt;cn&amp;gt;JP_NameAddr_Email&amp;lt;/cn&amp;gt;&amp;#xD;&amp;#xA;&amp;lt;/Cols&amp;gt;&amp;#xD;&amp;#xA;&amp;lt;ColOrd&amp;gt;&amp;#xD;&amp;#xA;&amp;lt;cn&amp;gt;CustomersinDatabase&amp;lt;/cn&amp;gt;&amp;#xD;&amp;#xA;&amp;lt;cn&amp;gt;JP_OptIn&amp;lt;/cn&amp;gt;&amp;#xD;&amp;#xA;&amp;lt;cn&amp;gt;JP_NameAddr&amp;l'"</definedName>
    <definedName name="_AMO_ContentDefinition_573259020.7" hidden="1">"'t;/cn&amp;gt;&amp;#xD;&amp;#xA;&amp;lt;cn&amp;gt;JP_Email&amp;lt;/cn&amp;gt;&amp;#xD;&amp;#xA;&amp;lt;cn&amp;gt;JP_NameAddr_Email&amp;lt;/cn&amp;gt;&amp;#xD;&amp;#xA;&amp;lt;cn&amp;gt;elc_country&amp;lt;/cn&amp;gt;&amp;#xD;&amp;#xA;&amp;lt;cn&amp;gt;brand&amp;lt;/cn&amp;gt;&amp;#xD;&amp;#xA;&amp;lt;cn&amp;gt;channel&amp;lt;/cn&amp;gt;&amp;#xD;&amp;#xA;&amp;lt;cn&amp;gt;OptIn&amp;lt;/cn&amp;gt;&amp;#x'"</definedName>
    <definedName name="_AMO_ContentDefinition_573259020.8" hidden="1">"'D;&amp;#xA;&amp;lt;cn&amp;gt;OptIn_Pct&amp;lt;/cn&amp;gt;&amp;#xD;&amp;#xA;&amp;lt;cn&amp;gt;OptIn_Pctc&amp;lt;/cn&amp;gt;&amp;#xD;&amp;#xA;&amp;lt;cn&amp;gt;NameAddr&amp;lt;/cn&amp;gt;&amp;#xD;&amp;#xA;&amp;lt;cn&amp;gt;NameAddr_Pct&amp;lt;/cn&amp;gt;&amp;#xD;&amp;#xA;&amp;lt;cn&amp;gt;NameAddr_Pctc&amp;lt;/cn&amp;gt;&amp;#xD;&amp;#xA;&amp;lt;cn&amp;gt;Email&amp;lt;/cn&amp;gt;&amp;#xD;&amp;#xA;&amp;'"</definedName>
    <definedName name="_AMO_ContentDefinition_573259020.9" hidden="1">"'lt;cn&amp;gt;NameEmail&amp;lt;/cn&amp;gt;&amp;#xD;&amp;#xA;&amp;lt;cn&amp;gt;NameEmail_Pct&amp;lt;/cn&amp;gt;&amp;#xD;&amp;#xA;&amp;lt;cn&amp;gt;NameEmail_Pctc&amp;lt;/cn&amp;gt;&amp;#xD;&amp;#xA;&amp;lt;cn&amp;gt;NameAddr_Email&amp;lt;/cn&amp;gt;&amp;#xD;&amp;#xA;&amp;lt;cn&amp;gt;NameAddr_Email_Pct&amp;lt;/cn&amp;gt;&amp;#xD;&amp;#xA;&amp;lt;cn&amp;gt;NameAddr_Email_Pctc'"</definedName>
    <definedName name="_AMO_ContentDefinition_641051926" hidden="1">"'Partitions:10'"</definedName>
    <definedName name="_AMO_ContentDefinition_641051926.0" hidden="1">"'&lt;ContentDefinition name=""SASMain:ELCSTD.SUMMARY_ACTIVECUST"" rsid=""641051926"" type=""Dataset"" format=""REPORTXML"" imgfmt=""ACTIVEX"" created=""08/17/2006 21:46:04"" modifed=""11/09/2006 13:34:20"" user=""seepanas"" apply=""True"" thread=""BACKG'"</definedName>
    <definedName name="_AMO_ContentDefinition_641051926.1" hidden="1">"'ROUND"" css=""C:\Program Files\SAS\Shared Files\BIClientStyles\AMODefault.css"" range=""SASMain_ELCSTD_SUMMARY_ACTIVECUST"" auto=""False"" rdc=""False"" mig=""False"" xTime=""00:00:00.1406250"" rTime=""00:00:00.3125000"" bgnew=""False"" nFmt=""True'"</definedName>
    <definedName name="_AMO_ContentDefinition_641051926.2" hidden="1">"'"" grphSet=""True"" imgY=""0"" imgX=""0""&gt;
  &lt;files /&gt;
  &lt;param n=""DisplayName"" v=""SASMain:ELCSTD.SUMMARY_ACTIVECUST"" /&gt;
  &lt;param n=""AMO_Version"" v=""2.1"" /&gt;
  &lt;param n=""DataSourceType"" v=""SAS DATASET"" /&gt;
  &lt;param n=""SASFilter"" v=""e'"</definedName>
    <definedName name="_AMO_ContentDefinition_641051926.3" hidden="1">"'lc_country='JP' and brand='BB' and channel='RETL' and contactinformation like '%JP%'"" /&gt;
  &lt;param n=""OpenDataInto"" v=""ExistingWorksheet"" /&gt;
  &lt;param n=""MoreSheetsForRows"" v=""False"" /&gt;
  &lt;param n=""ClassName"" v=""SAS.OfficeAddin.DataViewI'"</definedName>
    <definedName name="_AMO_ContentDefinition_641051926.4" hidden="1">"'tem"" /&gt;
  &lt;param n=""ServerName"" v=""SASMain"" /&gt;
  &lt;param n=""DataSource"" v=""&amp;lt;SasDataSource Version=&amp;quot;2.1&amp;quot; Type=&amp;quot;SAS.Servers.Dataset&amp;quot; Svr=&amp;quot;SASMain&amp;quot; Lib=&amp;quot;ELCSTD&amp;quot; Filter=&amp;quot;elc_country='JP' and brand=''"</definedName>
    <definedName name="_AMO_ContentDefinition_641051926.5" hidden="1">"'BB' and channel='RETL' and contactinformation like '%JP%'&amp;quot; UseLbls=&amp;quot;true&amp;quot; ColSelFlg=&amp;quot;1&amp;quot; Name=&amp;quot;SUMMARY_ACTIVECUST&amp;quot;&amp;gt;&amp;#xD;&amp;#xA;&amp;lt;Cols&amp;gt;&amp;#xD;&amp;#xA;&amp;lt;cn&amp;gt;tm&amp;lt;/cn&amp;gt;&amp;#xD;&amp;#xA;&amp;lt;cn&amp;gt;ty&amp;lt;/cn&amp;gt;&amp;#xD;&amp;#xA;&amp;'"</definedName>
    <definedName name="_AMO_ContentDefinition_641051926.6" hidden="1">"'lt;cn&amp;gt;py&amp;lt;/cn&amp;gt;&amp;#xD;&amp;#xA;&amp;lt;cn&amp;gt;PctChangeY&amp;lt;/cn&amp;gt;&amp;#xD;&amp;#xA;&amp;lt;/Cols&amp;gt;&amp;#xD;&amp;#xA;&amp;lt;ColOrd&amp;gt;&amp;#xD;&amp;#xA;&amp;lt;cn&amp;gt;tm&amp;lt;/cn&amp;gt;&amp;#xD;&amp;#xA;&amp;lt;cn&amp;gt;ty&amp;lt;/cn&amp;gt;&amp;#xD;&amp;#xA;&amp;lt;cn&amp;gt;py&amp;lt;/cn&amp;gt;&amp;#xD;&amp;#xA;&amp;lt;cn&amp;gt;PctChangeY&amp;lt;/cn&amp;gt;&amp;'"</definedName>
    <definedName name="_AMO_ContentDefinition_641051926.7" hidden="1">"'#xD;&amp;#xA;&amp;lt;cn&amp;gt;elc_country&amp;lt;/cn&amp;gt;&amp;#xD;&amp;#xA;&amp;lt;cn&amp;gt;brand&amp;lt;/cn&amp;gt;&amp;#xD;&amp;#xA;&amp;lt;cn&amp;gt;channel&amp;lt;/cn&amp;gt;&amp;#xD;&amp;#xA;&amp;lt;cn&amp;gt;ContactInformation&amp;lt;/cn&amp;gt;&amp;#xD;&amp;#xA;&amp;lt;cn&amp;gt;tm_pct&amp;lt;/cn&amp;gt;&amp;#xD;&amp;#xA;&amp;lt;cn&amp;gt;ty_pct&amp;lt;/cn&amp;gt;&amp;#xD;&amp;#xA;&amp;lt'"</definedName>
    <definedName name="_AMO_ContentDefinition_641051926.8" hidden="1">"';cn&amp;gt;pm&amp;lt;/cn&amp;gt;&amp;#xD;&amp;#xA;&amp;lt;cn&amp;gt;pm_pct&amp;lt;/cn&amp;gt;&amp;#xD;&amp;#xA;&amp;lt;cn&amp;gt;PctChangeM&amp;lt;/cn&amp;gt;&amp;#xD;&amp;#xA;&amp;lt;cn&amp;gt;py_pct&amp;lt;/cn&amp;gt;&amp;#xD;&amp;#xA;&amp;lt;/ColOrd&amp;gt;&amp;#xD;&amp;#xA;&amp;lt;/SasDataSource&amp;gt;"" /&gt;
  &lt;ExcelXMLOptions AdjColWidths=""False"" RowOpt=""I'"</definedName>
    <definedName name="_AMO_ContentDefinition_641051926.9" hidden="1">"'nsertCells"" ColOpt=""InsertCells"" /&gt;
&lt;/ContentDefinition&gt;'"</definedName>
    <definedName name="_AMO_ContentDefinition_762475362" hidden="1">"'Partitions:10'"</definedName>
    <definedName name="_AMO_ContentDefinition_762475362.0" hidden="1">"'&lt;ContentDefinition name=""SASMain:ELCSTD.SUMMARY_TOPCUST"" rsid=""762475362"" type=""Dataset"" format=""REPORTXML"" imgfmt=""ACTIVEX"" created=""08/17/2006 21:51:18"" modifed=""11/09/2006 13:34:20"" user=""seepanas"" apply=""True"" thread=""BACKGROU'"</definedName>
    <definedName name="_AMO_ContentDefinition_762475362.1" hidden="1">"'ND"" css=""C:\Program Files\SAS\Shared Files\BIClientStyles\AMODefault.css"" range=""SASMain_ELCSTD_SUMMARY_TOPCUST"" auto=""False"" rdc=""False"" mig=""False"" xTime=""00:00:00.1250000"" rTime=""00:00:00.2343750"" bgnew=""False"" nFmt=""True"" gr'"</definedName>
    <definedName name="_AMO_ContentDefinition_762475362.2" hidden="1">"'phSet=""True"" imgY=""0"" imgX=""0""&gt;
  &lt;files /&gt;
  &lt;param n=""DisplayName"" v=""SASMain:ELCSTD.SUMMARY_TOPCUST"" /&gt;
  &lt;param n=""AMO_Version"" v=""2.1"" /&gt;
  &lt;param n=""DataSourceType"" v=""SAS DATASET"" /&gt;
  &lt;param n=""SASFilter"" v=""elc_count'"</definedName>
    <definedName name="_AMO_ContentDefinition_762475362.3" hidden="1">"'ry='JP' and brand='BB' and channel='RETL'"" /&gt;
  &lt;param n=""OpenDataInto"" v=""ExistingWorksheet"" /&gt;
  &lt;param n=""MoreSheetsForRows"" v=""False"" /&gt;
  &lt;param n=""ClassName"" v=""SAS.OfficeAddin.DataViewItem"" /&gt;
  &lt;param n=""ServerName"" v=""SAS'"</definedName>
    <definedName name="_AMO_ContentDefinition_762475362.4" hidden="1">"'Main""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UseLbls=&amp;quot;'"</definedName>
    <definedName name="_AMO_ContentDefinition_762475362.5" hidden="1">"'true&amp;quot; ColSelFlg=&amp;quot;1&amp;quot; Name=&amp;quot;SUMMARY_TOPCUST&amp;quot;&amp;gt;&amp;#xD;&amp;#xA;&amp;lt;Cols&amp;gt;&amp;#xD;&amp;#xA;&amp;lt;cn&amp;gt;TopCustomers&amp;lt;/cn&amp;gt;&amp;#xD;&amp;#xA;&amp;lt;cn&amp;gt;Customers&amp;lt;/cn&amp;gt;&amp;#xD;&amp;#xA;&amp;lt;cn&amp;gt;TotalRevenue1000&amp;lt;/cn&amp;gt;&amp;#xD;&amp;#xA;&amp;lt;cn&amp;gt;AvgRevPe'"</definedName>
    <definedName name="_AMO_ContentDefinition_762475362.6" hidden="1">"'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RevChange&amp;lt;/cn&amp;gt;&amp;#xD;&amp;#xA;&amp;lt;/Cols&amp;gt;&amp;#xD;&amp;#xA;&amp;lt;ColOrd&amp;gt;'"</definedName>
    <definedName name="_AMO_ContentDefinition_762475362.7" hidden="1">"'&amp;#xD;&amp;#xA;&amp;lt;cn&amp;gt;TopCustomers&amp;lt;/cn&amp;gt;&amp;#xD;&amp;#xA;&amp;lt;cn&amp;gt;Customers&amp;lt;/cn&amp;gt;&amp;#xD;&amp;#xA;&amp;lt;cn&amp;gt;TotalRevenue1000&amp;lt;/cn&amp;gt;&amp;#xD;&amp;#xA;&amp;lt;cn&amp;gt;AvgRevPerCustomer&amp;lt;/cn&amp;gt;&amp;#xD;&amp;#xA;&amp;lt;cn&amp;gt;Transactions&amp;lt;/cn&amp;gt;&amp;#xD;&amp;#xA;&amp;lt;cn&amp;gt;AvgTransPe'"</definedName>
    <definedName name="_AMO_ContentDefinition_762475362.8" hidden="1">"'rCustomer&amp;lt;/cn&amp;gt;&amp;#xD;&amp;#xA;&amp;lt;cn&amp;gt;AvgRevPerTransaction&amp;lt;/cn&amp;gt;&amp;#xD;&amp;#xA;&amp;lt;cn&amp;gt;RevChange&amp;lt;/cn&amp;gt;&amp;#xD;&amp;#xA;&amp;lt;cn&amp;gt;elc_country&amp;lt;/cn&amp;gt;&amp;#xD;&amp;#xA;&amp;lt;cn&amp;gt;brand&amp;lt;/cn&amp;gt;&amp;#xD;&amp;#xA;&amp;lt;cn&amp;gt;channel&amp;lt;/cn&amp;gt;&amp;#xD;&amp;#xA;&amp;lt;cn&amp;gt;Tota'"</definedName>
    <definedName name="_AMO_ContentDefinition_762475362.9" hidden="1">"'lRevenue&amp;lt;/cn&amp;gt;&amp;#xD;&amp;#xA;&amp;lt;/ColOrd&amp;gt;&amp;#xD;&amp;#xA;&amp;lt;/SasDataSource&amp;gt;""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992745332" hidden="1">"'Partitions:11'"</definedName>
    <definedName name="_AMO_ContentDefinition_992745332.0" hidden="1">"'&lt;ContentDefinition name=""SASMain:ELCSTD.SUMMARY_VALUEGROUP"" rsid=""992745332"" type=""Dataset"" format=""REPORTXML"" imgfmt=""ACTIVEX"" created=""08/17/2006 21:53:01"" modifed=""11/09/2006 13:34:20"" user=""seepanas"" apply=""True"" thread=""BACKG'"</definedName>
    <definedName name="_AMO_ContentDefinition_992745332.1" hidden="1">"'ROUND"" css=""C:\Program Files\SAS\Shared Files\BIClientStyles\AMODefault.css"" range=""SASMain_ELCSTD_SUMMARY_VALUEGROUP"" auto=""False"" rdc=""False"" mig=""False"" xTime=""00:00:00.3125000"" rTime=""00:00:00.3281250"" bgnew=""False"" nFmt=""True'"</definedName>
    <definedName name="_AMO_ContentDefinition_992745332.10" hidden="1">"'TotalRevenue&amp;lt;/cn&amp;gt;&amp;#xD;&amp;#xA;&amp;lt;/ColOrd&amp;gt;&amp;#xD;&amp;#xA;&amp;lt;/SasDataSource&amp;gt;""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992745332.2" hidden="1">"'"" grphSet=""True"" imgY=""0"" imgX=""0""&gt;
  &lt;files /&gt;
  &lt;param n=""DisplayName"" v=""SASMain:ELCSTD.SUMMARY_VALUEGROUP"" /&gt;
  &lt;param n=""AMO_Version"" v=""2.1"" /&gt;
  &lt;param n=""DataSourceType"" v=""SAS DATASET"" /&gt;
  &lt;param n=""SASFilter"" v=""e'"</definedName>
    <definedName name="_AMO_ContentDefinition_992745332.3" hidden="1">"'lc_country='JP' and brand='BB' and channel='RETL'"" /&gt;
  &lt;param n=""OpenDataInto"" v=""ExistingWorksheet"" /&gt;
  &lt;param n=""MoreSheetsForRows"" v=""False"" /&gt;
  &lt;param n=""ClassName"" v=""SAS.OfficeAddin.DataViewItem"" /&gt;
  &lt;param n=""ServerName'"</definedName>
    <definedName name="_AMO_ContentDefinition_992745332.4" hidden="1">"'""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UseL'"</definedName>
    <definedName name="_AMO_ContentDefinition_992745332.5" hidden="1">"'bls=&amp;quot;true&amp;quot; ColSelFlg=&amp;quot;1&amp;quot; Name=&amp;quot;SUMMARY_VALUEGROUP&amp;quot;&amp;gt;&amp;#xD;&amp;#xA;&amp;lt;Cols&amp;gt;&amp;#xD;&amp;#xA;&amp;lt;cn&amp;gt;Group&amp;lt;/cn&amp;gt;&amp;#xD;&amp;#xA;&amp;lt;cn&amp;gt;Customers&amp;lt;/cn&amp;gt;&amp;#xD;&amp;#xA;&amp;lt;cn&amp;gt;TotalRevenue1000&amp;lt;/cn&amp;gt;&amp;#xD;&amp;#xA;&amp;lt;cn&amp;gt;Av'"</definedName>
    <definedName name="_AMO_ContentDefinition_992745332.6" hidden="1">"'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/cn&amp;g'"</definedName>
    <definedName name="_AMO_ContentDefinition_992745332.7" hidden="1">"'t;&amp;#xD;&amp;#xA;&amp;lt;cn&amp;gt;TransactionPct&amp;lt;/cn&amp;gt;&amp;#xD;&amp;#xA;&amp;lt;cn&amp;gt;RevChange&amp;lt;/cn&amp;gt;&amp;#xD;&amp;#xA;&amp;lt;/Cols&amp;gt;&amp;#xD;&amp;#xA;&amp;lt;ColOrd&amp;gt;&amp;#xD;&amp;#xA;&amp;lt;cn&amp;gt;Group&amp;lt;/cn&amp;gt;&amp;#xD;&amp;#xA;&amp;lt;cn&amp;gt;Customers&amp;lt;/cn&amp;gt;&amp;#xD;&amp;#xA;&amp;lt;cn&amp;gt;TotalRevenue1000&amp;lt;/'"</definedName>
    <definedName name="_AMO_ContentDefinition_992745332.8" hidden="1">"'cn&amp;gt;&amp;#xD;&amp;#xA;&amp;lt;cn&amp;gt;Av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'"</definedName>
    <definedName name="_AMO_ContentDefinition_992745332.9" hidden="1">"'lt;cn&amp;gt;RevenuePct&amp;lt;/cn&amp;gt;&amp;#xD;&amp;#xA;&amp;lt;cn&amp;gt;TransactionPct&amp;lt;/cn&amp;gt;&amp;#xD;&amp;#xA;&amp;lt;cn&amp;gt;RevChange&amp;lt;/cn&amp;gt;&amp;#xD;&amp;#xA;&amp;lt;cn&amp;gt;elc_country&amp;lt;/cn&amp;gt;&amp;#xD;&amp;#xA;&amp;lt;cn&amp;gt;brand&amp;lt;/cn&amp;gt;&amp;#xD;&amp;#xA;&amp;lt;cn&amp;gt;channel&amp;lt;/cn&amp;gt;&amp;#xD;&amp;#xA;&amp;lt;cn&amp;gt;'"</definedName>
    <definedName name="_AMO_ContentDefinition_999840165" hidden="1">"'Partitions:13'"</definedName>
    <definedName name="_AMO_ContentDefinition_999840165.0" hidden="1">"'&lt;ContentDefinition name=""SASMain:ELCSTD.SUMMARY_CUSTTRANS"" rsid=""999840165"" type=""Dataset"" format=""REPORTXML"" imgfmt=""ACTIVEX"" created=""08/17/2006 21:34:39"" modifed=""11/09/2006 13:34:20"" user=""seepanas"" apply=""True"" thread=""BACKGR'"</definedName>
    <definedName name="_AMO_ContentDefinition_999840165.1" hidden="1">"'OUND"" css=""C:\Program Files\SAS\Shared Files\BIClientStyles\AMODefault.css"" range=""SASMain_ELCSTD_SUMMARY_CUSTTRANS"" auto=""False"" rdc=""False"" mig=""False"" xTime=""00:00:00.1250000"" rTime=""00:00:00.2343750"" bgnew=""False"" nFmt=""True""'"</definedName>
    <definedName name="_AMO_ContentDefinition_999840165.10" hidden="1">"';&amp;#xA;&amp;lt;cn&amp;gt;NameEmail_Pctc&amp;lt;/cn&amp;gt;&amp;#xD;&amp;#xA;&amp;lt;cn&amp;gt;NameAddr_Email&amp;lt;/cn&amp;gt;&amp;#xD;&amp;#xA;&amp;lt;cn&amp;gt;NameAddr_Email_Pct&amp;lt;/cn&amp;gt;&amp;#xD;&amp;#xA;&amp;lt;cn&amp;gt;NameAddr_Email_Pctc&amp;lt;/cn&amp;gt;&amp;#xD;&amp;#xA;&amp;lt;cn&amp;gt;NameAddr_or_Email&amp;lt;/cn&amp;gt;&amp;#xD;&amp;#xA;&amp;lt;cn&amp;g'"</definedName>
    <definedName name="_AMO_ContentDefinition_999840165.11" hidden="1">"'t;NameAddr_or_NameEmail&amp;lt;/cn&amp;gt;&amp;#xD;&amp;#xA;&amp;lt;cn&amp;gt;NameAddr_or_NameEmail_Pct&amp;lt;/cn&amp;gt;&amp;#xD;&amp;#xA;&amp;lt;cn&amp;gt;NameAddr_or_NameEmail_Pctc&amp;lt;/cn&amp;gt;&amp;#xD;&amp;#xA;&amp;lt;/ColOrd&amp;gt;&amp;#xD;&amp;#xA;&amp;lt;/SasDataSource&amp;gt;"" /&gt;
  &lt;ExcelXMLOptions AdjColWidths=""False'"</definedName>
    <definedName name="_AMO_ContentDefinition_999840165.12" hidden="1">"'"" RowOpt=""InsertCells"" ColOpt=""InsertCells"" /&gt;
&lt;/ContentDefinition&gt;'"</definedName>
    <definedName name="_AMO_ContentDefinition_999840165.2" hidden="1">"' grphSet=""True"" imgY=""0"" imgX=""0""&gt;
  &lt;files /&gt;
  &lt;param n=""DisplayName"" v=""SASMain:ELCSTD.SUMMARY_CUSTTRANS"" /&gt;
  &lt;param n=""AMO_Version"" v=""2.1"" /&gt;
  &lt;param n=""DataSourceType"" v=""SAS DATASET"" /&gt;
  &lt;param n=""SASFilter"" v=""elc_'"</definedName>
    <definedName name="_AMO_ContentDefinition_999840165.3" hidden="1">"'country='JP' and brand='BB' and channel='RETL'"" /&gt;
  &lt;param n=""OpenDataInto"" v=""ExistingWorksheet"" /&gt;
  &lt;param n=""MoreSheetsForRows"" v=""False"" /&gt;
  &lt;param n=""ClassName"" v=""SAS.OfficeAddin.DataViewItem"" /&gt;
  &lt;param n=""ServerName"" v'"</definedName>
    <definedName name="_AMO_ContentDefinition_999840165.4" hidden="1">"'=""SASMain""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UseLbls='"</definedName>
    <definedName name="_AMO_ContentDefinition_999840165.5" hidden="1">"'&amp;quot;true&amp;quot; ColSelFlg=&amp;quot;1&amp;quot; Name=&amp;quot;SUMMARY_CUSTTRANS&amp;quot;&amp;gt;&amp;#xD;&amp;#xA;&amp;lt;Cols&amp;gt;&amp;#xD;&amp;#xA;&amp;lt;cn&amp;gt;CustomerwithTransaction&amp;lt;/cn&amp;gt;&amp;#xD;&amp;#xA;&amp;lt;cn&amp;gt;JP_OptIn&amp;lt;/cn&amp;gt;&amp;#xD;&amp;#xA;&amp;lt;cn&amp;gt;JP_NameAddr&amp;lt;/cn&amp;gt;&amp;#xD;&amp;#xA;&amp;lt;c'"</definedName>
    <definedName name="_AMO_ContentDefinition_999840165.6" hidden="1">"'n&amp;gt;JP_Email&amp;lt;/cn&amp;gt;&amp;#xD;&amp;#xA;&amp;lt;cn&amp;gt;JP_NameAddr_Email&amp;lt;/cn&amp;gt;&amp;#xD;&amp;#xA;&amp;lt;cn&amp;gt;RetentionYrOverYr&amp;lt;/cn&amp;gt;&amp;#xD;&amp;#xA;&amp;lt;cn&amp;gt;CaptureRate&amp;lt;/cn&amp;gt;&amp;#xD;&amp;#xA;&amp;lt;/Cols&amp;gt;&amp;#xD;&amp;#xA;&amp;lt;ColOrd&amp;gt;&amp;#xD;&amp;#xA;&amp;lt;cn&amp;gt;CustomerwithTransactio'"</definedName>
    <definedName name="_AMO_ContentDefinition_999840165.7" hidden="1">"'n&amp;lt;/cn&amp;gt;&amp;#xD;&amp;#xA;&amp;lt;cn&amp;gt;JP_OptIn&amp;lt;/cn&amp;gt;&amp;#xD;&amp;#xA;&amp;lt;cn&amp;gt;JP_NameAddr&amp;lt;/cn&amp;gt;&amp;#xD;&amp;#xA;&amp;lt;cn&amp;gt;JP_Email&amp;lt;/cn&amp;gt;&amp;#xD;&amp;#xA;&amp;lt;cn&amp;gt;JP_NameAddr_Email&amp;lt;/cn&amp;gt;&amp;#xD;&amp;#xA;&amp;lt;cn&amp;gt;RetentionYrOverYr&amp;lt;/cn&amp;gt;&amp;#xD;&amp;#xA;&amp;lt;cn&amp;gt;Cap'"</definedName>
    <definedName name="_AMO_ContentDefinition_999840165.8" hidden="1">"'tureRate&amp;lt;/cn&amp;gt;&amp;#xD;&amp;#xA;&amp;lt;cn&amp;gt;elc_country&amp;lt;/cn&amp;gt;&amp;#xD;&amp;#xA;&amp;lt;cn&amp;gt;brand&amp;lt;/cn&amp;gt;&amp;#xD;&amp;#xA;&amp;lt;cn&amp;gt;channel&amp;lt;/cn&amp;gt;&amp;#xD;&amp;#xA;&amp;lt;cn&amp;gt;OptIn&amp;lt;/cn&amp;gt;&amp;#xD;&amp;#xA;&amp;lt;cn&amp;gt;OptIn_Pct&amp;lt;/cn&amp;gt;&amp;#xD;&amp;#xA;&amp;lt;cn&amp;gt;OptIn_Pctc&amp;lt;/cn&amp;gt'"</definedName>
    <definedName name="_AMO_ContentDefinition_999840165.9" hidden="1">"';&amp;#xD;&amp;#xA;&amp;lt;cn&amp;gt;NameAddr&amp;lt;/cn&amp;gt;&amp;#xD;&amp;#xA;&amp;lt;cn&amp;gt;NameAddr_Pct&amp;lt;/cn&amp;gt;&amp;#xD;&amp;#xA;&amp;lt;cn&amp;gt;NameAddr_Pctc&amp;lt;/cn&amp;gt;&amp;#xD;&amp;#xA;&amp;lt;cn&amp;gt;Email&amp;lt;/cn&amp;gt;&amp;#xD;&amp;#xA;&amp;lt;cn&amp;gt;NameEmail&amp;lt;/cn&amp;gt;&amp;#xD;&amp;#xA;&amp;lt;cn&amp;gt;NameEmail_Pct&amp;lt;/cn&amp;gt;&amp;#xD'"</definedName>
    <definedName name="_AMO_ContentLocation_120537796__A1" hidden="1">"'Partitions:2'"</definedName>
    <definedName name="_AMO_ContentLocation_120537796__A1.0" hidden="1">"'&lt;ContentLocation path=""A1"" rsid=""120537796"" tag="""" fid=""0""&gt;&lt;param n=""VarSelStateFlag"" v=""1"" /&gt;&lt;param n=""VarCount"" v=""3"" /&gt;&lt;param n=""DataInfo"" v=""false"" /&gt;&lt;param n=""ObsColumn"" v=""false"" /&gt;&lt;param n=""DataRowCount"" v=""11"" /'"</definedName>
    <definedName name="_AMO_ContentLocation_120537796__A1.1" hidden="1">"'&gt;&lt;param n=""DataColCount"" v=""3"" /&gt;&lt;param n=""SASDataState"" v=""none"" /&gt;&lt;param n=""SASDataStart"" v=""1"" /&gt;&lt;param n=""SASDataEnd"" v=""10"" /&gt;&lt;param n=""SASFilter"" v=""elc_country='JP' and brand='BB' and channel='RETL'"" /&gt;&lt;/ContentLocation&gt;'"</definedName>
    <definedName name="_AMO_ContentLocation_356642672__A1" hidden="1">"'Partitions:2'"</definedName>
    <definedName name="_AMO_ContentLocation_356642672__A1.0" hidden="1">"'&lt;ContentLocation path=""A1"" rsid=""356642672"" tag="""" fid=""0""&gt;&lt;param n=""VarSelStateFlag"" v=""2"" /&gt;&lt;param n=""VarCount"" v=""1"" /&gt;&lt;param n=""DataInfo"" v=""false"" /&gt;&lt;param n=""ObsColumn"" v=""false"" /&gt;&lt;param n=""DataRowCount"" v=""2"" /&gt;'"</definedName>
    <definedName name="_AMO_ContentLocation_356642672__A1.1" hidden="1">"'&lt;param n=""DataColCount"" v=""1""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ContentLocation_388544619__A1" hidden="1">"'Partitions:3'"</definedName>
    <definedName name="_AMO_ContentLocation_388544619__A1.0" hidden="1">"'&lt;ContentLocation path=""A1"" rsid=""388544619"" tag="""" fid=""0""&gt;&lt;param n=""VarSelStateFlag"" v=""1"" /&gt;&lt;param n=""VarCount"" v=""4"" /&gt;&lt;param n=""DataInfo"" v=""false"" /&gt;&lt;param n=""ObsColumn"" v=""false"" /&gt;&lt;param n=""DataRowCount"" v=""5"" /&gt;'"</definedName>
    <definedName name="_AMO_ContentLocation_388544619__A1.1" hidden="1">"'&lt;param n=""DataColCount"" v=""4"" /&gt;&lt;param n=""SASDataState"" v=""none"" /&gt;&lt;param n=""SASDataStart"" v=""1"" /&gt;&lt;param n=""SASDataEnd"" v=""4"" /&gt;&lt;param n=""SASFilter"" v=""elc_country='JP' and brand='BB' and channel='RETL' and contactinformation like'"</definedName>
    <definedName name="_AMO_ContentLocation_388544619__A1.2" hidden="1">"' '%JP%'"" /&gt;&lt;/ContentLocation&gt;'"</definedName>
    <definedName name="_AMO_ContentLocation_43577925__A1" hidden="1">"'Partitions:2'"</definedName>
    <definedName name="_AMO_ContentLocation_43577925__A1.0" hidden="1">"'&lt;ContentLocation path=""A1"" rsid=""43577925"" tag="""" fid=""0""&gt;&lt;param n=""VarSelStateFlag"" v=""1"" /&gt;&lt;param n=""VarCount"" v=""3"" /&gt;&lt;param n=""DataInfo"" v=""false"" /&gt;&lt;param n=""ObsColumn"" v=""false"" /&gt;&lt;param n=""DataRowCount"" v=""26"" /&gt;'"</definedName>
    <definedName name="_AMO_ContentLocation_43577925__A1.1" hidden="1">"'&lt;param n=""DataColCount"" v=""3"" /&gt;&lt;param n=""SASDataState"" v=""none"" /&gt;&lt;param n=""SASDataStart"" v=""1"" /&gt;&lt;param n=""SASDataEnd"" v=""25"" /&gt;&lt;param n=""SASFilter"" v=""elc_country='JP' and brand='BB' and channel='RETL'"" /&gt;&lt;/ContentLocation&gt;'"</definedName>
    <definedName name="_AMO_ContentLocation_525496189__A1" hidden="1">"'Partitions:2'"</definedName>
    <definedName name="_AMO_ContentLocation_525496189__A1.0" hidden="1">"'&lt;ContentLocation path=""A1"" rsid=""525496189"" tag="""" fid=""0""&gt;&lt;param n=""VarSelStateFlag"" v=""1"" /&gt;&lt;param n=""VarCount"" v=""10"" /&gt;&lt;param n=""DataInfo"" v=""false"" /&gt;&lt;param n=""ObsColumn"" v=""false"" /&gt;&lt;param n=""DataRowCount"" v=""12"" '"</definedName>
    <definedName name="_AMO_ContentLocation_525496189__A1.1" hidden="1">"'/&gt;&lt;param n=""DataColCount"" v=""10"" /&gt;&lt;param n=""SASDataState"" v=""none"" /&gt;&lt;param n=""SASDataStart"" v=""1"" /&gt;&lt;param n=""SASDataEnd"" v=""11"" /&gt;&lt;param n=""SASFilter"" v=""elc_country='JP' and brand='BB' and channel='RETL'"" /&gt;&lt;/ContentLocation&gt;'"</definedName>
    <definedName name="_AMO_ContentLocation_573259020__A1" hidden="1">"'Partitions:2'"</definedName>
    <definedName name="_AMO_ContentLocation_573259020__A1.0" hidden="1">"'&lt;ContentLocation path=""A1"" rsid=""573259020"" tag="""" fid=""0""&gt;&lt;param n=""VarSelStateFlag"" v=""1"" /&gt;&lt;param n=""VarCount"" v=""5"" /&gt;&lt;param n=""DataInfo"" v=""false"" /&gt;&lt;param n=""ObsColumn"" v=""false"" /&gt;&lt;param n=""DataRowCount"" v=""2"" /&gt;'"</definedName>
    <definedName name="_AMO_ContentLocation_573259020__A1.1" hidden="1">"'&lt;param n=""DataColCount"" v=""5""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ContentLocation_641051926__A1" hidden="1">"'Partitions:3'"</definedName>
    <definedName name="_AMO_ContentLocation_641051926__A1.0" hidden="1">"'&lt;ContentLocation path=""A1"" rsid=""641051926"" tag="""" fid=""0""&gt;&lt;param n=""VarSelStateFlag"" v=""1"" /&gt;&lt;param n=""VarCount"" v=""4"" /&gt;&lt;param n=""DataInfo"" v=""false"" /&gt;&lt;param n=""ObsColumn"" v=""false"" /&gt;&lt;param n=""DataRowCount"" v=""5"" /&gt;'"</definedName>
    <definedName name="_AMO_ContentLocation_641051926__A1.1" hidden="1">"'&lt;param n=""DataColCount"" v=""4"" /&gt;&lt;param n=""SASDataState"" v=""none"" /&gt;&lt;param n=""SASDataStart"" v=""1"" /&gt;&lt;param n=""SASDataEnd"" v=""4"" /&gt;&lt;param n=""SASFilter"" v=""elc_country='JP' and brand='BB' and channel='RETL' and contactinformation like'"</definedName>
    <definedName name="_AMO_ContentLocation_641051926__A1.2" hidden="1">"' '%JP%'"" /&gt;&lt;/ContentLocation&gt;'"</definedName>
    <definedName name="_AMO_ContentLocation_762475362__A1" hidden="1">"'Partitions:2'"</definedName>
    <definedName name="_AMO_ContentLocation_762475362__A1.0" hidden="1">"'&lt;ContentLocation path=""A1"" rsid=""762475362"" tag="""" fid=""0""&gt;&lt;param n=""VarSelStateFlag"" v=""1"" /&gt;&lt;param n=""VarCount"" v=""8"" /&gt;&lt;param n=""DataInfo"" v=""false"" /&gt;&lt;param n=""ObsColumn"" v=""false"" /&gt;&lt;param n=""DataRowCount"" v=""3"" /&gt;'"</definedName>
    <definedName name="_AMO_ContentLocation_762475362__A1.1" hidden="1">"'&lt;param n=""DataColCount"" v=""8"" /&gt;&lt;param n=""SASDataState"" v=""none"" /&gt;&lt;param n=""SASDataStart"" v=""1"" /&gt;&lt;param n=""SASDataEnd"" v=""2"" /&gt;&lt;param n=""SASFilter"" v=""elc_country='JP' and brand='BB' and channel='RETL'"" /&gt;&lt;/ContentLocation&gt;'"</definedName>
    <definedName name="_AMO_ContentLocation_992745332__A1" hidden="1">"'Partitions:2'"</definedName>
    <definedName name="_AMO_ContentLocation_992745332__A1.0" hidden="1">"'&lt;ContentLocation path=""A1"" rsid=""992745332"" tag="""" fid=""0""&gt;&lt;param n=""VarSelStateFlag"" v=""1"" /&gt;&lt;param n=""VarCount"" v=""11"" /&gt;&lt;param n=""DataInfo"" v=""false"" /&gt;&lt;param n=""ObsColumn"" v=""false"" /&gt;&lt;param n=""DataRowCount"" v=""5"" /'"</definedName>
    <definedName name="_AMO_ContentLocation_992745332__A1.1" hidden="1">"'&gt;&lt;param n=""DataColCount"" v=""11"" /&gt;&lt;param n=""SASDataState"" v=""none"" /&gt;&lt;param n=""SASDataStart"" v=""1"" /&gt;&lt;param n=""SASDataEnd"" v=""4"" /&gt;&lt;param n=""SASFilter"" v=""elc_country='JP' and brand='BB' and channel='RETL'"" /&gt;&lt;/ContentLocation&gt;'"</definedName>
    <definedName name="_AMO_ContentLocation_999840165__A1" hidden="1">"'Partitions:2'"</definedName>
    <definedName name="_AMO_ContentLocation_999840165__A1.0" hidden="1">"'&lt;ContentLocation path=""A1"" rsid=""999840165"" tag="""" fid=""0""&gt;&lt;param n=""VarSelStateFlag"" v=""1"" /&gt;&lt;param n=""VarCount"" v=""7"" /&gt;&lt;param n=""DataInfo"" v=""false"" /&gt;&lt;param n=""ObsColumn"" v=""false"" /&gt;&lt;param n=""DataRowCount"" v=""2"" /&gt;'"</definedName>
    <definedName name="_AMO_ContentLocation_999840165__A1.1" hidden="1">"'&lt;param n=""DataColCount"" v=""7""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RefreshMultipleList" hidden="1">"'573259020 356642672 388544619 992745332 120537796 999840165 641051926 525496189 762475362 43577925'"</definedName>
    <definedName name="_AMO_RefreshMultipleList.0" hidden="1">"'725871221 31718858 687061927 633595638 149061408 227088334 576895571 923817804 700415427 442228355 905538429 942925916 513725699 405231239 318478557 661488854 873892052 24496982 867678097 55901972 708363232 57382597 454719222 933851611 576747075 78512'"</definedName>
    <definedName name="_AMO_RefreshMultipleList.1" hidden="1">"'0069 747190598 673576837 972330609 139272655 616032905 249677082 104210780 157742816 273529566 297887811 414036721 434180196 440171473 46812520 525841824 539256875 626341356 633964728 677994267 767337025 895931822 898858127 904577730 990058335 3816086'"</definedName>
    <definedName name="_AMO_RefreshMultipleList.2" hidden="1">"'24'"</definedName>
    <definedName name="_AMO_SingleObject_120537796__A1" hidden="1">#REF!</definedName>
    <definedName name="_AMO_SingleObject_356642672__A1" hidden="1">#REF!</definedName>
    <definedName name="_AMO_SingleObject_388544619__A1" hidden="1">#REF!</definedName>
    <definedName name="_AMO_SingleObject_43577925__A1" hidden="1">#REF!</definedName>
    <definedName name="_AMO_SingleObject_525496189__A1" hidden="1">#REF!</definedName>
    <definedName name="_AMO_SingleObject_573259020__A1" hidden="1">#REF!</definedName>
    <definedName name="_AMO_SingleObject_641051926__A1" hidden="1">#REF!</definedName>
    <definedName name="_AMO_SingleObject_762475362__A1" hidden="1">#REF!</definedName>
    <definedName name="_AMO_SingleObject_992745332__A1" hidden="1">#REF!</definedName>
    <definedName name="_AMO_SingleObject_999840165__A1" hidden="1">#REF!</definedName>
    <definedName name="_AMO_XmlVersion" hidden="1">"'1'"</definedName>
    <definedName name="_aug2">#REF!</definedName>
    <definedName name="_b1">#REF!</definedName>
    <definedName name="_bcd2">#REF!</definedName>
    <definedName name="_bdm.04FB7EA7E6C7456F893E5EEEE6AD03CF.edm" hidden="1">#REF!</definedName>
    <definedName name="_bdm.060f569d2e964f8cb7f411f9453e3182.edm" hidden="1">#REF!</definedName>
    <definedName name="_bdm.0688C6E3626848A796EF472422F099CF.edm" hidden="1">#REF!</definedName>
    <definedName name="_bdm.09A6845117EC46DB8BB4D848DDA20465.edm" hidden="1">#REF!</definedName>
    <definedName name="_bdm.10a91029ffd4419bac1442d3848e26b1.edm" hidden="1">#REF!</definedName>
    <definedName name="_bdm.14edcc538bfc4980bf3f391101095f87.edm" hidden="1">#REF!</definedName>
    <definedName name="_bdm.199094e3cb034b03ae3de15097c805ab.edm" hidden="1">#REF!</definedName>
    <definedName name="_bdm.1C0E89F212E74A6FBCDD8531195D8F79.edm" hidden="1">#REF!</definedName>
    <definedName name="_bdm.1CB02684A4B44BDD8E34DEA9DAB895CF.edm" hidden="1">#REF!</definedName>
    <definedName name="_bdm.2C7FF78BDAA8406DBE3635808A625416.edm" hidden="1">#REF!</definedName>
    <definedName name="_bdm.32f3d9981ee84ad2a3da4c159a43bf43.edm" hidden="1">#REF!</definedName>
    <definedName name="_bdm.3356BBBFFBC34C26877281CEFDC451D0.edm" hidden="1">#REF!</definedName>
    <definedName name="_bdm.3769BA5563374F5BBBDA120EDD1DE8FA.edm" hidden="1">#REF!</definedName>
    <definedName name="_bdm.38b8831b9226468a98481fd186326cca.edm" hidden="1">#REF!</definedName>
    <definedName name="_bdm.390FC8BE41724A2098BA93741FBB4B3F.edm" hidden="1">#REF!</definedName>
    <definedName name="_bdm.3e66ce27d2684572919a01b5343024a3.edm" hidden="1">#REF!</definedName>
    <definedName name="_bdm.4437ff5bf57d4767832960aef8f44c66.edm" hidden="1">#REF!</definedName>
    <definedName name="_bdm.47FC673A62A745A08AB82DC1FC63A3DE.edm" hidden="1">#REF!</definedName>
    <definedName name="_bdm.4897F971AD044E68AE19EF67F507282B.edm" hidden="1">#REF!</definedName>
    <definedName name="_bdm.496b2712843e4e25b2af38d8f180f3ba.edm" hidden="1">#REF!</definedName>
    <definedName name="_bdm.497EC5CF04E94F47AE7D3E05B6E1C7D4.edm" hidden="1">#REF!</definedName>
    <definedName name="_bdm.4CEBE2F30B9041E4AEF2FD067EEE3D2C.edm" hidden="1">#REF!</definedName>
    <definedName name="_bdm.4ee97873feec4cdb9e39ebf369848a51.edm" hidden="1">#REF!</definedName>
    <definedName name="_bdm.5509E8CF020C434D9CE64B9B9EEC273D.edm" hidden="1">#REF!</definedName>
    <definedName name="_bdm.65f02a4c739f406fbe055d21736c1da8.edm" hidden="1">#REF!</definedName>
    <definedName name="_bdm.6F0A02E26B694245B904E95506AC44AB.edm" hidden="1">#REF!</definedName>
    <definedName name="_bdm.6FA0DDF4728B43F58CA0CEEB081393EC.edm" hidden="1">#REF!</definedName>
    <definedName name="_bdm.757692ED70744E179670FCBE40A99D6C.edm" hidden="1">#REF!</definedName>
    <definedName name="_bdm.75b3bb86679d4adbb083b8c11e531158.edm" hidden="1">#REF!</definedName>
    <definedName name="_bdm.786284C255F4428187EDE2B29C95F77D.edm" hidden="1">#REF!</definedName>
    <definedName name="_bdm.815069d351924f939af171c04e7e5cc1.edm" hidden="1">#REF!</definedName>
    <definedName name="_bdm.879F8C3B3EFC4778B24E524031FF6937.edm" hidden="1">#REF!</definedName>
    <definedName name="_bdm.88DDECF89ECE446A8E945F0DFCD822AE.edm" hidden="1">#REF!</definedName>
    <definedName name="_bdm.906fd7cbab704c5492e181a1eb271c5e.edm" hidden="1">#REF!</definedName>
    <definedName name="_bdm.9b34240894464e279d4d03fc6428db80.edm" hidden="1">#REF!</definedName>
    <definedName name="_bdm.a426534efdc3440a8ad15ef5f3ca5b79.edm" hidden="1">#REF!</definedName>
    <definedName name="_bdm.aab54dc576f8405d99dec5f847759202.edm" hidden="1">#REF!</definedName>
    <definedName name="_bdm.aacf3da036ab418d95460fd8f1432900.edm" hidden="1">#REF!</definedName>
    <definedName name="_bdm.AC687BE7ABC14425891F5802C41DB286.edm" hidden="1">#REF!</definedName>
    <definedName name="_bdm.AE644AA3EBDB4AC893A9FE49A4B68FA8.edm" hidden="1">#REF!</definedName>
    <definedName name="_bdm.AEAD5C740F674C838A3C51AC3B3CACCD.edm" hidden="1">#REF!</definedName>
    <definedName name="_bdm.b032ebcb5bfe47368b2460b3f36b5e94.edm" hidden="1">#REF!</definedName>
    <definedName name="_bdm.B2F31030F8F14443970C0AEBF4D261A1.edm" hidden="1">#REF!</definedName>
    <definedName name="_bdm.B6DA67A6DE574FD29ABB1A62D4715A07.edm" hidden="1">#REF!</definedName>
    <definedName name="_bdm.B97CA7243DE84D8DBD9B3D855565DD86.edm" hidden="1">#REF!</definedName>
    <definedName name="_bdm.c02c17f76b0843f7b0bdc140e9246d44.edm" hidden="1">#REF!</definedName>
    <definedName name="_bdm.C2F3E42E36C144C8ABC6CCF04136380F.edm" hidden="1">#REF!</definedName>
    <definedName name="_bdm.CB9B7D467AE3406ABCFC3C4F24B1BBC3.edm" hidden="1">#REF!</definedName>
    <definedName name="_bdm.CD5656127DF143C6AC6CD7D6FD144C65.edm" hidden="1">#REF!</definedName>
    <definedName name="_bdm.D1BDC858E14F4518863D59F210C54751.edm" hidden="1">#REF!</definedName>
    <definedName name="_bdm.d9591aa2edd644c5a7d99521db1e2994.edm" hidden="1">#REF!</definedName>
    <definedName name="_bdm.e3680b40a6704794a625d625ba6abb23.edm" hidden="1">#REF!</definedName>
    <definedName name="_bdm.E4E3B48249004DEEAFB5C8077CFD0854.edm" hidden="1">#REF!</definedName>
    <definedName name="_bdm.ec0d2bc171c546b38c5046817c44fd86.edm" hidden="1">#REF!</definedName>
    <definedName name="_bdm.EEAD2AB7E0EE4902B88D4B21195E6E57.edm" hidden="1">#REF!</definedName>
    <definedName name="_bdm.f18703e177404409b33164dfe6576de9.edm" hidden="1">#REF!</definedName>
    <definedName name="_bdm.F86512F18F68467FA949D70B4F6BE619.edm" hidden="1">#REF!</definedName>
    <definedName name="_BQ4.1" hidden="1">#REF!</definedName>
    <definedName name="_BQ4.2" hidden="1">#REF!</definedName>
    <definedName name="_cat2">#REF!</definedName>
    <definedName name="_cpc1">#REF!</definedName>
    <definedName name="_cpc2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c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df6" hidden="1">{"'Matrix'!$A$3:$J$47"}</definedName>
    <definedName name="_Fill" hidden="1">#REF!</definedName>
    <definedName name="_xlnm._FilterDatabase" hidden="1">#REF!</definedName>
    <definedName name="_gf4">#REF!</definedName>
    <definedName name="_GSRATES_1" hidden="1">"CF300001Latest  20000630"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COUNT" hidden="1">1</definedName>
    <definedName name="_gwk5">#REF!</definedName>
    <definedName name="_gwk55">#REF!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J1">#REF!</definedName>
    <definedName name="_JJ33">#REF!</definedName>
    <definedName name="_jzr1">#REF!</definedName>
    <definedName name="_kathainahdke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lg1">#REF!</definedName>
    <definedName name="_lg2">#REF!</definedName>
    <definedName name="_LL1714">#REF!</definedName>
    <definedName name="_Mkt2">#REF!</definedName>
    <definedName name="_moo2">#REF!</definedName>
    <definedName name="_MR1">#REF!</definedName>
    <definedName name="_new1">#REF!</definedName>
    <definedName name="_New2" hidden="1">{"ELUSA",#N/A,FALSE,"EL"}</definedName>
    <definedName name="_NOD1">#REF!</definedName>
    <definedName name="_NS2">#REF!</definedName>
    <definedName name="_nyu1">#REF!</definedName>
    <definedName name="_OI2">#REF!</definedName>
    <definedName name="_Order1" hidden="1">255</definedName>
    <definedName name="_Order2" hidden="1">255</definedName>
    <definedName name="_owk5">#REF!</definedName>
    <definedName name="_Parse_In" hidden="1">#REF!</definedName>
    <definedName name="_Parse_Out" hidden="1">#REF!</definedName>
    <definedName name="_pg1">#REF!</definedName>
    <definedName name="_pg21">#REF!</definedName>
    <definedName name="_pg3">#REF!</definedName>
    <definedName name="_pg5">#REF!</definedName>
    <definedName name="_pj1">#REF!</definedName>
    <definedName name="_q01_capacity_issue">#REF!</definedName>
    <definedName name="_q1">#REF!</definedName>
    <definedName name="_q2" hidden="1">#REF!</definedName>
    <definedName name="_q3" hidden="1">#REF!</definedName>
    <definedName name="_qp8">#REF!</definedName>
    <definedName name="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Regression_Int">1</definedName>
    <definedName name="_Regression_X" hidden="1">#REF!</definedName>
    <definedName name="_Row1">#REF!</definedName>
    <definedName name="_row2">#REF!</definedName>
    <definedName name="_s">#REF!</definedName>
    <definedName name="_SAU42">#REF!</definedName>
    <definedName name="_SAU63">#REF!</definedName>
    <definedName name="_SAU70">#REF!</definedName>
    <definedName name="_Sort" hidden="1">#REF!</definedName>
    <definedName name="_spd1">#REF!</definedName>
    <definedName name="_SRS1">#REF!</definedName>
    <definedName name="_SRS2">#REF!</definedName>
    <definedName name="_SY1">#N/A</definedName>
    <definedName name="_t1" hidden="1">#REF!</definedName>
    <definedName name="_Tab1">#N/A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bl1">#REF!</definedName>
    <definedName name="_tj1">#REF!</definedName>
    <definedName name="_tj2">#REF!</definedName>
    <definedName name="_tj3">#REF!</definedName>
    <definedName name="_tj4">#REF!</definedName>
    <definedName name="_top25">#REF!</definedName>
    <definedName name="_TOT1">#REF!</definedName>
    <definedName name="_TOT2">#REF!</definedName>
    <definedName name="_TOT3">#REF!</definedName>
    <definedName name="_TOT4">#REF!</definedName>
    <definedName name="_UNDO_UPS_" hidden="1">#REF!</definedName>
    <definedName name="_UNDO31X31X_" hidden="1">#REF!</definedName>
    <definedName name="_xlcn.WorksheetConnection_数据源数云AS1" hidden="1">#REF!</definedName>
    <definedName name="_xlcn.WorksheetConnection_数云订单AS1" hidden="1">#REF!</definedName>
    <definedName name="_xlcn.WorksheetConnection_数云订单AS11" hidden="1">#REF!</definedName>
    <definedName name="_xlcn.WorksheetConnection_数云订单BP1" hidden="1">#REF!</definedName>
    <definedName name="_xlcn.WorksheetConnection_数云订单数据BT1" hidden="1">#REF!</definedName>
    <definedName name="_xlcn.WorksheetConnection_现货数据源数云AS1" hidden="1">#REF!</definedName>
    <definedName name="_YS001">#REF!</definedName>
    <definedName name="_YS002">#REF!</definedName>
    <definedName name="_z2">#REF!</definedName>
    <definedName name="_zh1">#REF!</definedName>
    <definedName name="_ZZ28">#REF!</definedName>
    <definedName name="_ZZ36234">#REF!</definedName>
    <definedName name="_查询1">#REF!</definedName>
    <definedName name="·">#REF!</definedName>
    <definedName name="a">#REF!</definedName>
    <definedName name="a1.">#REF!</definedName>
    <definedName name="A1_">#REF!</definedName>
    <definedName name="A10_">#REF!</definedName>
    <definedName name="A11_">#REF!</definedName>
    <definedName name="A12_">#REF!</definedName>
    <definedName name="a1222233cccc6ff">#REF!</definedName>
    <definedName name="A13_">#REF!</definedName>
    <definedName name="A14_">#REF!</definedName>
    <definedName name="A15_">#REF!</definedName>
    <definedName name="A16_">#REF!</definedName>
    <definedName name="A17_">#REF!</definedName>
    <definedName name="A18_">#REF!</definedName>
    <definedName name="A19_">#REF!</definedName>
    <definedName name="a1F43">#REF!</definedName>
    <definedName name="A1IE438">#REF!</definedName>
    <definedName name="a2.">#REF!</definedName>
    <definedName name="A2_">#REF!</definedName>
    <definedName name="A20_">#REF!</definedName>
    <definedName name="A21_">#REF!</definedName>
    <definedName name="A22_">#REF!</definedName>
    <definedName name="A23_">#REF!</definedName>
    <definedName name="A24_">#REF!</definedName>
    <definedName name="A25_">#REF!</definedName>
    <definedName name="A26_">#REF!</definedName>
    <definedName name="A27_">#REF!</definedName>
    <definedName name="A28_">#REF!</definedName>
    <definedName name="A29_">#REF!</definedName>
    <definedName name="A3_">#REF!</definedName>
    <definedName name="A30_">#REF!</definedName>
    <definedName name="A31_">#REF!</definedName>
    <definedName name="A34_">#REF!</definedName>
    <definedName name="A35_">#REF!</definedName>
    <definedName name="A36_">#REF!</definedName>
    <definedName name="A4_">#REF!</definedName>
    <definedName name="a5.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aaa">#REF!</definedName>
    <definedName name="aaa_Aaa">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">#REF!</definedName>
    <definedName name="aaaaaaa">#REF!</definedName>
    <definedName name="aaaaaaaaaaaaa">#REF!</definedName>
    <definedName name="aaaaaaaaaaaaaaaa" hidden="1">{#N/A,#N/A,FALSE,"intl comb";#N/A,#N/A,FALSE,"el intl";#N/A,#N/A,FALSE,"cl intl ";#N/A,#N/A,FALSE,"px intl ";#N/A,#N/A,FALSE,"ar intl ";#N/A,#N/A,FALSE,"or intl  ";#N/A,#N/A,FALSE,"adj intl  "}</definedName>
    <definedName name="aaaaaaaaaaaaaaaaa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C">#REF!</definedName>
    <definedName name="aac">#REF!</definedName>
    <definedName name="aai">#REF!</definedName>
    <definedName name="ab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bang">#REF!</definedName>
    <definedName name="abc">#N/A</definedName>
    <definedName name="ABCD">#REF!</definedName>
    <definedName name="above">#REF!</definedName>
    <definedName name="ac">#REF!</definedName>
    <definedName name="aca">#REF!</definedName>
    <definedName name="Accepted_Media_Types">#REF!</definedName>
    <definedName name="Account">#REF!</definedName>
    <definedName name="Account_Hyp">#REF!</definedName>
    <definedName name="Account_Name">#REF!</definedName>
    <definedName name="Account_Number">#REF!</definedName>
    <definedName name="AccountsList">#REF!</definedName>
    <definedName name="Acct">#REF!</definedName>
    <definedName name="ACCT.BOI">#REF!</definedName>
    <definedName name="ACCT.DATA">#REF!</definedName>
    <definedName name="ACCT.NOP">#REF!</definedName>
    <definedName name="ACCT.NS">#REF!</definedName>
    <definedName name="ACCT.OPEX">#REF!</definedName>
    <definedName name="ACCT.SEL">#REF!</definedName>
    <definedName name="ACCT.SELREG">#REF!</definedName>
    <definedName name="ACCT_25LINE">#REF!</definedName>
    <definedName name="ACCT_25LINE_ONLINE">#REF!</definedName>
    <definedName name="acct2">#REF!</definedName>
    <definedName name="acctEcHc">#REF!</definedName>
    <definedName name="AcctPL">#REF!</definedName>
    <definedName name="AcctReg">#REF!</definedName>
    <definedName name="ACCTS.PL">#REF!</definedName>
    <definedName name="ACD">#REF!</definedName>
    <definedName name="Act">#REF!</definedName>
    <definedName name="act.est">#REF!</definedName>
    <definedName name="act.hist">#REF!</definedName>
    <definedName name="ActAreaOvh">#REF!</definedName>
    <definedName name="ActAreaOvh2">#REF!</definedName>
    <definedName name="ActAreaOvhYTD">#REF!</definedName>
    <definedName name="ActGA">#REF!</definedName>
    <definedName name="ACTGA1">#REF!</definedName>
    <definedName name="ACTGA2">#REF!</definedName>
    <definedName name="ACTGA3">#REF!</definedName>
    <definedName name="ACTGA4">#REF!</definedName>
    <definedName name="ACTGAT">#REF!</definedName>
    <definedName name="ACTGrossAdds">#REF!</definedName>
    <definedName name="Action">#REF!</definedName>
    <definedName name="ACTIVECUSTOMER">#REF!</definedName>
    <definedName name="ActSvc">#REF!</definedName>
    <definedName name="ActSvcCtrCM">#REF!</definedName>
    <definedName name="ActSvcCtrYTD">#REF!</definedName>
    <definedName name="ActualsDB">#REF!</definedName>
    <definedName name="ActualsLegal">#REF!</definedName>
    <definedName name="ActualsProject">#REF!</definedName>
    <definedName name="ActualsSource">#REF!</definedName>
    <definedName name="ActualsThru">#REF!</definedName>
    <definedName name="ActualsVersion">#REF!</definedName>
    <definedName name="ActvityTypeRange">#REF!</definedName>
    <definedName name="ad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_Dimensions">#REF!</definedName>
    <definedName name="Ad_Format">#REF!</definedName>
    <definedName name="Ad_Tag">#REF!</definedName>
    <definedName name="Ad_Unit">#REF!</definedName>
    <definedName name="Ad_Units_2">#REF!</definedName>
    <definedName name="add">#REF!</definedName>
    <definedName name="added">#REF!</definedName>
    <definedName name="ADDER.1">#REF!</definedName>
    <definedName name="addg" hidden="1">{#N/A,#N/A,FALSE,"CBE";#N/A,#N/A,FALSE,"SWK"}</definedName>
    <definedName name="ADE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asd">#REF!</definedName>
    <definedName name="adetorial">#REF!</definedName>
    <definedName name="ADETRUIRE" hidden="1">{#N/A,#N/A,TRUE,"Forecast &amp; Analysis";#N/A,#N/A,TRUE,"Market Values";#N/A,#N/A,TRUE,"Ratios";#N/A,#N/A,TRUE,"Regressions";#N/A,#N/A,TRUE,"Market Values";#N/A,#N/A,TRUE,"Parameters &amp; Results"}</definedName>
    <definedName name="adf" hidden="1">{#N/A,#N/A,FALSE,"CHANGES";#N/A,#N/A,FALSE,"PROD SUMMARY";#N/A,#N/A,FALSE,"1995 PO SUM";#N/A,#N/A,FALSE,"1995 GEOG SUM";#N/A,#N/A,FALSE,"1996 PO SUM";#N/A,#N/A,FALSE,"1996 GEOG SUM"}</definedName>
    <definedName name="ADGD">#REF!</definedName>
    <definedName name="aditorial">#REF!</definedName>
    <definedName name="Admin">#REF!</definedName>
    <definedName name="AdPlacements">#REF!</definedName>
    <definedName name="AdServer">#REF!</definedName>
    <definedName name="AdUnits">#REF!</definedName>
    <definedName name="Advertiser_Code">#REF!</definedName>
    <definedName name="Advertising">#REF!</definedName>
    <definedName name="advertoial">#REF!</definedName>
    <definedName name="Advertorial">#REF!</definedName>
    <definedName name="adz">[0]!adz</definedName>
    <definedName name="Aere2">#REF!</definedName>
    <definedName name="af" hidden="1">#REF!</definedName>
    <definedName name="aff">#REF!</definedName>
    <definedName name="Aff_data">#REF!</definedName>
    <definedName name="Aff_Match">#REF!</definedName>
    <definedName name="Aff_Title">#REF!</definedName>
    <definedName name="Affiliate.markup.toggle">#REF!</definedName>
    <definedName name="Affiliate.Scenarios">#REF!</definedName>
    <definedName name="affiliate.toggle">#REF!</definedName>
    <definedName name="Affiliates">#REF!</definedName>
    <definedName name="Affluent">#REF!</definedName>
    <definedName name="Afford_for_who">#REF!</definedName>
    <definedName name="Affordability___for_selected_MBU">#REF!</definedName>
    <definedName name="again">#REF!</definedName>
    <definedName name="AGE">#REF!</definedName>
    <definedName name="Agency_Name">#REF!</definedName>
    <definedName name="AGENCYCOMMISSION">#REF!</definedName>
    <definedName name="AgencySignatureDate">#REF!</definedName>
    <definedName name="AGENDA">#N/A</definedName>
    <definedName name="AggCostMethodNames">#REF!</definedName>
    <definedName name="AggCostMethodNamesCPM">#REF!</definedName>
    <definedName name="AggCostMethodNamesOther">#REF!</definedName>
    <definedName name="AggCreativeCategoryNames">#REF!</definedName>
    <definedName name="AggCreativeSizeNames">#REF!</definedName>
    <definedName name="AggCreativeSizeNamesCPM">#REF!</definedName>
    <definedName name="AggCreativeSizeNamesOther">#REF!</definedName>
    <definedName name="AggCreativeTypeNames">#REF!</definedName>
    <definedName name="AggCreativeTypeNamesOther">#REF!</definedName>
    <definedName name="AggPlacementGenre">#REF!</definedName>
    <definedName name="AggPlacementGenreCPM">#REF!</definedName>
    <definedName name="AggPlacementGenreNames">#REF!</definedName>
    <definedName name="AggPlacementGenreNamesCPM">#REF!</definedName>
    <definedName name="AggPlacementGenreNamesOther">#REF!</definedName>
    <definedName name="AggPlacementGenreOther">#REF!</definedName>
    <definedName name="AggPlacementNames">#REF!</definedName>
    <definedName name="AggPlacementNamesCPM">#REF!</definedName>
    <definedName name="AggPlacementNamesOther">#REF!</definedName>
    <definedName name="AggPlacementTypeNames">#REF!</definedName>
    <definedName name="AggRichMediaTypeNames">#REF!</definedName>
    <definedName name="AggSiteGenreNames">#REF!</definedName>
    <definedName name="AggSiteGenreNamesCPM">#REF!</definedName>
    <definedName name="AggSiteGenreNamesOther">#REF!</definedName>
    <definedName name="AggSiteNames">#REF!</definedName>
    <definedName name="AggSiteNamesCPM">#REF!</definedName>
    <definedName name="AggSiteNamesOther">#REF!</definedName>
    <definedName name="ahaf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hoo">#REF!</definedName>
    <definedName name="aji">#REF!</definedName>
    <definedName name="ake">#REF!</definedName>
    <definedName name="akhd">#REF!</definedName>
    <definedName name="akk">#REF!</definedName>
    <definedName name="aklsjdfkl" hidden="1">#REF!</definedName>
    <definedName name="ALCTotal">#REF!</definedName>
    <definedName name="alert">#REF!</definedName>
    <definedName name="ALL">#REF!</definedName>
    <definedName name="all_print">#REF!</definedName>
    <definedName name="alpha" hidden="1">{#N/A,#N/A,FALSE,"CHANGES";#N/A,#N/A,FALSE,"PROD SUMMARY";#N/A,#N/A,FALSE,"1995 PO SUM";#N/A,#N/A,FALSE,"1995 GEOG SUM";#N/A,#N/A,FALSE,"1996 PO SUM";#N/A,#N/A,FALSE,"1996 GEOG SUM"}</definedName>
    <definedName name="Alt_Text">#REF!</definedName>
    <definedName name="am" hidden="1">{#N/A,#N/A,FALSE,"intl comb";#N/A,#N/A,FALSE,"el intl";#N/A,#N/A,FALSE,"cl intl ";#N/A,#N/A,FALSE,"px intl ";#N/A,#N/A,FALSE,"ar intl ";#N/A,#N/A,FALSE,"or intl  ";#N/A,#N/A,FALSE,"adj intl  "}</definedName>
    <definedName name="amanda">#REF!</definedName>
    <definedName name="ammount">#REF!</definedName>
    <definedName name="Amount">#REF!</definedName>
    <definedName name="anf">#REF!</definedName>
    <definedName name="anna" hidden="1">{"Area1",#N/A,TRUE,"Obiettivo";"Area2",#N/A,TRUE,"Dati per Direzione"}</definedName>
    <definedName name="anscount" hidden="1">1</definedName>
    <definedName name="ANT.INF.">#REF!</definedName>
    <definedName name="AntalRader">#REF!</definedName>
    <definedName name="aol">#REF!</definedName>
    <definedName name="AOR">#REF!</definedName>
    <definedName name="AOR.desc">#REF!</definedName>
    <definedName name="AOR.INP">#REF!</definedName>
    <definedName name="APACReg">#REF!</definedName>
    <definedName name="APC.TOGGLE">#REF!</definedName>
    <definedName name="app">#REF!</definedName>
    <definedName name="appl">#REF!</definedName>
    <definedName name="APPL.1">#REF!</definedName>
    <definedName name="APPL.2">#REF!</definedName>
    <definedName name="appl2">#REF!</definedName>
    <definedName name="Application">#REF!</definedName>
    <definedName name="Apr">#REF!</definedName>
    <definedName name="Apr.2">#REF!</definedName>
    <definedName name="AprilBdgtHdct">#REF!</definedName>
    <definedName name="AprilHdct">#REF!</definedName>
    <definedName name="aq">#REF!</definedName>
    <definedName name="area">#REF!</definedName>
    <definedName name="Area_stampa_MI">#REF!</definedName>
    <definedName name="AreaOverhead">#REF!</definedName>
    <definedName name="Armani">#REF!</definedName>
    <definedName name="as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asd">#REF!</definedName>
    <definedName name="ASDF">#REF!</definedName>
    <definedName name="ASDFAS">#N/A</definedName>
    <definedName name="asdff" hidden="1">{#N/A,#N/A,FALSE,"CHANGES";#N/A,#N/A,FALSE,"PROD SUMMARY";#N/A,#N/A,FALSE,"1995 PO SUM";#N/A,#N/A,FALSE,"1995 GEOG SUM";#N/A,#N/A,FALSE,"1996 PO SUM";#N/A,#N/A,FALSE,"1996 GEOG SUM"}</definedName>
    <definedName name="asia">#REF!</definedName>
    <definedName name="Asiadiscontinued">#REF!</definedName>
    <definedName name="Asiapac">#REF!</definedName>
    <definedName name="ask">#REF!</definedName>
    <definedName name="askme">#REF!</definedName>
    <definedName name="ASOF">#REF!</definedName>
    <definedName name="ass">#REF!</definedName>
    <definedName name="Asset_Requirements">#REF!</definedName>
    <definedName name="Asset1">#REF!</definedName>
    <definedName name="ASSUMPS">#REF!</definedName>
    <definedName name="Assumptions">#REF!</definedName>
    <definedName name="AST">#REF!</definedName>
    <definedName name="asTTTTTTTTTTTTTTTT" hidden="1">{#N/A,#N/A,TRUE,"cover";#N/A,#N/A,TRUE,"Sales";#N/A,#N/A,TRUE,"Sales COGS"}</definedName>
    <definedName name="Atlas">#REF!</definedName>
    <definedName name="atry">#REF!</definedName>
    <definedName name="aty">#REF!</definedName>
    <definedName name="aug">#REF!</definedName>
    <definedName name="Aug.2">#REF!</definedName>
    <definedName name="august">#REF!</definedName>
    <definedName name="august2">#REF!</definedName>
    <definedName name="australianew">#REF!</definedName>
    <definedName name="Austria">#REF!</definedName>
    <definedName name="authorization">#REF!</definedName>
    <definedName name="avdd" hidden="1">{#N/A,#N/A,FALSE,"Calc";#N/A,#N/A,FALSE,"Sensitivity";#N/A,#N/A,FALSE,"LT Earn.Dil.";#N/A,#N/A,FALSE,"Dil. AVP"}</definedName>
    <definedName name="AVDecileGroupsLastYear">#REF!</definedName>
    <definedName name="AVDecileGroupsThisYear">#REF!</definedName>
    <definedName name="AVFCODecileGroupsLastYear">#REF!</definedName>
    <definedName name="AVFCODecileGroupsThisYear">#REF!</definedName>
    <definedName name="AVFCOPurchaseFrequencyLastYear">#REF!</definedName>
    <definedName name="AVFCOPurchaseFrequencyThisYear">#REF!</definedName>
    <definedName name="AVFCOTopBuyersLastYear">#REF!</definedName>
    <definedName name="AVFCOTopBuyersThisYear">#REF!</definedName>
    <definedName name="AVFCOValueBandLastYear">#REF!</definedName>
    <definedName name="AVFCOValueBandsThisYear">#REF!</definedName>
    <definedName name="AVFGA">#REF!</definedName>
    <definedName name="avg.sub.adj">#REF!</definedName>
    <definedName name="AvgStdSalServer">#REF!</definedName>
    <definedName name="AVP_Olsen">#REF!</definedName>
    <definedName name="AVP_Rapken">#REF!</definedName>
    <definedName name="AVP_Rollups">#REF!</definedName>
    <definedName name="AVP_Tracewell">#REF!</definedName>
    <definedName name="AVValueBandLastYear">#REF!</definedName>
    <definedName name="AVValueBandsThisYear">#REF!</definedName>
    <definedName name="AVWEBDecileGroupsLastYear">#REF!</definedName>
    <definedName name="AVWEBDecileGroupsThisYear">#REF!</definedName>
    <definedName name="AVWEBPurchaseFrequencyLastYear">#REF!</definedName>
    <definedName name="AVWEBPurchaseFrequencyThisYear">#REF!</definedName>
    <definedName name="AVWEBTopBuyersLastYear">#REF!</definedName>
    <definedName name="AVWEBTopBuyersThisYear">#REF!</definedName>
    <definedName name="AVWEBValueBandLastYear">#REF!</definedName>
    <definedName name="AVWEBValueBandsThisYear">#REF!</definedName>
    <definedName name="awsrfgd">#REF!</definedName>
    <definedName name="ax">#REF!</definedName>
    <definedName name="az">#REF!</definedName>
    <definedName name="azerty" hidden="1">#REF!</definedName>
    <definedName name="b">#REF!</definedName>
    <definedName name="b.est">#REF!</definedName>
    <definedName name="b.est.name">#REF!</definedName>
    <definedName name="b.est.qtr">#REF!</definedName>
    <definedName name="B2B">#REF!</definedName>
    <definedName name="BackFromLegend">#REF!</definedName>
    <definedName name="balance">#REF!</definedName>
    <definedName name="bandlist">#REF!</definedName>
    <definedName name="Banner_Format">#REF!</definedName>
    <definedName name="Base" hidden="1">{#N/A,#N/A,FALSE,"COMPWITH ";#N/A,#N/A,FALSE,"PROFORMA";#N/A,#N/A,FALSE,"COMPWO";#N/A,#N/A,FALSE,"LII";#N/A,#N/A,FALSE,"global";#N/A,#N/A,FALSE,"oio";#N/A,#N/A,FALSE,"dom comb";#N/A,#N/A,FALSE,"intl comb"}</definedName>
    <definedName name="Base_By_Frame">#REF!</definedName>
    <definedName name="Base_Pie">#REF!</definedName>
    <definedName name="Basecase">#REF!</definedName>
    <definedName name="BaseCost">#REF!</definedName>
    <definedName name="Basedata">#REF!</definedName>
    <definedName name="Baseline">#REF!</definedName>
    <definedName name="BaseRate">#REF!</definedName>
    <definedName name="basest">#REF!</definedName>
    <definedName name="basic">#REF!</definedName>
    <definedName name="bb">#REF!</definedName>
    <definedName name="BB_GSFYPLANDATA">#REF!</definedName>
    <definedName name="BB_GSFYPLANTIMEVIEW">#REF!</definedName>
    <definedName name="BB_GSYTDPLANDATA">#REF!</definedName>
    <definedName name="BB_GSYTDPLANTIMEVIEW">#REF!</definedName>
    <definedName name="BB_NSFYPLANDATA">#REF!</definedName>
    <definedName name="BB_NSFYPLANTIMEVIEW">#REF!</definedName>
    <definedName name="BB_NSYTDPLANDATA">#REF!</definedName>
    <definedName name="BB_NSYTDPLANTIMEVIEW">#REF!</definedName>
    <definedName name="BB_PLANAFF">#REF!</definedName>
    <definedName name="bbb">#N/A</definedName>
    <definedName name="BBB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BDecileGroupsLastYear">#REF!</definedName>
    <definedName name="BBDecileGroupsLastYear1">#REF!</definedName>
    <definedName name="BBDecileGroupsThisYear">#REF!</definedName>
    <definedName name="BBDecileGroupsThisYear1">#REF!</definedName>
    <definedName name="BBFCODecileGroupsLastYear">#REF!</definedName>
    <definedName name="BBFCODecileGroupsLastYear1">#REF!</definedName>
    <definedName name="BBFCODecileGroupsThisYear">#REF!</definedName>
    <definedName name="BBFCODecileGroupsThisYear1">#REF!</definedName>
    <definedName name="BBFCOPurchaseFrequencyLastYear">#REF!</definedName>
    <definedName name="BBFCOPurchaseFrequencyLastYear1">#REF!</definedName>
    <definedName name="BBFCOPurchaseFrequencyThisYear">#REF!</definedName>
    <definedName name="BBFCOPurchaseFrequencyThisYear1">#REF!</definedName>
    <definedName name="BBFCOTopBuyersThisYear">#REF!</definedName>
    <definedName name="BBFCOTopBuyersThisYear1">#REF!</definedName>
    <definedName name="BBFCOValueBandsThisYear">#REF!</definedName>
    <definedName name="BBFCOValueBandsThisYear1">#REF!</definedName>
    <definedName name="BBGSFYPLANDATA">#REF!</definedName>
    <definedName name="BBGSFYTIMEVIEW">#REF!</definedName>
    <definedName name="BBGSYTDPLANDATA">#REF!</definedName>
    <definedName name="BBGSYTDPLANTIMEVIEW">#REF!</definedName>
    <definedName name="BBH">#REF!</definedName>
    <definedName name="BBiniqueWEBDecileGroupsThisYear">#REF!</definedName>
    <definedName name="BBiniqueWEBDecileGroupsThisYear1">#REF!</definedName>
    <definedName name="BBiniqueWEBValueBandsThisYear">#REF!</definedName>
    <definedName name="BBiniqueWEBValueBandsThisYear1">#REF!</definedName>
    <definedName name="BBNSFYPLANDATA">#REF!</definedName>
    <definedName name="BBNSFYTIMEVIEW">#REF!</definedName>
    <definedName name="BBNSYTDPLANDATA">#REF!</definedName>
    <definedName name="BBNSYTDPLANTIMEVIEW">#REF!</definedName>
    <definedName name="BBPLANAFFF">#REF!</definedName>
    <definedName name="BBPurchaseFrequencyLastYear">#REF!</definedName>
    <definedName name="BBPurchaseFrequencyLastYear1">#REF!</definedName>
    <definedName name="BBPurchaseFrequencyThisYear">#REF!</definedName>
    <definedName name="BBPurchaseFrequencyThisYear1">#REF!</definedName>
    <definedName name="BBTopBuyersThisYear">#REF!</definedName>
    <definedName name="BBTopBuyersThisYear1">#REF!</definedName>
    <definedName name="BBValueBandsThisYear">#REF!</definedName>
    <definedName name="BBValueBandsThisYear1">#REF!</definedName>
    <definedName name="BBWEBDecileGroupsLastYear">#REF!</definedName>
    <definedName name="BBWEBDecileGroupsLastYear1">#REF!</definedName>
    <definedName name="BBWEBPurchaseFrequencyLastYear">#REF!</definedName>
    <definedName name="BBWEBPurchaseFrequencyLastYear1">#REF!</definedName>
    <definedName name="BBWEBPurchaseFrequencyThisYear">#REF!</definedName>
    <definedName name="BBWEBPurchaseFrequencyThisYear1">#REF!</definedName>
    <definedName name="BBWEBTopBuyersThisYear">#REF!</definedName>
    <definedName name="BBWEBTopBuyersThisYear1">#REF!</definedName>
    <definedName name="bc">#REF!</definedName>
    <definedName name="bcd">#REF!</definedName>
    <definedName name="BD">#REF!</definedName>
    <definedName name="BdgtTable">#REF!</definedName>
    <definedName name="beauty">#REF!</definedName>
    <definedName name="Bebe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dcrumb">#REF!</definedName>
    <definedName name="beijing">#REF!</definedName>
    <definedName name="below">#REF!</definedName>
    <definedName name="Benefits">#REF!</definedName>
    <definedName name="Benelux">#REF!</definedName>
    <definedName name="bet" hidden="1">{#N/A,#N/A,FALSE,"elraw";#N/A,#N/A,FALSE,"clraw ";#N/A,#N/A,FALSE,"pxraw ";#N/A,#N/A,FALSE,"arraw ";#N/A,#N/A,FALSE,"orraw ";#N/A,#N/A,FALSE,"90raw  ";#N/A,#N/A,FALSE,"dcraw   "}</definedName>
    <definedName name="BETA" hidden="1">{#N/A,#N/A,FALSE,"CHANGES";#N/A,#N/A,FALSE,"PROD SUMMARY";#N/A,#N/A,FALSE,"1995 PO SUM";#N/A,#N/A,FALSE,"1995 GEOG SUM";#N/A,#N/A,FALSE,"1996 PO SUM";#N/A,#N/A,FALSE,"1996 GEOG SUM"}</definedName>
    <definedName name="bety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x3NV49AUOM20L6GJ7OC385G7SD" hidden="1">#REF!</definedName>
    <definedName name="BEx5HZ9JIQ7ODBAJS24IEA7V8A2Z" hidden="1">#REF!</definedName>
    <definedName name="BEx7FF59GI9VSZ6QX4N2SL0K8KYR" hidden="1">#REF!</definedName>
    <definedName name="BExB2MVPEJB49HG7Q34VMXF4EHLT" hidden="1">#REF!</definedName>
    <definedName name="BExB43BOVXDD4A887ELQ8UG3GU80" hidden="1">#REF!</definedName>
    <definedName name="BExB4EKEBIFRC7ZIAOJVC91URZZO" hidden="1">#REF!</definedName>
    <definedName name="BExB8J7VCG1I6L14JG8IEW3OG4QX" hidden="1">#REF!</definedName>
    <definedName name="BExBA5NQ2MOBV2G5W3FN8XW28OKL" hidden="1">#REF!</definedName>
    <definedName name="BExBBDEV7Z4G452PV5OB5VS85EGP" hidden="1">#REF!</definedName>
    <definedName name="BExBC2L6EPN500CDPDWLB5OQ33W2" hidden="1">#REF!</definedName>
    <definedName name="BExD1K3RIPGNI709BMNY8G7RAL76" hidden="1">#REF!</definedName>
    <definedName name="BExEW1AHRP3JN91BKIVHA9E35QGY" hidden="1">#REF!</definedName>
    <definedName name="BExF62KVJ713O1JL0LI65TL8EOS2" hidden="1">#REF!</definedName>
    <definedName name="BExGNEOUQ9P6PL9N5SQRT0I1DH25" hidden="1">#REF!</definedName>
    <definedName name="BExGP030L2V8I0CIAHLWLWZYKZUK" hidden="1">#REF!</definedName>
    <definedName name="BExGYNVTYGLS9A4CTHUJXHFWGSIN" hidden="1">#REF!</definedName>
    <definedName name="BExQBIWJG5WPO0LCY0Q2G50GLY8T" hidden="1">#REF!</definedName>
    <definedName name="BExS09LK5FOIWNJAJGI20ZKQLZHQ" hidden="1">#REF!</definedName>
    <definedName name="BExUC7K0BALQS5ZHBCYZVI2MNW53" hidden="1">#REF!</definedName>
    <definedName name="BExUCHLECPSK4GLWMV3ZFUP28KPS" hidden="1">#REF!</definedName>
    <definedName name="BExVSJUKK10KFXR0LS1T1O5D6UDV" hidden="1">#REF!</definedName>
    <definedName name="BExW5KA3Y44NWERD40Y8148XYL63" hidden="1">#REF!</definedName>
    <definedName name="BExW9MZGLHOXIACLVZ80TEL7XQS9" hidden="1">#REF!</definedName>
    <definedName name="BExZKS5KA1E5XAEJOMIR2LJ88ET1" hidden="1">#REF!</definedName>
    <definedName name="BExZYZAJYB5NDZCGSVSRUHXNQGDW" hidden="1">#REF!</definedName>
    <definedName name="BF">#REF!</definedName>
    <definedName name="BFX_BRANDFX">60122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hfw" hidden="1">{#N/A,#N/A,FALSE,"elraw";#N/A,#N/A,FALSE,"clraw ";#N/A,#N/A,FALSE,"pxraw ";#N/A,#N/A,FALSE,"arraw ";#N/A,#N/A,FALSE,"orraw ";#N/A,#N/A,FALSE,"90raw  ";#N/A,#N/A,FALSE,"dcraw   "}</definedName>
    <definedName name="bibi">#REF!</definedName>
    <definedName name="bigtimelist">#REF!</definedName>
    <definedName name="Billable_Units">#REF!</definedName>
    <definedName name="BillingSource">#REF!</definedName>
    <definedName name="BillingSourceCol">#REF!</definedName>
    <definedName name="BillingSourceList">#REF!</definedName>
    <definedName name="bingxian">#REF!</definedName>
    <definedName name="Biotherm">#REF!</definedName>
    <definedName name="BJ">#REF!</definedName>
    <definedName name="BJA">#REF!</definedName>
    <definedName name="BL">#REF!</definedName>
    <definedName name="BLB">#REF!</definedName>
    <definedName name="Blld_prmo_CSA_FINAL">#REF!</definedName>
    <definedName name="BLOB">#N/A</definedName>
    <definedName name="bloop">#REF!</definedName>
    <definedName name="blush">#REF!</definedName>
    <definedName name="bob" hidden="1">{#N/A,#N/A,FALSE,"Key Business Drivers";#N/A,#N/A,FALSE,"FY98 Headcount";#N/A,#N/A,FALSE,"FY98 Financial Overview";#N/A,#N/A,FALSE,"(OPTIONAL) Additional Requests"}</definedName>
    <definedName name="BOD_Plan_USD">#REF!</definedName>
    <definedName name="BOM_Options">#REF!</definedName>
    <definedName name="BonusLever">#REF!</definedName>
    <definedName name="book">#REF!</definedName>
    <definedName name="book1">#REF!</definedName>
    <definedName name="book2">#REF!</definedName>
    <definedName name="BooleanList">#REF!</definedName>
    <definedName name="Borders">#REF!</definedName>
    <definedName name="bottom">#REF!</definedName>
    <definedName name="bp">#REF!</definedName>
    <definedName name="BR.Code">#REF!</definedName>
    <definedName name="BR.SEGROW">#REF!</definedName>
    <definedName name="Branch_Code">#REF!</definedName>
    <definedName name="BRAND">#REF!</definedName>
    <definedName name="BRAND.CODE">#REF!</definedName>
    <definedName name="Brand.inp">#REF!</definedName>
    <definedName name="Brand.name">#REF!</definedName>
    <definedName name="BRAND.SEL">#REF!</definedName>
    <definedName name="BRAND.TITLE">#REF!</definedName>
    <definedName name="Brand_Affiliate">#REF!</definedName>
    <definedName name="Brand_Name">#REF!</definedName>
    <definedName name="brand2">#REF!</definedName>
    <definedName name="BrandChannels">#REF!</definedName>
    <definedName name="BrandCogs">#REF!</definedName>
    <definedName name="BRANDLIST">#REF!</definedName>
    <definedName name="brandname1">#REF!</definedName>
    <definedName name="BrandNop">#REF!</definedName>
    <definedName name="BrandNs">#REF!</definedName>
    <definedName name="BrandOpex">#REF!</definedName>
    <definedName name="brands">#REF!</definedName>
    <definedName name="Brands.SEL">#REF!</definedName>
    <definedName name="Brands1">#REF!</definedName>
    <definedName name="BrandsList">#REF!</definedName>
    <definedName name="Breadcrumb">#REF!</definedName>
    <definedName name="bredd">#REF!</definedName>
    <definedName name="BROI.SEG">#REF!</definedName>
    <definedName name="BRR">#REF!</definedName>
    <definedName name="brush">#REF!</definedName>
    <definedName name="Brushes">#REF!</definedName>
    <definedName name="brushes21">#REF!</definedName>
    <definedName name="BS">#REF!</definedName>
    <definedName name="bsnkdcniwo" hidden="1">#REF!</definedName>
    <definedName name="bta.market.index">#REF!</definedName>
    <definedName name="BTA.Overhead.Toggle">#REF!</definedName>
    <definedName name="Bubba2">#REF!</definedName>
    <definedName name="BubbaRange">#REF!</definedName>
    <definedName name="bucket">#REF!</definedName>
    <definedName name="bud">#REF!</definedName>
    <definedName name="BudAreaOvh">#REF!</definedName>
    <definedName name="BudAreaOvh2">#REF!</definedName>
    <definedName name="BudAreaOvh3">#REF!</definedName>
    <definedName name="BudAreaOvhYTD">#REF!</definedName>
    <definedName name="BudGA">#REF!</definedName>
    <definedName name="BUDGAT">#REF!</definedName>
    <definedName name="Budget">#N/A</definedName>
    <definedName name="Budget_IAEs">#REF!</definedName>
    <definedName name="Budget2001_Query">#REF!</definedName>
    <definedName name="BudgetBereich">#REF!</definedName>
    <definedName name="Budgeted_B2B">#REF!</definedName>
    <definedName name="Budgeted_BusDealer">#REF!</definedName>
    <definedName name="Budgets">#REF!</definedName>
    <definedName name="BudgetSummary">#REF!</definedName>
    <definedName name="BUDGrossAdds">#REF!</definedName>
    <definedName name="BudSvc">#REF!</definedName>
    <definedName name="BudSvcCtrCM">#REF!</definedName>
    <definedName name="BudSvcCtrYTD">#REF!</definedName>
    <definedName name="Bufferlink">#REF!</definedName>
    <definedName name="Bufferlist">#REF!</definedName>
    <definedName name="Buildup">#REF!</definedName>
    <definedName name="buildzone.0">#REF!</definedName>
    <definedName name="BUON">#N/A</definedName>
    <definedName name="BUSDEF_ACTIVE_FQ">#REF!</definedName>
    <definedName name="BUSDEF_FQ">#REF!</definedName>
    <definedName name="BUSDEF_MN_FLAG2_JAN">#REF!</definedName>
    <definedName name="Business_Dealers">#REF!</definedName>
    <definedName name="BusinessUnit">#REF!</definedName>
    <definedName name="BusinessUnitScenario">#REF!</definedName>
    <definedName name="Bussing_Rollup">#REF!</definedName>
    <definedName name="Buy_Type">#REF!</definedName>
    <definedName name="Buymodel">#REF!</definedName>
    <definedName name="BuyType">#REF!</definedName>
    <definedName name="BuyTypeList">#REF!</definedName>
    <definedName name="BYD">#REF!</definedName>
    <definedName name="byday">#REF!</definedName>
    <definedName name="ByHourCol">#REF!</definedName>
    <definedName name="C.149">149999</definedName>
    <definedName name="C.150">150000</definedName>
    <definedName name="C.25">25001</definedName>
    <definedName name="C.499">499999</definedName>
    <definedName name="C.500">500000</definedName>
    <definedName name="C.75">75000</definedName>
    <definedName name="C_">#REF!</definedName>
    <definedName name="C_25">25000</definedName>
    <definedName name="C789334ed">#REF!</definedName>
    <definedName name="CA" hidden="1">{#N/A,#N/A,FALSE,"elraw";#N/A,#N/A,FALSE,"clraw ";#N/A,#N/A,FALSE,"pxraw ";#N/A,#N/A,FALSE,"arraw ";#N/A,#N/A,FALSE,"orraw ";#N/A,#N/A,FALSE,"90raw  ";#N/A,#N/A,FALSE,"dcraw   "}</definedName>
    <definedName name="cafe">#REF!</definedName>
    <definedName name="CalcAdservingFee">#REF!</definedName>
    <definedName name="CalcAdservingFeeCPM">#REF!</definedName>
    <definedName name="CalcAdservingFeeOther">#REF!</definedName>
    <definedName name="CalcEndDate">#REF!</definedName>
    <definedName name="CalcGrossAverageCostBasis">#REF!</definedName>
    <definedName name="CalcGrossAverageCostBasisCPM">#REF!</definedName>
    <definedName name="CalcGrossAverageCostBasisOther">#REF!</definedName>
    <definedName name="CalcGrossCostBasis">#REF!</definedName>
    <definedName name="CalcGrossMediaSpend">#REF!</definedName>
    <definedName name="CalcGrossMediaSpendCPM">#REF!</definedName>
    <definedName name="CalcGrossMediaSpendOther">#REF!</definedName>
    <definedName name="CalcGrossSpend">#REF!</definedName>
    <definedName name="CalcGrossSpendCPM">#REF!</definedName>
    <definedName name="CalcGrossSpendOther">#REF!</definedName>
    <definedName name="CalcIsValueAdd">#REF!</definedName>
    <definedName name="CalcIsValueAddCPM">#REF!</definedName>
    <definedName name="CalcIsValueAddOther">#REF!</definedName>
    <definedName name="CalcNetAverageCostBasis">#REF!</definedName>
    <definedName name="CalcNetAverageCostBasisCPM">#REF!</definedName>
    <definedName name="CalcNetAverageCostBasisOther">#REF!</definedName>
    <definedName name="CalcNetMediaSpend">#REF!</definedName>
    <definedName name="CalcNetMediaSpendCPM">#REF!</definedName>
    <definedName name="CalcNetMediaSpendOther">#REF!</definedName>
    <definedName name="CalcStartDate">#REF!</definedName>
    <definedName name="CalcTotalEstImpressions">#REF!</definedName>
    <definedName name="CalcTotalEstImpressionsCPM">#REF!</definedName>
    <definedName name="CalcTotalEstImpressionsOther">#REF!</definedName>
    <definedName name="CalcTotalQuantity">#REF!</definedName>
    <definedName name="CalcTotalQuantityCPM">#REF!</definedName>
    <definedName name="CalcTotalQuantityOther">#REF!</definedName>
    <definedName name="Call_model">#REF!</definedName>
    <definedName name="CAM">#REF!</definedName>
    <definedName name="CAMPAIGN_PLAN">#REF!</definedName>
    <definedName name="CampaignName">#REF!</definedName>
    <definedName name="Canada">#REF!</definedName>
    <definedName name="Canada_Export">#REF!</definedName>
    <definedName name="canale5">#REF!,#REF!,#REF!,#REF!,#REF!,#REF!,#REF!,#REF!,#REF!,#REF!</definedName>
    <definedName name="candy">#REF!</definedName>
    <definedName name="cannib">#REF!</definedName>
    <definedName name="CAp">#REF!</definedName>
    <definedName name="Cap_drivers">#REF!</definedName>
    <definedName name="Cap_Rate">#REF!</definedName>
    <definedName name="Capital">#REF!</definedName>
    <definedName name="CARE">#REF!</definedName>
    <definedName name="CARRA">#N/A</definedName>
    <definedName name="cart">#REF!</definedName>
    <definedName name="cartman">#REF!</definedName>
    <definedName name="CARTOON">#N/A</definedName>
    <definedName name="Cash_Flow">#REF!</definedName>
    <definedName name="cassadyco.toggle">#REF!</definedName>
    <definedName name="cat">#REF!</definedName>
    <definedName name="CAT.1">#REF!</definedName>
    <definedName name="Cat.2">#REF!</definedName>
    <definedName name="CAT.3">#REF!</definedName>
    <definedName name="CAT.4">#REF!</definedName>
    <definedName name="CAT.5">#REF!</definedName>
    <definedName name="CAT.6">#REF!</definedName>
    <definedName name="cat.8">#REF!</definedName>
    <definedName name="cat.act1">#REF!</definedName>
    <definedName name="cat.act2">#REF!</definedName>
    <definedName name="cat.appl">#REF!</definedName>
    <definedName name="CAT.BUDPLN">#REF!</definedName>
    <definedName name="CAT.EST">#REF!</definedName>
    <definedName name="cat.est1">#REF!</definedName>
    <definedName name="cat.est2">#REF!</definedName>
    <definedName name="CAT.ESTPLAN">#REF!</definedName>
    <definedName name="CAT.FTE">#REF!</definedName>
    <definedName name="CAT.List">#REF!</definedName>
    <definedName name="CAT.PLAN">#REF!</definedName>
    <definedName name="CAT.PLANEST">#REF!</definedName>
    <definedName name="CAT.PRIORYR">#REF!</definedName>
    <definedName name="CAT.PRYR2PLN">#REF!</definedName>
    <definedName name="CAT.PRYRPLN">#REF!</definedName>
    <definedName name="CAT.SMAPEST">#REF!</definedName>
    <definedName name="CAT.SMAPESTPLN">#REF!</definedName>
    <definedName name="CAT.SMAPPLAN">#REF!</definedName>
    <definedName name="CAT.SMAPPLNEST">#REF!</definedName>
    <definedName name="CAT.SMAPPYPLANPLN">#REF!</definedName>
    <definedName name="cata">#REF!</definedName>
    <definedName name="Catalog">#REF!</definedName>
    <definedName name="CategoriesforSite">#N/A</definedName>
    <definedName name="Category">#REF!</definedName>
    <definedName name="category_fy">#REF!</definedName>
    <definedName name="Category_Name">#REF!</definedName>
    <definedName name="Category_Title">#REF!</definedName>
    <definedName name="CategoryCodeLookup">#REF!</definedName>
    <definedName name="CATG">#REF!</definedName>
    <definedName name="CATGDISCOUNT">#REF!</definedName>
    <definedName name="CATRANGE">#REF!</definedName>
    <definedName name="cb">#REF!</definedName>
    <definedName name="cc">#REF!</definedName>
    <definedName name="cc_calls">#REF!</definedName>
    <definedName name="CCAccountsList">#REF!</definedName>
    <definedName name="CCB">#REF!</definedName>
    <definedName name="CCC">#N/A</definedName>
    <definedName name="ccccc" hidden="1">{"10yp key data",#N/A,FALSE,"Market Data"}</definedName>
    <definedName name="CCCostCenters">#REF!</definedName>
    <definedName name="CCStatAccountLookup">#REF!</definedName>
    <definedName name="CCTV">#REF!</definedName>
    <definedName name="CD">#REF!</definedName>
    <definedName name="CDH" hidden="1">#REF!</definedName>
    <definedName name="CDOL">#REF!</definedName>
    <definedName name="ceca">#REF!</definedName>
    <definedName name="ceshi" hidden="1">#REF!</definedName>
    <definedName name="cf">#REF!</definedName>
    <definedName name="CFCODE">#REF!</definedName>
    <definedName name="cg">#REF!</definedName>
    <definedName name="cgo">#REF!</definedName>
    <definedName name="cgp">#REF!</definedName>
    <definedName name="CGRP">#REF!</definedName>
    <definedName name="Chaise_2">#REF!</definedName>
    <definedName name="changes">#REF!</definedName>
    <definedName name="Changsha">#REF!</definedName>
    <definedName name="channel">#REF!</definedName>
    <definedName name="Channels">#REF!</definedName>
    <definedName name="charlene1022">#REF!</definedName>
    <definedName name="chartdata">#REF!</definedName>
    <definedName name="check">#REF!</definedName>
    <definedName name="checkagain\">#REF!</definedName>
    <definedName name="chef">#REF!</definedName>
    <definedName name="chefbi">#REF!</definedName>
    <definedName name="chefcum">#REF!</definedName>
    <definedName name="CHEFS">#REF!</definedName>
    <definedName name="chengdu">#REF!</definedName>
    <definedName name="chi_dist_actual">#REF!</definedName>
    <definedName name="chi_dist_budget">#REF!</definedName>
    <definedName name="chi_dist_jvf">#REF!</definedName>
    <definedName name="chica">#REF!</definedName>
    <definedName name="CHINA">#REF!</definedName>
    <definedName name="CHINAA">#REF!</definedName>
    <definedName name="Chinab">#REF!</definedName>
    <definedName name="chk">#REF!</definedName>
    <definedName name="Choices_Wrapper">#REF!</definedName>
    <definedName name="chris">#REF!</definedName>
    <definedName name="CIQWBGuid" hidden="1">"2014.06.12_Latte ThinkStream.xlsx"</definedName>
    <definedName name="Circ">#REF!</definedName>
    <definedName name="Circ2">#REF!</definedName>
    <definedName name="city">#REF!</definedName>
    <definedName name="CityDiscount">#REF!</definedName>
    <definedName name="cityformat">#REF!</definedName>
    <definedName name="citygradedef">#REF!</definedName>
    <definedName name="citylist">#REF!</definedName>
    <definedName name="cl">#REF!</definedName>
    <definedName name="Cl_inc">1.06</definedName>
    <definedName name="Classification1">#REF!</definedName>
    <definedName name="Classification2">#REF!</definedName>
    <definedName name="Classification3">#REF!</definedName>
    <definedName name="ClassificationList1">OFFSET(#REF!,0,0,COUNTA(#REF!),1)</definedName>
    <definedName name="ClassificationList2">OFFSET(#REF!,0,0,COUNTA(#REF!),1)</definedName>
    <definedName name="ClassificationList3">OFFSET(#REF!,0,0,COUNTA(#REF!),1)</definedName>
    <definedName name="classtmnat">#REF!</definedName>
    <definedName name="CLDecileGroupsLastYear">#REF!</definedName>
    <definedName name="CLDecileGroupsLastYear1">#REF!</definedName>
    <definedName name="CLFCODecileGroupsLastYear">#REF!</definedName>
    <definedName name="CLFCODecileGroupsLastYear1">#REF!</definedName>
    <definedName name="CLFCODecileGroupsThisYear">#REF!</definedName>
    <definedName name="CLFCODecileGroupsThisYear1">#REF!</definedName>
    <definedName name="CLFCOPurchaseFrequencyLastYear">#REF!</definedName>
    <definedName name="CLFCOPurchaseFrequencyLastYear1">#REF!</definedName>
    <definedName name="CLFCOPurchaseFrequencyThisYear">#REF!</definedName>
    <definedName name="CLFCOPurchaseFrequencyThisYear1">#REF!</definedName>
    <definedName name="CLFCOTopBuyersLastYear">#REF!</definedName>
    <definedName name="CLFCOTopBuyersLastYear1">#REF!</definedName>
    <definedName name="CLFCOTopBuyersThisYear">#REF!</definedName>
    <definedName name="CLFCOTopBuyersThisYear1">#REF!</definedName>
    <definedName name="CLFCOValueBandLastYear">#REF!</definedName>
    <definedName name="CLFCOValueBandLastYear1">#REF!</definedName>
    <definedName name="CLFCOValueBandsThisYear">#REF!</definedName>
    <definedName name="CLFCOValueBandsThisYear1">#REF!</definedName>
    <definedName name="Click_Tag">#REF!</definedName>
    <definedName name="CLICKS_ADS">#REF!</definedName>
    <definedName name="CLICKS_SEARCH">#REF!</definedName>
    <definedName name="Clickthrough_URL">#REF!</definedName>
    <definedName name="client">#REF!</definedName>
    <definedName name="Client_Area">#REF!</definedName>
    <definedName name="Client_Baseline">#REF!</definedName>
    <definedName name="Client_Budget">#REF!</definedName>
    <definedName name="ClientNet">#REF!</definedName>
    <definedName name="CliniqueDecileGroupsThisYear">#REF!</definedName>
    <definedName name="CliniqueDecileGroupsThisYear1">#REF!</definedName>
    <definedName name="CliniqueValueBandLastYear">#REF!</definedName>
    <definedName name="CliniqueValueBandLastYear1">#REF!</definedName>
    <definedName name="CliniqueValueBandsThisYear">#REF!</definedName>
    <definedName name="CliniqueValueBandsThisYear1">#REF!</definedName>
    <definedName name="CliniqueWEBDecileGroupsThisYear">#REF!</definedName>
    <definedName name="CliniqueWEBDecileGroupsThisYear1">#REF!</definedName>
    <definedName name="CliniqueWEBValueBandLastYear">#REF!</definedName>
    <definedName name="CliniqueWEBValueBandLastYear1">#REF!</definedName>
    <definedName name="CliniqueWEBValueBandsThisYear">#REF!</definedName>
    <definedName name="CliniqueWEBValueBandsThisYear1">#REF!</definedName>
    <definedName name="clohact2">#REF!</definedName>
    <definedName name="CLPurchaseFrequencyLastYear">#REF!</definedName>
    <definedName name="CLPurchaseFrequencyLastYear1">#REF!</definedName>
    <definedName name="CLPurchaseFrequencyThisYear">#REF!</definedName>
    <definedName name="CLPurchaseFrequencyThisYear1">#REF!</definedName>
    <definedName name="CLTopBuyersLastYear">#REF!</definedName>
    <definedName name="CLTopBuyersLastYear1">#REF!</definedName>
    <definedName name="CLTopBuyersThisYear">#REF!</definedName>
    <definedName name="CLTopBuyersThisYear1">#REF!</definedName>
    <definedName name="CLWEBDecileGroupsLastYear">#REF!</definedName>
    <definedName name="CLWEBDecileGroupsLastYear1">#REF!</definedName>
    <definedName name="CLWEBPurchaseFrequencyLastYear">#REF!</definedName>
    <definedName name="CLWEBPurchaseFrequencyLastYear1">#REF!</definedName>
    <definedName name="CLWEBPurchaseFrequencyThisYear">#REF!</definedName>
    <definedName name="CLWEBPurchaseFrequencyThisYear1">#REF!</definedName>
    <definedName name="CLWEBTopBuyersLastYear">#REF!</definedName>
    <definedName name="CLWEBTopBuyersLastYear1">#REF!</definedName>
    <definedName name="CLWEBTopBuyersThisYear">#REF!</definedName>
    <definedName name="CLWEBTopBuyersThisYear1">#REF!</definedName>
    <definedName name="CMACT">#REF!</definedName>
    <definedName name="CMActAreaOvh">#REF!</definedName>
    <definedName name="CMActSvc">#REF!</definedName>
    <definedName name="CMAVF">#REF!</definedName>
    <definedName name="cmb" hidden="1">#REF!</definedName>
    <definedName name="CMBudAreaOvh">#REF!</definedName>
    <definedName name="CMBudSvc">#REF!</definedName>
    <definedName name="CMDecileGroupsLastYear1">#REF!</definedName>
    <definedName name="CMDecileGroupsLastYear2">#REF!</definedName>
    <definedName name="CMDecileGroupsThisYear1">#REF!</definedName>
    <definedName name="CMDecileGroupsThisYear2">#REF!</definedName>
    <definedName name="cmdGetMinCost">#REF!</definedName>
    <definedName name="CMFCODecileGroupsLastYear1">#REF!</definedName>
    <definedName name="CMFCODecileGroupsLastYear2">#REF!</definedName>
    <definedName name="CMFCODecileGroupsThisYear1">#REF!</definedName>
    <definedName name="CMFCODecileGroupsThisYear2">#REF!</definedName>
    <definedName name="CMFCOPurchaseFrequencyLastYear1">#REF!</definedName>
    <definedName name="CMFCOPurchaseFrequencyLastYear2">#REF!</definedName>
    <definedName name="CMFCOPurchaseFrequencyThisYear1">#REF!</definedName>
    <definedName name="CMFCOPurchaseFrequencyThisYear2">#REF!</definedName>
    <definedName name="CMFCOTopBuyersThisYear1">#REF!</definedName>
    <definedName name="CMFCOTopBuyersThisYear2">#REF!</definedName>
    <definedName name="CMFCOValueBandsThisYear1">#REF!</definedName>
    <definedName name="CMFCOValueBandsThisYear2">#REF!</definedName>
    <definedName name="CMiniqueWEBDecileGroupsThisYear1">#REF!</definedName>
    <definedName name="CMiniqueWEBDecileGroupsThisYear2">#REF!</definedName>
    <definedName name="CMiniqueWEBValueBandsThisYear1">#REF!</definedName>
    <definedName name="CMiniqueWEBValueBandsThisYear2">#REF!</definedName>
    <definedName name="CMJVFAreaOvh">#REF!</definedName>
    <definedName name="CMJVFSvc">#REF!</definedName>
    <definedName name="CMPurchaseFrequencyLastYear1">#REF!</definedName>
    <definedName name="CMPurchaseFrequencyLastYear2">#REF!</definedName>
    <definedName name="CMPurchaseFrequencyThisYear1">#REF!</definedName>
    <definedName name="CMPurchaseFrequencyThisYear2">#REF!</definedName>
    <definedName name="CMTopBuyersThisYear1">#REF!</definedName>
    <definedName name="CMTopBuyersThisYear2">#REF!</definedName>
    <definedName name="CMValueBandsThisYear1">#REF!</definedName>
    <definedName name="CMValueBandsThisYear2">#REF!</definedName>
    <definedName name="CMWEBDecileGroupsLastYear1">#REF!</definedName>
    <definedName name="CMWEBDecileGroupsLastYear2">#REF!</definedName>
    <definedName name="CMWEBPurchaseFrequencyLastYear1">#REF!</definedName>
    <definedName name="CMWEBPurchaseFrequencyLastYear2">#REF!</definedName>
    <definedName name="CMWEBPurchaseFrequencyThisYear1">#REF!</definedName>
    <definedName name="CMWEBPurchaseFrequencyThisYear2">#REF!</definedName>
    <definedName name="CMWEBTopBuyersThisYear1">#REF!</definedName>
    <definedName name="CMWEBTopBuyersThisYear2">#REF!</definedName>
    <definedName name="CN">#REF!</definedName>
    <definedName name="co.initial">#REF!</definedName>
    <definedName name="CO.INTL">#REF!</definedName>
    <definedName name="CO.NAME">#REF!</definedName>
    <definedName name="co_name">#REF!</definedName>
    <definedName name="code">#REF!</definedName>
    <definedName name="CODE.AREA.SEL">#REF!</definedName>
    <definedName name="CODE.BRAND.SEL">#REF!</definedName>
    <definedName name="CODE.BUSTYPE.SEL">#REF!</definedName>
    <definedName name="CODE.CURRENCY.SEL">#REF!</definedName>
    <definedName name="CODE.ENTITY.SEL">#REF!</definedName>
    <definedName name="CODE.PRD1.SEL">#REF!</definedName>
    <definedName name="CODE.PRD2.SEL">#REF!</definedName>
    <definedName name="CODE.PRD3.SEL">#REF!</definedName>
    <definedName name="CODE.PRD4.SEL">#REF!</definedName>
    <definedName name="CODE.REG">#REF!</definedName>
    <definedName name="CODE.SCEN1.SEL">#REF!</definedName>
    <definedName name="CODE.SCEN2.SEL">#REF!</definedName>
    <definedName name="CODE.SCEN3.SEL">#REF!</definedName>
    <definedName name="CODE.SCEN4.SEL">#REF!</definedName>
    <definedName name="CODE.SEGMNT.SEL">#REF!</definedName>
    <definedName name="CODE.SEL">#REF!</definedName>
    <definedName name="CODE.TIMEVIEW1.SEL">#REF!</definedName>
    <definedName name="CODE.TIMEVIEW2.SEL">#REF!</definedName>
    <definedName name="CODE.TIMEVIEW3.SEL">#REF!</definedName>
    <definedName name="CODE.TIMEVIEW4.SEL">#REF!</definedName>
    <definedName name="code_filter">#REF!</definedName>
    <definedName name="code_value">#REF!</definedName>
    <definedName name="code1">#REF!</definedName>
    <definedName name="code10">#REF!</definedName>
    <definedName name="code11">#REF!</definedName>
    <definedName name="code12">#REF!</definedName>
    <definedName name="code13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de19">#REF!</definedName>
    <definedName name="code2">#REF!</definedName>
    <definedName name="code20">#REF!</definedName>
    <definedName name="code21">#REF!</definedName>
    <definedName name="code22">#REF!</definedName>
    <definedName name="code23">#REF!</definedName>
    <definedName name="code24">#REF!</definedName>
    <definedName name="code25">#REF!</definedName>
    <definedName name="code26">#REF!</definedName>
    <definedName name="code27">#REF!</definedName>
    <definedName name="code28">#REF!</definedName>
    <definedName name="code29">#REF!</definedName>
    <definedName name="code3">#REF!</definedName>
    <definedName name="code30">#REF!</definedName>
    <definedName name="code31">#REF!</definedName>
    <definedName name="code32">#REF!</definedName>
    <definedName name="code33">#REF!</definedName>
    <definedName name="code34">#REF!</definedName>
    <definedName name="code35">#REF!</definedName>
    <definedName name="code36">#REF!</definedName>
    <definedName name="code37">#REF!</definedName>
    <definedName name="code38">#REF!</definedName>
    <definedName name="code39">#REF!</definedName>
    <definedName name="code4">#REF!</definedName>
    <definedName name="code40">#REF!</definedName>
    <definedName name="code41">#REF!</definedName>
    <definedName name="code42">#REF!</definedName>
    <definedName name="code43">#REF!</definedName>
    <definedName name="code44">#REF!</definedName>
    <definedName name="code45">#REF!</definedName>
    <definedName name="code46">#REF!</definedName>
    <definedName name="code47">#REF!</definedName>
    <definedName name="code48">#REF!</definedName>
    <definedName name="code49">#REF!</definedName>
    <definedName name="code5">#REF!</definedName>
    <definedName name="code50">#REF!</definedName>
    <definedName name="code6">#REF!</definedName>
    <definedName name="code7">#REF!</definedName>
    <definedName name="code8">#REF!</definedName>
    <definedName name="code9">#REF!</definedName>
    <definedName name="CODEREG.SEL">#REF!</definedName>
    <definedName name="col">#REF!</definedName>
    <definedName name="col_filter">#REF!</definedName>
    <definedName name="col_value">#REF!</definedName>
    <definedName name="Column.AggCreativeCategoryNames">#REF!</definedName>
    <definedName name="Column.AggCreativeSizeNames">#REF!</definedName>
    <definedName name="Column.AggCreativeTypeNames">#REF!</definedName>
    <definedName name="Column.AggPlacementNames">#REF!</definedName>
    <definedName name="Column.AggSiteNames">#REF!</definedName>
    <definedName name="Column.CalcIsValueAdd">#REF!</definedName>
    <definedName name="Column.CalcIsValueAddCPM">#REF!</definedName>
    <definedName name="Column.CalcIsValueAddOther">#REF!</definedName>
    <definedName name="Column.CalcNetAverageCostBasisCPM">#REF!</definedName>
    <definedName name="Column.CalcNetAverageCostBasisOther">#REF!</definedName>
    <definedName name="Column.CalcNetMediaSpend">#REF!</definedName>
    <definedName name="Column.CalcNetMediaSpendCPM">#REF!</definedName>
    <definedName name="Column.CalcNetMediaSpendOther">#REF!</definedName>
    <definedName name="Column.CalcTotalQuantity">#REF!</definedName>
    <definedName name="Column.CalcTotalQuantityCPM">#REF!</definedName>
    <definedName name="Column.CalcTotalQuantityOther">#REF!</definedName>
    <definedName name="Column.CostBasis">#REF!</definedName>
    <definedName name="Column.CostMethodName">#REF!</definedName>
    <definedName name="Column.CostPackageName">#REF!</definedName>
    <definedName name="Column.ElementSizeName">#REF!</definedName>
    <definedName name="Column.ElementTypeName">#REF!</definedName>
    <definedName name="Column.EndDate">#REF!</definedName>
    <definedName name="Column.IsValueAdd">#REF!</definedName>
    <definedName name="Column.PlacementNames">#REF!</definedName>
    <definedName name="Column.SiteName">#REF!</definedName>
    <definedName name="Column.StartDate">#REF!</definedName>
    <definedName name="Column.SumQuantity">#REF!</definedName>
    <definedName name="Column1">#REF!</definedName>
    <definedName name="Column2">#REF!</definedName>
    <definedName name="com_sched">#REF!</definedName>
    <definedName name="Comments">#REF!</definedName>
    <definedName name="Comments_Infra">#REF!</definedName>
    <definedName name="Communication">#REF!</definedName>
    <definedName name="COMP">#REF!</definedName>
    <definedName name="comp.est">#REF!</definedName>
    <definedName name="Company_No">#REF!</definedName>
    <definedName name="Company_No2">#REF!</definedName>
    <definedName name="company_range">#REF!</definedName>
    <definedName name="CompPL">#REF!</definedName>
    <definedName name="computer">#REF!</definedName>
    <definedName name="con_App">#REF!</definedName>
    <definedName name="con_dB">#REF!</definedName>
    <definedName name="con_Server">#REF!</definedName>
    <definedName name="Conc">OFFSET(#REF!,0,0,COUNTA(#REF!),1)</definedName>
    <definedName name="Conceptual">#REF!</definedName>
    <definedName name="CONDENAST">#REF!</definedName>
    <definedName name="connyc">#REF!</definedName>
    <definedName name="constnat">#REF!</definedName>
    <definedName name="constnyc">#REF!</definedName>
    <definedName name="Contacts">#REF!</definedName>
    <definedName name="content">#REF!</definedName>
    <definedName name="Contract">#REF!</definedName>
    <definedName name="Contracts">#REF!</definedName>
    <definedName name="cool">#REF!</definedName>
    <definedName name="cooper">#REF!</definedName>
    <definedName name="Copywtr">#REF!</definedName>
    <definedName name="Copywtr_Add">#REF!</definedName>
    <definedName name="Corporate_Company">#REF!</definedName>
    <definedName name="cost">#REF!</definedName>
    <definedName name="COST_ADS">#REF!</definedName>
    <definedName name="COST_ATLAS">#REF!</definedName>
    <definedName name="Cost_by_Framework">#REF!</definedName>
    <definedName name="Cost_Changes">#REF!</definedName>
    <definedName name="cost_element">#REF!</definedName>
    <definedName name="COST_GRASS">#REF!</definedName>
    <definedName name="Cost_Method">#REF!</definedName>
    <definedName name="Cost_Pools">#REF!</definedName>
    <definedName name="COST_SEARCH">#REF!</definedName>
    <definedName name="Cost_Structure">#REF!</definedName>
    <definedName name="Cost_Total">#REF!</definedName>
    <definedName name="COST1">#REF!</definedName>
    <definedName name="Cost1Col">#REF!</definedName>
    <definedName name="COST2">#REF!</definedName>
    <definedName name="Cost2Col">#REF!</definedName>
    <definedName name="COST3">#REF!</definedName>
    <definedName name="CostBasis">#REF!</definedName>
    <definedName name="CostMethodName">#REF!</definedName>
    <definedName name="CostPackageName">#REF!</definedName>
    <definedName name="coucou" hidden="1">{#N/A,#N/A,TRUE,"Cover sheet";#N/A,#N/A,TRUE,"INPUTS";#N/A,#N/A,TRUE,"OUTPUTS";#N/A,#N/A,TRUE,"VALUATION"}</definedName>
    <definedName name="COUNTER">#REF!</definedName>
    <definedName name="Countries">((#REF!):(INDEX(#REF!,MATCH("",#REF!,-1),0)))</definedName>
    <definedName name="Country">#REF!</definedName>
    <definedName name="CountryCodeLookup">((#REF!):(INDEX(#REF!,MATCH("",#REF!,-1),0)))</definedName>
    <definedName name="Cover">#REF!</definedName>
    <definedName name="cp">#REF!</definedName>
    <definedName name="cpc">#REF!</definedName>
    <definedName name="cpcchef">#REF!</definedName>
    <definedName name="cpcf">#REF!</definedName>
    <definedName name="CPCHOR">#REF!</definedName>
    <definedName name="CPD">#REF!</definedName>
    <definedName name="CPL">#REF!</definedName>
    <definedName name="cpm">#REF!</definedName>
    <definedName name="CPMN">#REF!</definedName>
    <definedName name="CPMPlacementRow">#REF!</definedName>
    <definedName name="CPMRows">#REF!</definedName>
    <definedName name="CPMSubTotalRow">#REF!</definedName>
    <definedName name="CPMTotalRow">#REF!</definedName>
    <definedName name="CPPs">#REF!</definedName>
    <definedName name="CPRP">"Button 1"</definedName>
    <definedName name="CPRP30">#REF!</definedName>
    <definedName name="CQ">#REF!</definedName>
    <definedName name="CQA">#REF!</definedName>
    <definedName name="CQB">#REF!</definedName>
    <definedName name="CQC">#REF!</definedName>
    <definedName name="CQD">#REF!</definedName>
    <definedName name="cr_booking_form_it_om">#REF!</definedName>
    <definedName name="cream">#REF!</definedName>
    <definedName name="Create_Shared_Circ_file">#REF!</definedName>
    <definedName name="creative">#REF!</definedName>
    <definedName name="Creative_Class">#REF!</definedName>
    <definedName name="Creative_Delivery_Method">#REF!</definedName>
    <definedName name="Creative_Description">#REF!</definedName>
    <definedName name="Creative_File_Location">#REF!</definedName>
    <definedName name="Creative_Height">#REF!</definedName>
    <definedName name="Creative_Media_Code">#REF!</definedName>
    <definedName name="Creative_Media_Code_Enabled">#REF!</definedName>
    <definedName name="Creative_Type">#REF!</definedName>
    <definedName name="Creative_Width">#REF!</definedName>
    <definedName name="CreativeType">#REF!</definedName>
    <definedName name="CreditCard">#REF!</definedName>
    <definedName name="_xlnm.Criteria">#REF!</definedName>
    <definedName name="Criteria_MI">#REF!</definedName>
    <definedName name="CS">#REF!</definedName>
    <definedName name="CSC_operational_strategy">#REF!</definedName>
    <definedName name="CSPT">#REF!</definedName>
    <definedName name="CTC">#REF!</definedName>
    <definedName name="CTD_ADS">#REF!</definedName>
    <definedName name="CTD_SEARCH">#REF!</definedName>
    <definedName name="cum">#REF!</definedName>
    <definedName name="cume">#REF!</definedName>
    <definedName name="cumecpc">#REF!</definedName>
    <definedName name="cumover">#REF!</definedName>
    <definedName name="CUR.EST">#REF!</definedName>
    <definedName name="cur.qtr">#REF!</definedName>
    <definedName name="CurEst">#REF!</definedName>
    <definedName name="CurEstP">#REF!</definedName>
    <definedName name="Curls">#REF!</definedName>
    <definedName name="CurPlan">#REF!</definedName>
    <definedName name="CurPlanPreOL">#REF!</definedName>
    <definedName name="Currency">#REF!</definedName>
    <definedName name="CurrencyTable">#REF!</definedName>
    <definedName name="Current_AFF_Online">#REF!</definedName>
    <definedName name="Current_NS_MTH_Online">#REF!</definedName>
    <definedName name="Current_NS_Online">#REF!</definedName>
    <definedName name="Current_Year">#REF!</definedName>
    <definedName name="CurrentME">#REF!</definedName>
    <definedName name="CURREST">#REF!</definedName>
    <definedName name="CURREST_AFF">#REF!</definedName>
    <definedName name="CURREST_AFF_BB_25LINE">#REF!</definedName>
    <definedName name="CURREST_AFF_BB_25LINE_ONLINE">#REF!</definedName>
    <definedName name="CURREST_AFF_JM_25LINE_ONLINE">#REF!</definedName>
    <definedName name="CURREST_AFF_JML_25LINE">#REF!</definedName>
    <definedName name="CURREST_AFF_LM_25LINE">#REF!</definedName>
    <definedName name="CURREST_BB_25LINE">#REF!</definedName>
    <definedName name="CURREST_BB_25LINE_ONLINE">#REF!</definedName>
    <definedName name="CURREST_CALLOC">#REF!</definedName>
    <definedName name="CURREST_CALLOC_MTH">#REF!</definedName>
    <definedName name="CURREST_COGS">#REF!</definedName>
    <definedName name="CURREST_COGS_MTH">#REF!</definedName>
    <definedName name="CURREST_COGS_MTH_ONLINE">#REF!</definedName>
    <definedName name="CURREST_COGS_ONLINE">#REF!</definedName>
    <definedName name="CURREST_CONTIN">#REF!</definedName>
    <definedName name="CURREST_CONTIN_MTH">#REF!</definedName>
    <definedName name="CURREST_CONTIN_MTH_ONLINE">#REF!</definedName>
    <definedName name="CURREST_CONTIN_ONLINE">#REF!</definedName>
    <definedName name="CURREST_CORPALLO_ONLINE">#REF!</definedName>
    <definedName name="CURREST_CORPALLOC">#REF!</definedName>
    <definedName name="CURREST_CORPALLOC_MTH">#REF!</definedName>
    <definedName name="CURREST_CORPALLOC_MTH_ONLINE">#REF!</definedName>
    <definedName name="CURREST_DOPEX">#REF!</definedName>
    <definedName name="CURREST_DOPEX_MTH">#REF!</definedName>
    <definedName name="CURREST_DOPEX_MTH_ONLINE">#REF!</definedName>
    <definedName name="CURREST_DOPEX_ONLINE">#REF!</definedName>
    <definedName name="CURREST_GP">#REF!</definedName>
    <definedName name="CURREST_GP_MTH">#REF!</definedName>
    <definedName name="CURREST_GP_MTH_ONLINE">#REF!</definedName>
    <definedName name="CURREST_GP_ONLINE">#REF!</definedName>
    <definedName name="CURREST_GS">#REF!</definedName>
    <definedName name="CURREST_GS_MTH">#REF!</definedName>
    <definedName name="CURREST_GS_MTH_ONLINE">#REF!</definedName>
    <definedName name="CURREST_GS_ONLINE">#REF!</definedName>
    <definedName name="CURREST_IDOPEX">#REF!</definedName>
    <definedName name="CURREST_IDOPEX_MTH">#REF!</definedName>
    <definedName name="CURREST_IDOPEX_MTH_ONLINE">#REF!</definedName>
    <definedName name="CURREST_IDOPEX_ONLINE">#REF!</definedName>
    <definedName name="CURREST_JM_25LINE_ONLINE">#REF!</definedName>
    <definedName name="CURREST_JML_25LINE">#REF!</definedName>
    <definedName name="CURREST_LM_25LINE">#REF!</definedName>
    <definedName name="CURREST_NONOP">#REF!</definedName>
    <definedName name="CURREST_NONOP_MTH">#REF!</definedName>
    <definedName name="CURREST_NONOP_MTH_ONLINE">#REF!</definedName>
    <definedName name="CURREST_NONOP_ONLINE">#REF!</definedName>
    <definedName name="CURREST_NOP">#REF!</definedName>
    <definedName name="CURREST_NOP_MTH">#REF!</definedName>
    <definedName name="CURREST_NOP_MTH_ONLINE">#REF!</definedName>
    <definedName name="CURREST_NOP_ONLINE">#REF!</definedName>
    <definedName name="CURREST_NS">#REF!</definedName>
    <definedName name="CURREST_NS_MTH">#REF!</definedName>
    <definedName name="CURREST_OPEX">#REF!</definedName>
    <definedName name="CURREST_OPEX_MTH">#REF!</definedName>
    <definedName name="CURREST_OPEX_MTH_ONLINE">#REF!</definedName>
    <definedName name="CURREST_OPEX_ONLINE">#REF!</definedName>
    <definedName name="CURRFY">#REF!</definedName>
    <definedName name="CurYear">#REF!</definedName>
    <definedName name="CUST.PGS">#REF!</definedName>
    <definedName name="cust_care">#REF!</definedName>
    <definedName name="CUSTDATABASE">#REF!</definedName>
    <definedName name="CUSTTRANS">#REF!</definedName>
    <definedName name="cvgfjgjerljglerhlijer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wvu.GenAdmin." hidden="1">#REF!</definedName>
    <definedName name="CYLY">#REF!</definedName>
    <definedName name="CYPLAN.PLAN">#REF!</definedName>
    <definedName name="CYREST">#REF!</definedName>
    <definedName name="CYRPLAN">#REF!</definedName>
    <definedName name="CzechRepublic">#REF!</definedName>
    <definedName name="D">#REF!</definedName>
    <definedName name="D.Circ">#REF!</definedName>
    <definedName name="D_OK">#REF!</definedName>
    <definedName name="D_Over">#REF!</definedName>
    <definedName name="D_Under">#REF!</definedName>
    <definedName name="d108_">#REF!</definedName>
    <definedName name="d3rd">#REF!</definedName>
    <definedName name="d56_">#REF!</definedName>
    <definedName name="d90_">#REF!</definedName>
    <definedName name="da">#REF!</definedName>
    <definedName name="dah">#REF!</definedName>
    <definedName name="daian">#REF!</definedName>
    <definedName name="dailyspend">#REF!</definedName>
    <definedName name="dailyspots">#REF!</definedName>
    <definedName name="dalian">#REF!</definedName>
    <definedName name="Dallas_Rollup">#REF!</definedName>
    <definedName name="dalm" hidden="1">{#N/A,#N/A,FALSE,"Exp Detail";#N/A,#N/A,FALSE,"Headcount";#N/A,#N/A,FALSE,"Travel";#N/A,#N/A,FALSE,"Summary";#N/A,#N/A,FALSE,"Cap Ex"}</definedName>
    <definedName name="damnit">#REF!</definedName>
    <definedName name="dart">#REF!</definedName>
    <definedName name="dart2">#REF!</definedName>
    <definedName name="dart3">#REF!,#REF!</definedName>
    <definedName name="dart4">#REF!</definedName>
    <definedName name="dartover">#REF!</definedName>
    <definedName name="dartover2">#REF!</definedName>
    <definedName name="daskjfas">#REF!</definedName>
    <definedName name="data">#REF!</definedName>
    <definedName name="DATA.AFFILENT">#REF!</definedName>
    <definedName name="DATA.ALL">#REF!</definedName>
    <definedName name="DATA.ALLAFFIL">#REF!</definedName>
    <definedName name="DATA.ENTITY">#REF!</definedName>
    <definedName name="DATA.HYPENT">#REF!</definedName>
    <definedName name="DATA.HYPENTITY">#REF!</definedName>
    <definedName name="DATA.MANAFFIL">#REF!</definedName>
    <definedName name="DATA.MANUAL">#REF!</definedName>
    <definedName name="data.nop">#REF!</definedName>
    <definedName name="DATA.PL">#REF!</definedName>
    <definedName name="DATA.SELAFFIL">#REF!</definedName>
    <definedName name="DATA.SMAP">#REF!</definedName>
    <definedName name="DATA.VarMultiplier">#REF!</definedName>
    <definedName name="data_filter">#REF!</definedName>
    <definedName name="data_m1">#REF!</definedName>
    <definedName name="data_m2">#REF!</definedName>
    <definedName name="data_m3">#REF!</definedName>
    <definedName name="data_m4">#REF!</definedName>
    <definedName name="data_value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_xlnm.Database" hidden="1">#REF!</definedName>
    <definedName name="Database_MI">#REF!</definedName>
    <definedName name="Database1">#REF!</definedName>
    <definedName name="Database2">#REF!</definedName>
    <definedName name="DataCogs">#REF!</definedName>
    <definedName name="DataEc">#REF!</definedName>
    <definedName name="DataFyCogs">#REF!</definedName>
    <definedName name="DataFyNop">#REF!</definedName>
    <definedName name="DataFYNs">#REF!</definedName>
    <definedName name="DataFyOpex">#REF!</definedName>
    <definedName name="DataHc">#REF!</definedName>
    <definedName name="DataNop">#REF!</definedName>
    <definedName name="DataNS">#REF!</definedName>
    <definedName name="DataOpex">#REF!</definedName>
    <definedName name="DataPL">#REF!</definedName>
    <definedName name="Datapop">#REF!</definedName>
    <definedName name="Datapop_Add">#REF!</definedName>
    <definedName name="DataReg">#REF!</definedName>
    <definedName name="DATE">#REF!</definedName>
    <definedName name="DateOptions">#REF!</definedName>
    <definedName name="DayBlank">OFFSET(#REF!,0,#REF!,9,136-#REF!)</definedName>
    <definedName name="dayblank2">OFFSET(#REF!,0,#REF!,9,136-#REF!)</definedName>
    <definedName name="Days">OFFSET(#REF!,0,0,1,#REF!)</definedName>
    <definedName name="Dayss">OFFSET(#REF!,0,0,#REF!+1,#REF!)</definedName>
    <definedName name="dbase">#REF!</definedName>
    <definedName name="dbase2">#REF!</definedName>
    <definedName name="dc">#REF!</definedName>
    <definedName name="DCC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irc">#REF!</definedName>
    <definedName name="dd">#REF!</definedName>
    <definedName name="ddd">#REF!</definedName>
    <definedName name="dddd">#REF!</definedName>
    <definedName name="ddddd">#REF!</definedName>
    <definedName name="dddddd" hidden="1">{"10yp profit and loss",#N/A,FALSE,"Celtel alternative 6"}</definedName>
    <definedName name="DDDDDDDDDDDDD">#REF!</definedName>
    <definedName name="DE">#REF!</definedName>
    <definedName name="dea">OFFSET(#REF!,0,0,1,#REF!)</definedName>
    <definedName name="debt.toggle">#REF!</definedName>
    <definedName name="dec">#REF!</definedName>
    <definedName name="Dec.2">#REF!</definedName>
    <definedName name="degreetmnat">#REF!</definedName>
    <definedName name="delete">#REF!</definedName>
    <definedName name="Delivery_Method">#REF!</definedName>
    <definedName name="DeliveryBehavior">#REF!</definedName>
    <definedName name="DeliveryCodeLookup">#REF!</definedName>
    <definedName name="deprec">#REF!</definedName>
    <definedName name="DEPT_DESCR">#REF!</definedName>
    <definedName name="DEPTID">#REF!</definedName>
    <definedName name="detroit">#REF!</definedName>
    <definedName name="Devision">#REF!</definedName>
    <definedName name="df">#REF!</definedName>
    <definedName name="dfadadfad">#REF!</definedName>
    <definedName name="dfadfdsfdf">#REF!</definedName>
    <definedName name="DFASD">#REF!</definedName>
    <definedName name="dfd">#REF!</definedName>
    <definedName name="dfe">#REF!</definedName>
    <definedName name="dff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gd" hidden="1">{"subs",#N/A,FALSE,"database ";"proportional",#N/A,FALSE,"database "}</definedName>
    <definedName name="dfgsh" hidden="1">{"'Matrix'!$A$3:$J$47"}</definedName>
    <definedName name="dfihsdg">#REF!</definedName>
    <definedName name="DG">#REF!</definedName>
    <definedName name="dhp">#REF!</definedName>
    <definedName name="DIANE">#REF!</definedName>
    <definedName name="Diff">OFFSET(#REF!,0,0,COUNTA(#REF!),1)</definedName>
    <definedName name="digital">OFFSET(#REF!,0,0,1,#REF!)</definedName>
    <definedName name="digitalnat">#REF!</definedName>
    <definedName name="digitalnyc">#REF!</definedName>
    <definedName name="dignat">#REF!</definedName>
    <definedName name="Dimensions">#REF!</definedName>
    <definedName name="Director_Allen">#REF!</definedName>
    <definedName name="Director_Branch">#REF!</definedName>
    <definedName name="Director_Brennan">#REF!</definedName>
    <definedName name="Director_Cerv">#REF!</definedName>
    <definedName name="Director_Clymer__Byron">#REF!</definedName>
    <definedName name="Director_Courtney">#REF!</definedName>
    <definedName name="Director_Durden">#REF!</definedName>
    <definedName name="Director_Eichholz">#REF!</definedName>
    <definedName name="Director_Harrington">#REF!</definedName>
    <definedName name="Director_Mitchell_Stacy">#REF!</definedName>
    <definedName name="Director_Rollups">#REF!</definedName>
    <definedName name="Director_VanCompernolle">#REF!</definedName>
    <definedName name="discontinued">#REF!</definedName>
    <definedName name="discount">#REF!</definedName>
    <definedName name="Discount1">#REF!</definedName>
    <definedName name="Discount1BaseCol">#REF!</definedName>
    <definedName name="Discount1Col">#REF!</definedName>
    <definedName name="Discount2">#REF!</definedName>
    <definedName name="Discount2BaseCol">#REF!</definedName>
    <definedName name="Discount2Col">#REF!</definedName>
    <definedName name="Discount3">#REF!</definedName>
    <definedName name="Discount3BaseCol">#REF!</definedName>
    <definedName name="Discount3Col">#REF!</definedName>
    <definedName name="DiscountBaseList">#REF!</definedName>
    <definedName name="DISCOUNTLEVEL">#REF!</definedName>
    <definedName name="DiscountLever">#REF!</definedName>
    <definedName name="DISCOUNTTYPE">#REF!</definedName>
    <definedName name="DISP.VIEW">#REF!</definedName>
    <definedName name="display_area_3">#REF!</definedName>
    <definedName name="Distributor">#REF!</definedName>
    <definedName name="Division">#REF!</definedName>
    <definedName name="dj">#REF!</definedName>
    <definedName name="dk3rd">#REF!</definedName>
    <definedName name="dkt">#REF!</definedName>
    <definedName name="DL">#REF!</definedName>
    <definedName name="DLCL">#REF!</definedName>
    <definedName name="DLY.BW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">#REF!</definedName>
    <definedName name="doc">#REF!</definedName>
    <definedName name="DomainGM">#REF!</definedName>
    <definedName name="Domains">#REF!</definedName>
    <definedName name="doo">#REF!</definedName>
    <definedName name="doorsales">OFFSET(#REF!,0,0,1,#REF!+4)</definedName>
    <definedName name="DoriPlan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wn" hidden="1">{#N/A,#N/A,FALSE,"Umsatz";#N/A,#N/A,FALSE,"Base V.02";#N/A,#N/A,FALSE,"Charts"}</definedName>
    <definedName name="DPcpm">#REF!</definedName>
    <definedName name="DPDist">#REF!</definedName>
    <definedName name="dpg">#REF!</definedName>
    <definedName name="dqtr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opDown1_Change">#REF!</definedName>
    <definedName name="DropDown2_Change">#REF!</definedName>
    <definedName name="DSCTLVL">#REF!</definedName>
    <definedName name="dsd">#N/A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L0500_Factor">#REF!</definedName>
    <definedName name="DSPIMO">#REF!</definedName>
    <definedName name="dss" hidden="1">#REF!</definedName>
    <definedName name="dssssssssssssssssssssss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DTS">#REF!</definedName>
    <definedName name="dtu">#REF!</definedName>
    <definedName name="DUCL">#REF!</definedName>
    <definedName name="duh">#REF!</definedName>
    <definedName name="Dur">#REF!</definedName>
    <definedName name="Duration">#REF!</definedName>
    <definedName name="dw">#REF!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DX12P">#REF!</definedName>
    <definedName name="DX12S">#REF!</definedName>
    <definedName name="DX6PS">#REF!</definedName>
    <definedName name="DXT">#REF!</definedName>
    <definedName name="dzx">#REF!</definedName>
    <definedName name="E">#REF!</definedName>
    <definedName name="EA">#REF!</definedName>
    <definedName name="EAFD">#REF!</definedName>
    <definedName name="EAO">#REF!</definedName>
    <definedName name="Eastmoney">#REF!</definedName>
    <definedName name="EBITDA">#REF!</definedName>
    <definedName name="ece">#REF!</definedName>
    <definedName name="ed">#REF!</definedName>
    <definedName name="Editorial">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e">#REF!</definedName>
    <definedName name="eeeee">#REF!</definedName>
    <definedName name="ef">#REF!</definedName>
    <definedName name="EFAXES">#REF!</definedName>
    <definedName name="EFSysCreator">"李军"</definedName>
    <definedName name="EFSysModuleName">"2003年经费支出明细表"</definedName>
    <definedName name="EFSysMonth">"9"</definedName>
    <definedName name="EFSysNote">""</definedName>
    <definedName name="EFSysRunDir">"C:\GAS\"</definedName>
    <definedName name="EFSysStep">"元"</definedName>
    <definedName name="EFSysTableName">"20040930"</definedName>
    <definedName name="EFSysType">"Table"</definedName>
    <definedName name="EFSysUnit">"赣榆县国税局"</definedName>
    <definedName name="EFSysYear">"2004"</definedName>
    <definedName name="eg">#REF!</definedName>
    <definedName name="eingabebereich">#REF!</definedName>
    <definedName name="EL">#REF!</definedName>
    <definedName name="El_Torito_Data2">#REF!</definedName>
    <definedName name="ELCL">#REF!</definedName>
    <definedName name="ELDecileGroupsLastYear2">#REF!</definedName>
    <definedName name="ELDecileGroupsLastYear3">#REF!</definedName>
    <definedName name="ELDecileGroupsThisYear2">#REF!</definedName>
    <definedName name="ELDecileGroupsThisYear3">#REF!</definedName>
    <definedName name="Elective">#REF!</definedName>
    <definedName name="ElementTypeName">#REF!</definedName>
    <definedName name="Eleven">#REF!</definedName>
    <definedName name="ELFCODecileGroupsLastYear2">#REF!</definedName>
    <definedName name="ELFCODecileGroupsLastYear3">#REF!</definedName>
    <definedName name="ELFCODecileGroupsThisYear2">#REF!</definedName>
    <definedName name="ELFCODecileGroupsThisYear3">#REF!</definedName>
    <definedName name="ELFCOPurchaseFrequencyLastYear2">#REF!</definedName>
    <definedName name="ELFCOPurchaseFrequencyLastYear3">#REF!</definedName>
    <definedName name="ELFCOPurchaseFrequencyThisYear2">#REF!</definedName>
    <definedName name="ELFCOPurchaseFrequencyThisYear3">#REF!</definedName>
    <definedName name="eLFCOTopBuyersLastYear">#REF!</definedName>
    <definedName name="eLFCOTopBuyersLastYear1">#REF!</definedName>
    <definedName name="ELFCOTopBuyersThisYear2">#REF!</definedName>
    <definedName name="ELFCOTopBuyersThisYear3">#REF!</definedName>
    <definedName name="ELFCOValueBandLastYear">#REF!</definedName>
    <definedName name="ELFCOValueBandLastYear1">#REF!</definedName>
    <definedName name="ELFCOValueBandsThisYear2">#REF!</definedName>
    <definedName name="ELFCOValueBandsThisYear3">#REF!</definedName>
    <definedName name="Eliminating_JE">#REF!</definedName>
    <definedName name="ELiniqueWEBDecileGroupsThisYear2">#REF!</definedName>
    <definedName name="ELiniqueWEBDecileGroupsThisYear3">#REF!</definedName>
    <definedName name="ELiniqueWEBValueBandsThisYear2">#REF!</definedName>
    <definedName name="ELiniqueWEBValueBandsThisYear3">#REF!</definedName>
    <definedName name="ELPurchaseFrequencyLastYear2">#REF!</definedName>
    <definedName name="ELPurchaseFrequencyLastYear3">#REF!</definedName>
    <definedName name="ELPurchaseFrequencyThisYear2">#REF!</definedName>
    <definedName name="ELPurchaseFrequencyThisYear3">#REF!</definedName>
    <definedName name="ELTopBuyersLastYear1">#REF!</definedName>
    <definedName name="ELTopBuyersThisYear2">#REF!</definedName>
    <definedName name="ELTopBuyersThisYear3">#REF!</definedName>
    <definedName name="ELValueBandLastYear1">#REF!</definedName>
    <definedName name="ELValueBandsThisYear2">#REF!</definedName>
    <definedName name="ELValueBandsThisYear3">#REF!</definedName>
    <definedName name="ELWEBDecileGroupsLastYear2">#REF!</definedName>
    <definedName name="ELWEBDecileGroupsLastYear3">#REF!</definedName>
    <definedName name="ELWEBPurchaseFrequencyLastYear2">#REF!</definedName>
    <definedName name="ELWEBPurchaseFrequencyLastYear3">#REF!</definedName>
    <definedName name="ELWEBPurchaseFrequencyThisYear2">#REF!</definedName>
    <definedName name="ELWEBPurchaseFrequencyThisYear3">#REF!</definedName>
    <definedName name="ELWEBTopBuyersLastYear">#REF!</definedName>
    <definedName name="ELWEBTopBuyersLastYear1">#REF!</definedName>
    <definedName name="ELWEBTopBuyersThisYear2">#REF!</definedName>
    <definedName name="ELWEBTopBuyersThisYear3">#REF!</definedName>
    <definedName name="ELWEBValueBandLastYear">#REF!</definedName>
    <definedName name="ELWEBValueBandLastYear1">#REF!</definedName>
    <definedName name="Email">#REF!</definedName>
    <definedName name="email1">#REF!</definedName>
    <definedName name="email10">#REF!</definedName>
    <definedName name="email11">#REF!</definedName>
    <definedName name="email12">#REF!</definedName>
    <definedName name="email13">#REF!</definedName>
    <definedName name="email14">#REF!</definedName>
    <definedName name="email2">#REF!</definedName>
    <definedName name="email3">#REF!</definedName>
    <definedName name="email4">#REF!</definedName>
    <definedName name="email5">#REF!</definedName>
    <definedName name="email6">#REF!</definedName>
    <definedName name="email7">#REF!</definedName>
    <definedName name="email8">#REF!</definedName>
    <definedName name="email9">#REF!</definedName>
    <definedName name="emailType">OFFSET(#REF!,0,0,COUNTA(#REF!)-1,1)</definedName>
    <definedName name="EMEAReg">#REF!</definedName>
    <definedName name="emily" hidden="1">{#N/A,#N/A,FALSE,"Calc";#N/A,#N/A,FALSE,"Sensitivity";#N/A,#N/A,FALSE,"LT Earn.Dil.";#N/A,#N/A,FALSE,"Dil. AVP"}</definedName>
    <definedName name="END_ADS">#REF!</definedName>
    <definedName name="End_Date">#REF!</definedName>
    <definedName name="END_GRASS">#REF!</definedName>
    <definedName name="END_SEARCH">#REF!</definedName>
    <definedName name="EndDate">#REF!</definedName>
    <definedName name="Ent">#REF!</definedName>
    <definedName name="ENT.APAC">#REF!</definedName>
    <definedName name="ENT.EMA">#REF!</definedName>
    <definedName name="ENT.GBL">#REF!</definedName>
    <definedName name="ENT.GSE">#REF!</definedName>
    <definedName name="ENT.INTL">#REF!</definedName>
    <definedName name="ENT.LA">#REF!</definedName>
    <definedName name="ENT.MGTOTH">#REF!</definedName>
    <definedName name="ENT.NAFFIL">#REF!</definedName>
    <definedName name="ENT.PLT">#REF!</definedName>
    <definedName name="ENT.TRD">#REF!</definedName>
    <definedName name="ENT.UK">#REF!</definedName>
    <definedName name="Enter_additional_application">#REF!</definedName>
    <definedName name="Entered_Pmt">#REF!</definedName>
    <definedName name="Entity">#REF!</definedName>
    <definedName name="Entity.List">#REF!</definedName>
    <definedName name="ENTITY.SEL">#REF!</definedName>
    <definedName name="Entity_Name">#REF!</definedName>
    <definedName name="Entity_Select">#REF!</definedName>
    <definedName name="Entity_Titles">#REF!</definedName>
    <definedName name="entityname">#REF!</definedName>
    <definedName name="EPS">#REF!</definedName>
    <definedName name="EQUIPMENT">#REF!</definedName>
    <definedName name="er">#REF!</definedName>
    <definedName name="ert" hidden="1">#REF!</definedName>
    <definedName name="erwer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S.OSSHARES">#REF!</definedName>
    <definedName name="ESignature">#REF!</definedName>
    <definedName name="EssAliasTable">"Default"</definedName>
    <definedName name="essbase">#REF!</definedName>
    <definedName name="essbase1">#REF!</definedName>
    <definedName name="essbase2">#REF!</definedName>
    <definedName name="essbase3">#REF!</definedName>
    <definedName name="EssOptions">"2100000010120000_01000"</definedName>
    <definedName name="Est">#REF!</definedName>
    <definedName name="est.act">#REF!</definedName>
    <definedName name="EST.CAT">#REF!</definedName>
    <definedName name="est.name">#REF!</definedName>
    <definedName name="EstAcqs">#REF!</definedName>
    <definedName name="EstClicks">#REF!</definedName>
    <definedName name="EstClicksDaily">#REF!</definedName>
    <definedName name="EstCPC">#REF!</definedName>
    <definedName name="EstCPCRatecard">#REF!</definedName>
    <definedName name="EstCPM">#REF!</definedName>
    <definedName name="EstCPMRatecard">#REF!</definedName>
    <definedName name="EstCTR">#REF!</definedName>
    <definedName name="EstCVR">#REF!</definedName>
    <definedName name="EstImpressions">#REF!</definedName>
    <definedName name="EstImpressionsDaily">#REF!</definedName>
    <definedName name="EstTotalClicks">#REF!</definedName>
    <definedName name="EstTotalImpressions">#REF!</definedName>
    <definedName name="et" hidden="1">#REF!</definedName>
    <definedName name="EUCL">#REF!</definedName>
    <definedName name="Eurafr">#REF!</definedName>
    <definedName name="EURO">#REF!</definedName>
    <definedName name="Europe">#REF!</definedName>
    <definedName name="europe1">#REF!</definedName>
    <definedName name="EV__EXPOPTIONS__" hidden="1">0</definedName>
    <definedName name="EV__LASTREFTIME__" hidden="1">40276.7892824074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134217791</definedName>
    <definedName name="EV__WBVERSION__" hidden="1">0</definedName>
    <definedName name="EV__WSINFO__" hidden="1">"CPM"</definedName>
    <definedName name="Event_Description">#REF!</definedName>
    <definedName name="Excel_BuiltIn_Print_Area">#REF!</definedName>
    <definedName name="exchangerate">#REF!</definedName>
    <definedName name="Exec0">#REF!</definedName>
    <definedName name="Exec1">#REF!</definedName>
    <definedName name="Exec10">#REF!</definedName>
    <definedName name="Exec11">#REF!</definedName>
    <definedName name="Exec12">#REF!</definedName>
    <definedName name="Exec13">#REF!</definedName>
    <definedName name="Exec14">#REF!</definedName>
    <definedName name="Exec15">#REF!</definedName>
    <definedName name="Exec16">#REF!</definedName>
    <definedName name="Exec17">#REF!</definedName>
    <definedName name="Exec18">#REF!</definedName>
    <definedName name="Exec19">#REF!</definedName>
    <definedName name="Exec2">#REF!</definedName>
    <definedName name="Exec20">#REF!</definedName>
    <definedName name="Exec21">#REF!</definedName>
    <definedName name="Exec22">#REF!</definedName>
    <definedName name="Exec23">#REF!</definedName>
    <definedName name="Exec24">#REF!</definedName>
    <definedName name="Exec25">#REF!</definedName>
    <definedName name="Exec26">#REF!</definedName>
    <definedName name="Exec27">#REF!</definedName>
    <definedName name="Exec28">#REF!</definedName>
    <definedName name="Exec29">#REF!</definedName>
    <definedName name="Exec3">#REF!</definedName>
    <definedName name="Exec30">#REF!</definedName>
    <definedName name="Exec31">#REF!</definedName>
    <definedName name="Exec32">#REF!</definedName>
    <definedName name="Exec33">#REF!</definedName>
    <definedName name="Exec34">#REF!</definedName>
    <definedName name="Exec35">#REF!</definedName>
    <definedName name="Exec36">#REF!</definedName>
    <definedName name="Exec4">#REF!</definedName>
    <definedName name="Exec5">#REF!</definedName>
    <definedName name="Exec6">#REF!</definedName>
    <definedName name="Exec7">#REF!</definedName>
    <definedName name="Exec8">#REF!</definedName>
    <definedName name="Exec9">#REF!</definedName>
    <definedName name="ExistingExisting">#REF!</definedName>
    <definedName name="exp">#REF!</definedName>
    <definedName name="Exp_Rate">#REF!</definedName>
    <definedName name="Extract_MI">#REF!</definedName>
    <definedName name="eye">#REF!</definedName>
    <definedName name="f">#REF!</definedName>
    <definedName name="F.C_PREM">#REF!</definedName>
    <definedName name="fadfadfa">#REF!</definedName>
    <definedName name="faf">#REF!</definedName>
    <definedName name="fall">#REF!</definedName>
    <definedName name="Farbbereich1">#REF!,#REF!,#REF!,#REF!,#REF!,#REF!,#REF!,#REF!,#REF!,#REF!</definedName>
    <definedName name="Farbbereich2">#REF!,#REF!</definedName>
    <definedName name="Farbbereich3">#REF!,#REF!,#REF!,#REF!,#REF!,#REF!,#REF!,#REF!,#REF!,#REF!,#REF!,#REF!,#REF!,#REF!,#REF!,#REF!,#REF!</definedName>
    <definedName name="Farbbereich4">#REF!,#REF!,#REF!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ashion">#REF!</definedName>
    <definedName name="FATTI">#N/A</definedName>
    <definedName name="fax">#REF!</definedName>
    <definedName name="FCDist">#REF!</definedName>
    <definedName name="fcuk">#REF!</definedName>
    <definedName name="fd">#REF!</definedName>
    <definedName name="fdf">#REF!</definedName>
    <definedName name="fdgdg" hidden="1">#REF!</definedName>
    <definedName name="fds" hidden="1">{"comps",#N/A,FALSE,"comps";"notes",#N/A,FALSE,"comps"}</definedName>
    <definedName name="fdsf" hidden="1">{"general",#N/A,FALSE,"Assumptions"}</definedName>
    <definedName name="Feb">#REF!</definedName>
    <definedName name="Feb.2">#REF!</definedName>
    <definedName name="fer">#REF!</definedName>
    <definedName name="ff">#REF!</definedName>
    <definedName name="fff">#REF!</definedName>
    <definedName name="ffff" hidden="1">{"'毛利比较'!$A$4:$P$26"}</definedName>
    <definedName name="ffffff" hidden="1">{"budget992000 capex",#N/A,FALSE,"Celtel alternative 6"}</definedName>
    <definedName name="fg">#REF!</definedName>
    <definedName name="fgdfgd" hidden="1">{"'Matrix'!$A$3:$J$47"}</definedName>
    <definedName name="fgdfgdf" hidden="1">#REF!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ddf" hidden="1">{"Employee Efficiency",#N/A,FALSE,"Benchmarking"}</definedName>
    <definedName name="fgoo">#REF!</definedName>
    <definedName name="fgs">#REF!</definedName>
    <definedName name="fidfu">#REF!</definedName>
    <definedName name="FILE">#REF!</definedName>
    <definedName name="File_Name">#REF!</definedName>
    <definedName name="File_Size_KB">#REF!</definedName>
    <definedName name="FileFormat">#REF!</definedName>
    <definedName name="FILENAME">#REF!</definedName>
    <definedName name="Fin_Inf">#REF!</definedName>
    <definedName name="FINAL">#REF!</definedName>
    <definedName name="FinalPaymentCost">#REF!</definedName>
    <definedName name="Financials">#REF!</definedName>
    <definedName name="FindWhat_keyword_1">#REF!</definedName>
    <definedName name="FINSUM">#REF!</definedName>
    <definedName name="FirstCPMBuyRow">#REF!</definedName>
    <definedName name="FirstCPMRow">#REF!</definedName>
    <definedName name="FirstMonthLabel">#REF!</definedName>
    <definedName name="FirstOtherCostMethodBuyRow">#REF!</definedName>
    <definedName name="FirstOtherRow">#REF!</definedName>
    <definedName name="fis">#REF!</definedName>
    <definedName name="fiscal">#REF!</definedName>
    <definedName name="Fiscal2">#REF!</definedName>
    <definedName name="FiscalValue">#REF!</definedName>
    <definedName name="FiscalYear">#REF!</definedName>
    <definedName name="fisover">#REF!</definedName>
    <definedName name="flashversion">#REF!</definedName>
    <definedName name="flighting">#REF!</definedName>
    <definedName name="floom">#REF!</definedName>
    <definedName name="Flowchart">#REF!</definedName>
    <definedName name="flu">#REF!</definedName>
    <definedName name="FLUCTUATION">#REF!</definedName>
    <definedName name="fob">#REF!</definedName>
    <definedName name="FORE">#REF!</definedName>
    <definedName name="Forecast_Data">#REF!</definedName>
    <definedName name="forloc">#REF!</definedName>
    <definedName name="FORMAT">#REF!</definedName>
    <definedName name="format100">#REF!</definedName>
    <definedName name="format101">#REF!</definedName>
    <definedName name="format11">#REF!</definedName>
    <definedName name="format110">#REF!</definedName>
    <definedName name="format1100">#REF!</definedName>
    <definedName name="format1101">#REF!</definedName>
    <definedName name="format1110">#REF!</definedName>
    <definedName name="format1111">#REF!</definedName>
    <definedName name="formatavaliable">#REF!</definedName>
    <definedName name="Formulas">#REF!</definedName>
    <definedName name="fover">#REF!</definedName>
    <definedName name="FPD_Status_by_MBU">#REF!</definedName>
    <definedName name="fr">#REF!</definedName>
    <definedName name="France">#REF!</definedName>
    <definedName name="Franch">#REF!</definedName>
    <definedName name="Franchise_List_Index">#REF!</definedName>
    <definedName name="Franchise_Major_Category">#REF!</definedName>
    <definedName name="Franchise_Major_Category_Occurance">#REF!</definedName>
    <definedName name="Frank" hidden="1">{#N/A,#N/A,TRUE,"Cover sheet";#N/A,#N/A,TRUE,"DCF analysis";#N/A,#N/A,TRUE,"WACC calculation"}</definedName>
    <definedName name="fred">#REF!</definedName>
    <definedName name="freq">#REF!</definedName>
    <definedName name="FREQ.1">#REF!</definedName>
    <definedName name="FREQ.2">#REF!</definedName>
    <definedName name="FREQ.3">#REF!</definedName>
    <definedName name="Freq.M">#REF!</definedName>
    <definedName name="Freq.Qtr">#REF!</definedName>
    <definedName name="Freq.YTD">#REF!</definedName>
    <definedName name="freq1">#REF!</definedName>
    <definedName name="freq2">#REF!</definedName>
    <definedName name="FREQUENCY">#REF!</definedName>
    <definedName name="FrontBuyoutRate">#REF!</definedName>
    <definedName name="FRqtr">OFFSET(#REF!,0,0,COUNTA(#REF!),COUNTA(#REF!))</definedName>
    <definedName name="frw">#REF!</definedName>
    <definedName name="fsadfas" hidden="1">#REF!</definedName>
    <definedName name="FSMR">#REF!</definedName>
    <definedName name="fswx">#REF!</definedName>
    <definedName name="FT">#REF!</definedName>
    <definedName name="FTE_Contractor">#REF!</definedName>
    <definedName name="FTE_Employee">#REF!</definedName>
    <definedName name="FTE_EmployeeCount">#REF!</definedName>
    <definedName name="FTE_EmployeeNonCount">#REF!</definedName>
    <definedName name="fuck">#REF!</definedName>
    <definedName name="fucker">#REF!</definedName>
    <definedName name="fuffuy" hidden="1">{#N/A,#N/A,FALSE,"Cover";"outputs total",#N/A,FALSE,"Outputs"}</definedName>
    <definedName name="fun">#REF!</definedName>
    <definedName name="Function">#REF!</definedName>
    <definedName name="fundnat">#REF!</definedName>
    <definedName name="fundnyc">#REF!</definedName>
    <definedName name="funfun">#REF!</definedName>
    <definedName name="funny">#REF!</definedName>
    <definedName name="furn">#REF!</definedName>
    <definedName name="furniture">#REF!</definedName>
    <definedName name="FY">#REF!</definedName>
    <definedName name="FY12_SRP">#REF!</definedName>
    <definedName name="FY13_H1_Date">#REF!</definedName>
    <definedName name="FY13_H1_SRP">#REF!</definedName>
    <definedName name="FY13_H2_Date">#REF!</definedName>
    <definedName name="FY13_H2_SRP">#REF!</definedName>
    <definedName name="FY13_SRP">#REF!</definedName>
    <definedName name="FY14_Date_Range">#REF!</definedName>
    <definedName name="FY14_H1_Date">#REF!</definedName>
    <definedName name="FY14_H1_SRP">#REF!</definedName>
    <definedName name="FY14_H2_Date">#REF!</definedName>
    <definedName name="FY14_H2_SRP">#REF!</definedName>
    <definedName name="FY15_Date_Range">#REF!</definedName>
    <definedName name="FY15_H1_Date">#REF!</definedName>
    <definedName name="FY15_H1_SRP">#REF!</definedName>
    <definedName name="FY15_H2_Date">#REF!</definedName>
    <definedName name="FY15_H2_SRP">#REF!</definedName>
    <definedName name="FY16_Date_Range">#REF!</definedName>
    <definedName name="FY16_H1_Date">#REF!</definedName>
    <definedName name="FY16_H1_SRP">#REF!</definedName>
    <definedName name="FY16_H2_Date">#REF!</definedName>
    <definedName name="FY16_H2_SRP">#REF!</definedName>
    <definedName name="FY16Summary" hidden="1">#REF!</definedName>
    <definedName name="FY17_Date_Range">#REF!</definedName>
    <definedName name="FY17_H1_Date">#REF!</definedName>
    <definedName name="FY17_H1_SRP">#REF!</definedName>
    <definedName name="FY17_H2_Date">#REF!</definedName>
    <definedName name="FY17_H2_SRP">#REF!</definedName>
    <definedName name="FYQ">#REF!</definedName>
    <definedName name="FZ">#REF!</definedName>
    <definedName name="FZ_REG_ID_V1_V2">#REF!</definedName>
    <definedName name="g">#REF!</definedName>
    <definedName name="gaaa">#REF!</definedName>
    <definedName name="GAC">#REF!</definedName>
    <definedName name="gaga">#REF!</definedName>
    <definedName name="gah">#REF!</definedName>
    <definedName name="GantDataBottom">#REF!</definedName>
    <definedName name="GantStartDay">#REF!</definedName>
    <definedName name="GantStartMonth">#REF!</definedName>
    <definedName name="GantWeekendDayName">#REF!</definedName>
    <definedName name="Garnier">#REF!</definedName>
    <definedName name="gasf">#REF!</definedName>
    <definedName name="GB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bi">#REF!</definedName>
    <definedName name="gbifl">#REF!</definedName>
    <definedName name="gcat">#REF!</definedName>
    <definedName name="gconnyc">#REF!</definedName>
    <definedName name="gcum">#REF!</definedName>
    <definedName name="gcume">#REF!</definedName>
    <definedName name="gcumfl">#REF!</definedName>
    <definedName name="gdelete">#REF!</definedName>
    <definedName name="gdelete2">#REF!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dfgd" hidden="1">#REF!</definedName>
    <definedName name="gdsfg" hidden="1">{#N/A,#N/A,TRUE,"Cover sheet";#N/A,#N/A,TRUE,"INPUTS";#N/A,#N/A,TRUE,"OUTPUTS";#N/A,#N/A,TRUE,"VALUATION"}</definedName>
    <definedName name="geddy">#REF!</definedName>
    <definedName name="gem">#REF!</definedName>
    <definedName name="GeneralInformation">#REF!</definedName>
    <definedName name="GENTE">#N/A</definedName>
    <definedName name="Geotargeting">#REF!</definedName>
    <definedName name="Germany">#REF!</definedName>
    <definedName name="GetActuals">#REF!</definedName>
    <definedName name="gf">#REF!</definedName>
    <definedName name="gfashion">#REF!</definedName>
    <definedName name="gfbi">#REF!</definedName>
    <definedName name="gfeb">#REF!</definedName>
    <definedName name="gff">#REF!</definedName>
    <definedName name="gfi">#REF!</definedName>
    <definedName name="gfis">#REF!</definedName>
    <definedName name="gfiscal">#REF!</definedName>
    <definedName name="gfwk1">#REF!</definedName>
    <definedName name="gfwk3">#REF!</definedName>
    <definedName name="gfwk4">#REF!</definedName>
    <definedName name="gfwk5">#REF!</definedName>
    <definedName name="gg">#REF!</definedName>
    <definedName name="ggg">#REF!</definedName>
    <definedName name="gggg">#REF!</definedName>
    <definedName name="ggggg" hidden="1">{"budget992000_customers",#N/A,FALSE,"Celtel alternative 6"}</definedName>
    <definedName name="ggggggg" hidden="1">{"budget992000 profit and loss",#N/A,FALSE,"Celtel alternative 6"}</definedName>
    <definedName name="gggggggggggggggg" hidden="1">{#N/A,#N/A,FALSE,"elraw";#N/A,#N/A,FALSE,"clraw ";#N/A,#N/A,FALSE,"pxraw ";#N/A,#N/A,FALSE,"arraw ";#N/A,#N/A,FALSE,"orraw ";#N/A,#N/A,FALSE,"90raw  ";#N/A,#N/A,FALSE,"dcraw   "}</definedName>
    <definedName name="gh">#REF!</definedName>
    <definedName name="ghbi">#REF!</definedName>
    <definedName name="ghf">#REF!</definedName>
    <definedName name="ghfour">#REF!</definedName>
    <definedName name="ghg">#REF!</definedName>
    <definedName name="ghjgfhs">#REF!</definedName>
    <definedName name="ghome">#REF!</definedName>
    <definedName name="ghwk1">#REF!</definedName>
    <definedName name="ghwk3">#REF!</definedName>
    <definedName name="ghwk4">#REF!</definedName>
    <definedName name="ghwk5">#REF!</definedName>
    <definedName name="gl">#REF!</definedName>
    <definedName name="GL_2">#REF!</definedName>
    <definedName name="GL_Main">#REF!</definedName>
    <definedName name="glb.ent">#REF!</definedName>
    <definedName name="gll">#REF!</definedName>
    <definedName name="Global_Brands">#REF!</definedName>
    <definedName name="Global_Support">#REF!</definedName>
    <definedName name="globalnat">#REF!</definedName>
    <definedName name="GM">#REF!</definedName>
    <definedName name="gnd">#REF!</definedName>
    <definedName name="go">#REF!</definedName>
    <definedName name="GoAssetChart">#REF!</definedName>
    <definedName name="GoBack">#REF!</definedName>
    <definedName name="GoBack2">#REF!</definedName>
    <definedName name="GoBalanceSheet">#REF!</definedName>
    <definedName name="GoCashFlow">#REF!</definedName>
    <definedName name="GoClick_keyword_1">#REF!</definedName>
    <definedName name="goct">#REF!</definedName>
    <definedName name="gocume">#REF!</definedName>
    <definedName name="GoData">#REF!</definedName>
    <definedName name="Godata1">#REF!</definedName>
    <definedName name="godelete">#REF!</definedName>
    <definedName name="gog">#REF!</definedName>
    <definedName name="gogo" hidden="1">{#N/A,#N/A,TRUE,"Cover sheet";#N/A,#N/A,TRUE,"INPUTS";#N/A,#N/A,TRUE,"OUTPUTS";#N/A,#N/A,TRUE,"VALUATION"}</definedName>
    <definedName name="GoIncomeChart">#REF!</definedName>
    <definedName name="gongyi">#REF!</definedName>
    <definedName name="goo">#REF!</definedName>
    <definedName name="good">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g">#REF!</definedName>
    <definedName name="googcon">#REF!</definedName>
    <definedName name="googconnat">#REF!</definedName>
    <definedName name="googdelete">#REF!</definedName>
    <definedName name="googdignat">#REF!</definedName>
    <definedName name="googf">#REF!</definedName>
    <definedName name="googh">#REF!</definedName>
    <definedName name="google">#REF!</definedName>
    <definedName name="Google_keyword_1">#REF!</definedName>
    <definedName name="google1">#REF!</definedName>
    <definedName name="google2">#REF!</definedName>
    <definedName name="googlecat">#REF!</definedName>
    <definedName name="googleconnat">#REF!</definedName>
    <definedName name="googleconnyc">#REF!</definedName>
    <definedName name="googlef">#REF!</definedName>
    <definedName name="googleh">#REF!</definedName>
    <definedName name="googler">#REF!</definedName>
    <definedName name="googlesales">#REF!</definedName>
    <definedName name="googleun">#REF!</definedName>
    <definedName name="googlish">#REF!</definedName>
    <definedName name="googly">#REF!</definedName>
    <definedName name="goognyccon">#REF!</definedName>
    <definedName name="goognycdig">#REF!</definedName>
    <definedName name="gop">#REF!</definedName>
    <definedName name="gosept">#REF!</definedName>
    <definedName name="GP3_HIDE">#REF!</definedName>
    <definedName name="GPM_CALCULATOR">#REF!</definedName>
    <definedName name="GrandTotalRow">#REF!</definedName>
    <definedName name="Greece">#REF!</definedName>
    <definedName name="GridDate">#REF!</definedName>
    <definedName name="Group">#REF!</definedName>
    <definedName name="GroupType">#REF!</definedName>
    <definedName name="GrowthTTL">#REF!</definedName>
    <definedName name="GRP">#REF!</definedName>
    <definedName name="grp_total">#REF!</definedName>
    <definedName name="GRPS">#REF!</definedName>
    <definedName name="GSCAOR">#REF!</definedName>
    <definedName name="GSEAOR">#REF!</definedName>
    <definedName name="gsept">#REF!</definedName>
    <definedName name="GST">#REF!</definedName>
    <definedName name="gsweeps">#REF!</definedName>
    <definedName name="gtrade">#REF!</definedName>
    <definedName name="GTX">#REF!</definedName>
    <definedName name="Guangzhou">#REF!</definedName>
    <definedName name="Guidance">#REF!</definedName>
    <definedName name="gxqyxl">#REF!</definedName>
    <definedName name="gxqyyl">#REF!</definedName>
    <definedName name="GZ">#REF!</definedName>
    <definedName name="GZA">#REF!</definedName>
    <definedName name="GZB">#REF!</definedName>
    <definedName name="GZC">#REF!</definedName>
    <definedName name="gzc.">#REF!</definedName>
    <definedName name="GZD">#REF!</definedName>
    <definedName name="gzi">#REF!</definedName>
    <definedName name="h" hidden="1">#REF!</definedName>
    <definedName name="H.cp_25">46.1</definedName>
    <definedName name="H.cp150.499">29.45</definedName>
    <definedName name="H.cp25.75">38.4</definedName>
    <definedName name="H.cp500">27.05</definedName>
    <definedName name="H.cp75.149">34</definedName>
    <definedName name="h_v_page_head">#REF!</definedName>
    <definedName name="HACHETTE">#REF!</definedName>
    <definedName name="hangzhou">#REF!</definedName>
    <definedName name="Hannes">#REF!</definedName>
    <definedName name="Harvey">#REF!</definedName>
    <definedName name="Harvey1">#REF!</definedName>
    <definedName name="hat">#REF!</definedName>
    <definedName name="hcat">#REF!</definedName>
    <definedName name="hcat2">#REF!</definedName>
    <definedName name="hcpccum">#REF!</definedName>
    <definedName name="HDcpm">#REF!</definedName>
    <definedName name="HdctTable">#REF!</definedName>
    <definedName name="HdLan">#REF!</definedName>
    <definedName name="headcount">#REF!</definedName>
    <definedName name="Header.AdvertiserName">#REF!</definedName>
    <definedName name="Header.AgencyContactEmail">#REF!</definedName>
    <definedName name="Header.AgencyContactFax">#REF!</definedName>
    <definedName name="Header.AgencyContactName">#REF!</definedName>
    <definedName name="Header.AgencyContactPhone">#REF!</definedName>
    <definedName name="Header.AgreementName">#REF!</definedName>
    <definedName name="Header.CalcEndDate">#REF!</definedName>
    <definedName name="header.CalcGrossSpend">#REF!</definedName>
    <definedName name="Header.CalcStartDate">#REF!</definedName>
    <definedName name="header.ClientAdvertiser">#REF!</definedName>
    <definedName name="Header.ClientName">#REF!</definedName>
    <definedName name="Header.IONumber">#REF!</definedName>
    <definedName name="Header.LegalText">#REF!</definedName>
    <definedName name="header.MediaPlanName">#REF!</definedName>
    <definedName name="Header.MediaPlanNumber">#REF!</definedName>
    <definedName name="Header.OutClause">#REF!</definedName>
    <definedName name="Header.PaymentTermName">#REF!</definedName>
    <definedName name="Header.POText">#REF!</definedName>
    <definedName name="header.ProductName">#REF!</definedName>
    <definedName name="Header.PublishingSiteName">#REF!</definedName>
    <definedName name="Header.RevisedCancelledNewDate">#REF!</definedName>
    <definedName name="Header.RevisedCancelledNewLabel">#REF!</definedName>
    <definedName name="Header.SalesContactEmail">#REF!</definedName>
    <definedName name="Header.SalesContactFax">#REF!</definedName>
    <definedName name="Header.SalesContactName">#REF!</definedName>
    <definedName name="Header.SalesContactPhone">#REF!</definedName>
    <definedName name="Header.SendInvoiceAddr1">#REF!</definedName>
    <definedName name="Header.SendInvoiceAddr2">#REF!</definedName>
    <definedName name="Header.SendInvoiceBillingDept">#REF!</definedName>
    <definedName name="Header.SendInvoiceCityStatePostal">#REF!</definedName>
    <definedName name="Header.SendInvoiceEmail">#REF!</definedName>
    <definedName name="Header.SendInvoiceFax">#REF!</definedName>
    <definedName name="Header.SendInvoiceName">#REF!</definedName>
    <definedName name="Header.SendInvoicePhone">#REF!</definedName>
    <definedName name="Header.SpecialInstructionsPaymentTerms">#REF!</definedName>
    <definedName name="Header.SpecialTerms">#REF!</definedName>
    <definedName name="Header.StatCountTypeName">#REF!</definedName>
    <definedName name="Header.Title">#REF!</definedName>
    <definedName name="Header_Area">#REF!</definedName>
    <definedName name="HEADERS">#REF!</definedName>
    <definedName name="Heavbudget">#REF!</definedName>
    <definedName name="heavybudget">#REF!</definedName>
    <definedName name="HelenaRubinson">#REF!</definedName>
    <definedName name="HelenaRubinstein">#REF!</definedName>
    <definedName name="hello">#REF!</definedName>
    <definedName name="help">#REF!</definedName>
    <definedName name="help1">#REF!</definedName>
    <definedName name="help2">#REF!</definedName>
    <definedName name="help3">#REF!</definedName>
    <definedName name="help4">#REF!</definedName>
    <definedName name="help5">#REF!</definedName>
    <definedName name="help6">#REF!</definedName>
    <definedName name="help7">#REF!</definedName>
    <definedName name="help8" hidden="1">{#N/A,#N/A,FALSE,"W-Cons";#N/A,#N/A,FALSE,"MTAs";#N/A,#N/A,FALSE,"BTAs";#N/A,#N/A,FALSE,"D.C.";#N/A,#N/A,FALSE,"L.A."}</definedName>
    <definedName name="henan">#REF!</definedName>
    <definedName name="hgjfjfjjtyj" hidden="1">{"'Matrix'!$A$3:$J$47"}</definedName>
    <definedName name="hgoo">#REF!</definedName>
    <definedName name="hh">#REF!</definedName>
    <definedName name="hhhsdf" hidden="1">{"up stand alones",#N/A,FALSE,"Acquiror"}</definedName>
    <definedName name="hi" hidden="1">#REF!</definedName>
    <definedName name="HIDE_LY">#REF!,#REF!,#REF!</definedName>
    <definedName name="Hide_Opex">#REF!,#REF!</definedName>
    <definedName name="Hide_PrevPlan">#REF!,#REF!</definedName>
    <definedName name="Hide_Reg">#REF!,#REF!,#REF!,#REF!</definedName>
    <definedName name="Hide_RegQtrs">#REF!,#REF!</definedName>
    <definedName name="hist.cat">#REF!</definedName>
    <definedName name="history">#REF!</definedName>
    <definedName name="hjxfxgjf">#REF!</definedName>
    <definedName name="hkjj" hidden="1">{"Line Efficiency",#N/A,FALSE,"Benchmarking"}</definedName>
    <definedName name="hknew">#REF!</definedName>
    <definedName name="ho">#REF!</definedName>
    <definedName name="hoja">#REF!</definedName>
    <definedName name="HÖJD">#REF!</definedName>
    <definedName name="home">#REF!</definedName>
    <definedName name="homecat">#REF!</definedName>
    <definedName name="homeg">#REF!</definedName>
    <definedName name="hoot">#REF!</definedName>
    <definedName name="hor">#REF!</definedName>
    <definedName name="Horchow">#REF!</definedName>
    <definedName name="horchow1">#REF!</definedName>
    <definedName name="horcpc">#REF!</definedName>
    <definedName name="horfis">#REF!</definedName>
    <definedName name="hourly">#REF!</definedName>
    <definedName name="Hours">#REF!</definedName>
    <definedName name="hover">#REF!</definedName>
    <definedName name="howToChange">#REF!</definedName>
    <definedName name="howToCheck">#REF!</definedName>
    <definedName name="hp">#REF!</definedName>
    <definedName name="HQLogo_1">#REF!</definedName>
    <definedName name="hqp">#REF!</definedName>
    <definedName name="HRB">#REF!</definedName>
    <definedName name="HScpm">#REF!</definedName>
    <definedName name="HTML_CodePage" hidden="1">1252</definedName>
    <definedName name="HTML_Control" hidden="1">{"'OPTION TW (N)'!$I$28:$K$28"}</definedName>
    <definedName name="HTML_Description" hidden="1">""</definedName>
    <definedName name="HTML_Email" hidden="1">""</definedName>
    <definedName name="HTML_Header" hidden="1">"OPTION TW (N)"</definedName>
    <definedName name="HTML_LastUpdate" hidden="1">"28/08/98"</definedName>
    <definedName name="HTML_LineAfter" hidden="1">FALSE</definedName>
    <definedName name="HTML_LineBefore" hidden="1">FALSE</definedName>
    <definedName name="HTML_Name" hidden="1">"jessica"</definedName>
    <definedName name="HTML_OBDlg2" hidden="1">TRUE</definedName>
    <definedName name="HTML_OBDlg4" hidden="1">TRUE</definedName>
    <definedName name="HTML_OS" hidden="1">0</definedName>
    <definedName name="HTML_PathFile" hidden="1">"J:\DB\VIVIEN\MyHTML.htm"</definedName>
    <definedName name="HTML_Title" hidden="1">"CPRPN"</definedName>
    <definedName name="hujpo">#REF!</definedName>
    <definedName name="Hungary">#REF!</definedName>
    <definedName name="hw_deprec">#REF!</definedName>
    <definedName name="HW_Depreciation">#REF!</definedName>
    <definedName name="HW_Maintenance">#REF!</definedName>
    <definedName name="hy">#REF!</definedName>
    <definedName name="HZ">#REF!</definedName>
    <definedName name="HZA">#REF!</definedName>
    <definedName name="HZB">#REF!</definedName>
    <definedName name="HZC">#REF!</definedName>
    <definedName name="HZD">#REF!</definedName>
    <definedName name="hzda">#N/A</definedName>
    <definedName name="hzdb">#N/A</definedName>
    <definedName name="I">#REF!</definedName>
    <definedName name="ibazar">#REF!</definedName>
    <definedName name="ID">#REF!</definedName>
    <definedName name="IEU">#REF!</definedName>
    <definedName name="IgnoreDetail">#REF!</definedName>
    <definedName name="ii">#REF!</definedName>
    <definedName name="ijnne">#REF!</definedName>
    <definedName name="Import_Date">#REF!</definedName>
    <definedName name="inactives">#REF!</definedName>
    <definedName name="InBook">#REF!,#REF!,#REF!,#REF!,#REF!,#REF!,#REF!,#REF!,#REF!,#REF!,#REF!,#REF!,#REF!,#REF!,#REF!,#REF!,#REF!,#REF!,#REF!,#REF!,#REF!,#REF!,#REF!</definedName>
    <definedName name="inc">1.04</definedName>
    <definedName name="Inc_state">#REF!</definedName>
    <definedName name="INCOME.TOGGLE">#REF!</definedName>
    <definedName name="index.translation">#REF!</definedName>
    <definedName name="Indexlink">#REF!</definedName>
    <definedName name="INDIA">#REF!</definedName>
    <definedName name="indnew">#REF!</definedName>
    <definedName name="Industry">#REF!</definedName>
    <definedName name="IndustryBrains_keyword_1">#REF!</definedName>
    <definedName name="inf.">#REF!</definedName>
    <definedName name="infasil">#REF!</definedName>
    <definedName name="infasil1">#REF!</definedName>
    <definedName name="info">#REF!</definedName>
    <definedName name="införande">#REF!</definedName>
    <definedName name="Infrastructure_leadership">#REF!</definedName>
    <definedName name="INGL">#REF!</definedName>
    <definedName name="Inpagevideo">#REF!</definedName>
    <definedName name="Input.CoopAdv">#REF!</definedName>
    <definedName name="Input.customercare">#REF!</definedName>
    <definedName name="Input.SwitchingCost20">#REF!</definedName>
    <definedName name="Input.SwitchingRate20">#REF!</definedName>
    <definedName name="Insert_Area">#REF!</definedName>
    <definedName name="International">#REF!</definedName>
    <definedName name="Internet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ernet1">#REF!</definedName>
    <definedName name="inthousand">#REF!</definedName>
    <definedName name="INTL">#REF!,#REF!</definedName>
    <definedName name="INTLProdLine">#REF!</definedName>
    <definedName name="IntroPrintArea" hidden="1">#REF!</definedName>
    <definedName name="Inventory_Served">#REF!</definedName>
    <definedName name="Inventory_Type">#REF!</definedName>
    <definedName name="Inventory_Units">#REF!</definedName>
    <definedName name="invoice">#REF!</definedName>
    <definedName name="INVOICECOST">#REF!</definedName>
    <definedName name="invoicing">#REF!</definedName>
    <definedName name="invrec">#REF!</definedName>
    <definedName name="IP" hidden="1">{#N/A,#N/A,FALSE,"elraw";#N/A,#N/A,FALSE,"clraw ";#N/A,#N/A,FALSE,"pxraw ";#N/A,#N/A,FALSE,"arraw ";#N/A,#N/A,FALSE,"orraw ";#N/A,#N/A,FALSE,"90raw  ";#N/A,#N/A,FALSE,"dcraw   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NVERT" hidden="1">"c2536"</definedName>
    <definedName name="IQ_CONVERT_DEBT" hidden="1">"c224"</definedName>
    <definedName name="IQ_CONVERT_PCT" hidden="1">"c2537"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NET_INT" hidden="1">"c360"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NET_INT" hidden="1">"c373"</definedName>
    <definedName name="IQ_EBITDA_NO_EST" hidden="1">"c267"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"IQ_EPS_EST_1"</definedName>
    <definedName name="IQ_EPS_NO_EST" hidden="1">"c271"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FFO_REUT" hidden="1">"c3843"</definedName>
    <definedName name="IQ_EST_ACT_FFO_SHARE_SHARE_REUT" hidden="1">"c3843"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EPS_SURPRISE" hidden="1">"c1635"</definedName>
    <definedName name="IQ_EST_FFO_DIFF_REUT" hidden="1">"c3890"</definedName>
    <definedName name="IQ_EST_FFO_SHARE_SHARE_DIFF_REUT" hidden="1">"c3890"</definedName>
    <definedName name="IQ_EST_FFO_SHARE_SHARE_SURPRISE_PERCENT_REUT" hidden="1">"c3891"</definedName>
    <definedName name="IQ_EST_FFO_SURPRISE_PERCENT_REUT" hidden="1">"c3891"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1360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O_EST" hidden="1">"c276"</definedName>
    <definedName name="IQ_FFO_NUM_EST_REUT" hidden="1">"c3841"</definedName>
    <definedName name="IQ_FFO_PAYOUT_RATIO" hidden="1">"c3492"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_REUT" hidden="1">"c3842"</definedName>
    <definedName name="IQ_FH" hidden="1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EXCONSTITUENT_CLOSEPRICE" hidden="1">"c19241"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41849.0073726852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REUT" hidden="1">"c3964"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NO_EST" hidden="1">"c263"</definedName>
    <definedName name="IQ_REVISION_DATE_" hidden="1">39560.4309027778</definedName>
    <definedName name="IQ_REVOLVING_SECURED_1_4_NON_ACCRUAL_FFIEC" hidden="1">"c13314"</definedName>
    <definedName name="IQ_RISK_ADJ_BANK_ASSETS" hidden="1">"c2670"</definedName>
    <definedName name="IQ_ROYALTY_REVENUE_COAL" hidden="1">"c15932"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AL" hidden="1">"c1308"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B_BOOKMARK_COUNT" hidden="1">0</definedName>
    <definedName name="IQRA4" hidden="1">"$A$5:$A$267"</definedName>
    <definedName name="IQRA8" hidden="1">"$A$9:$A$260"</definedName>
    <definedName name="IQRAA6" hidden="1">"$AA$7:$AA$531"</definedName>
    <definedName name="IQRAB6" hidden="1">"$AB$7:$AB$543"</definedName>
    <definedName name="IQRAB8" hidden="1">"$AB$9:$AB$534"</definedName>
    <definedName name="IQRAC8" hidden="1">"$AC$9:$AC$534"</definedName>
    <definedName name="IQRAD8" hidden="1">"$AD$9:$AD$534"</definedName>
    <definedName name="IQRAF17" hidden="1">"$AF$18:$AF$269"</definedName>
    <definedName name="IQRAP89" hidden="1">"$AP$90:$AP$97"</definedName>
    <definedName name="IQRAQ89" hidden="1">"$AQ$90"</definedName>
    <definedName name="IQRAR89" hidden="1">"$AR$90:$AR$97"</definedName>
    <definedName name="IQRAS89" hidden="1">"$AS$90:$AS$93"</definedName>
    <definedName name="IQRAT89" hidden="1">"$AT$90:$AT$97"</definedName>
    <definedName name="IQRAU6" hidden="1">"$AU$7:$AU$444"</definedName>
    <definedName name="IQRAV89" hidden="1">"$AV$90:$AV$97"</definedName>
    <definedName name="IQRAW199" hidden="1">"$AW$200"</definedName>
    <definedName name="IQRAX89" hidden="1">"$AX$90:$AX$97"</definedName>
    <definedName name="IQRAY6" hidden="1">"$AY$7:$AY$444"</definedName>
    <definedName name="IQRB7" hidden="1">"$B$9:$B$261"</definedName>
    <definedName name="IQRB8" hidden="1">"$B$9:$B$260"</definedName>
    <definedName name="IQRBH6" hidden="1">"$BH$7:$BH$444"</definedName>
    <definedName name="IQRBV5" hidden="1">"$BV$6:$BV$632"</definedName>
    <definedName name="IQRBW5" hidden="1">"$BW$6:$BW$632"</definedName>
    <definedName name="IQRC7" hidden="1">"$C$9:$C$261"</definedName>
    <definedName name="IQRC8" hidden="1">"$C$9:$C$260"</definedName>
    <definedName name="IQRC9" hidden="1">"$D$9:$IT$9"</definedName>
    <definedName name="IQRD35" hidden="1">"$D$36:$D$198"</definedName>
    <definedName name="IQRD38" hidden="1">"$D$39"</definedName>
    <definedName name="IQRD55" hidden="1">"$E$55:$IV$55"</definedName>
    <definedName name="IQRD7" hidden="1">"$D$9:$D$261"</definedName>
    <definedName name="IQRE8" hidden="1">"$E$9:$E$259"</definedName>
    <definedName name="IQRE9" hidden="1">"$E$10:$E$13"</definedName>
    <definedName name="IQRF8" hidden="1">"$F$9:$F$259"</definedName>
    <definedName name="IQRG76" hidden="1">"$G$77:$G$750"</definedName>
    <definedName name="IQRG78" hidden="1">"$G$79:$G$766"</definedName>
    <definedName name="IQRG8" hidden="1">"$G$9:$G$259"</definedName>
    <definedName name="IQRM76" hidden="1">"$M$77:$M$750"</definedName>
    <definedName name="IQRM78" hidden="1">"$M$79:$M$766"</definedName>
    <definedName name="IQRU76" hidden="1">"$U$77:$U$750"</definedName>
    <definedName name="IQRU78" hidden="1">"$U$79:$U$766"</definedName>
    <definedName name="IQRV5" hidden="1">"$V$6:$V$258"</definedName>
    <definedName name="IQRX6" hidden="1">"$X$7:$X$444"</definedName>
    <definedName name="IQRZ76" hidden="1">"$Z$77:$Z$750"</definedName>
    <definedName name="IQRZ78" hidden="1">"$Z$79:$Z$766"</definedName>
    <definedName name="IRI_WorkspaceId" hidden="1">"02ddd70defbb476798b1cb62b2eeef6a"</definedName>
    <definedName name="IsCappedCol">#REF!</definedName>
    <definedName name="Israel">#REF!</definedName>
    <definedName name="IsStatic">#REF!</definedName>
    <definedName name="Issues">#REF!</definedName>
    <definedName name="IsValueAdd">#REF!</definedName>
    <definedName name="italia1">#REF!,#REF!,#REF!,#REF!,#REF!,#REF!,#REF!,#REF!,#REF!,#REF!,#REF!,#REF!,#REF!</definedName>
    <definedName name="Italy">#REF!</definedName>
    <definedName name="IUIO">#REF!</definedName>
    <definedName name="IWJ">#REF!</definedName>
    <definedName name="ization">#REF!</definedName>
    <definedName name="J">#REF!</definedName>
    <definedName name="J1R1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425">#REF!</definedName>
    <definedName name="J3F5">#REF!</definedName>
    <definedName name="J3F6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26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5r3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6R3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A">#REF!</definedName>
    <definedName name="J7FB">#REF!</definedName>
    <definedName name="J7R1">#REF!</definedName>
    <definedName name="J7R2">#REF!</definedName>
    <definedName name="J9DE">#REF!</definedName>
    <definedName name="j9ol">#REF!</definedName>
    <definedName name="Jahr">#REF!</definedName>
    <definedName name="Jan">#REF!</definedName>
    <definedName name="Jan.2">#REF!</definedName>
    <definedName name="japannew">#REF!</definedName>
    <definedName name="JE">#REF!</definedName>
    <definedName name="JE_International">#REF!</definedName>
    <definedName name="jessie">#REF!</definedName>
    <definedName name="jf">#REF!</definedName>
    <definedName name="jfjfj" hidden="1">{#N/A,#N/A,TRUE,"Cover sheet";#N/A,#N/A,TRUE,"DCF analysis";#N/A,#N/A,TRUE,"WACC calculation"}</definedName>
    <definedName name="jhk" hidden="1">{"print 1",#N/A,FALSE,"PrimeCo PCS";"print 2",#N/A,FALSE,"PrimeCo PCS";"valuation",#N/A,FALSE,"PrimeCo PCS"}</definedName>
    <definedName name="jiancheng">#REF!</definedName>
    <definedName name="jibie">#REF!</definedName>
    <definedName name="jibie2">#REF!</definedName>
    <definedName name="jinan">#REF!</definedName>
    <definedName name="jj">#REF!</definedName>
    <definedName name="jjj" hidden="1">#REF!</definedName>
    <definedName name="jjoc">#REF!</definedName>
    <definedName name="jk">#REF!</definedName>
    <definedName name="JM_AFF_QTR_ONLINE">#REF!</definedName>
    <definedName name="JM_CURREST_DATA_QTR_ONLINE">#REF!</definedName>
    <definedName name="JM_LYACT_DATA_QTR_ONLINE">#REF!</definedName>
    <definedName name="JM_LYAFF_QTR_ONLINE">#REF!</definedName>
    <definedName name="JM_PL_DATA_QTR_ONLINE">#REF!</definedName>
    <definedName name="JM_PLAFF_QTR_ONLINE">#REF!</definedName>
    <definedName name="JMDecileGroupsLastYear3">#REF!</definedName>
    <definedName name="JMDecileGroupsLastYear4">#REF!</definedName>
    <definedName name="JMDecileGroupsThisYear3">#REF!</definedName>
    <definedName name="JMDecileGroupsThisYear4">#REF!</definedName>
    <definedName name="JMFCODecileGroupsLastYear3">#REF!</definedName>
    <definedName name="JMFCODecileGroupsLastYear4">#REF!</definedName>
    <definedName name="JMFCODecileGroupsThisYear3">#REF!</definedName>
    <definedName name="JMFCODecileGroupsThisYear4">#REF!</definedName>
    <definedName name="JMFCOPurchaseFrequencyLastYear3">#REF!</definedName>
    <definedName name="JMFCOPurchaseFrequencyLastYear4">#REF!</definedName>
    <definedName name="JMFCOPurchaseFrequencyThisYear3">#REF!</definedName>
    <definedName name="JMFCOPurchaseFrequencyThisYear4">#REF!</definedName>
    <definedName name="JMFCOTopBuyersLastYear1">#REF!</definedName>
    <definedName name="JMFCOTopBuyersLastYear2">#REF!</definedName>
    <definedName name="JMFCOTopBuyersThisYear3">#REF!</definedName>
    <definedName name="JMFCOTopBuyersThisYear4">#REF!</definedName>
    <definedName name="JMFCOValueBandLastYear1">#REF!</definedName>
    <definedName name="JMFCOValueBandLastYear2">#REF!</definedName>
    <definedName name="JMFCOValueBandsThisYear3">#REF!</definedName>
    <definedName name="JMFCOValueBandsThisYear4">#REF!</definedName>
    <definedName name="JMiniqueWEBDecileGroupsThisYear3">#REF!</definedName>
    <definedName name="JMiniqueWEBDecileGroupsThisYear4">#REF!</definedName>
    <definedName name="JMiniqueWEBValueBandsThisYear3">#REF!</definedName>
    <definedName name="JMiniqueWEBValueBandsThisYear4">#REF!</definedName>
    <definedName name="jmj">#REF!</definedName>
    <definedName name="JMPurchaseFrequencyLastYear3">#REF!</definedName>
    <definedName name="JMPurchaseFrequencyLastYear4">#REF!</definedName>
    <definedName name="JMPurchaseFrequencyThisYear3">#REF!</definedName>
    <definedName name="JMPurchaseFrequencyThisYear4">#REF!</definedName>
    <definedName name="JMTopBuyersLastYear1">#REF!</definedName>
    <definedName name="JMTopBuyersLastYear2">#REF!</definedName>
    <definedName name="JMTopBuyersThisYear3">#REF!</definedName>
    <definedName name="JMTopBuyersThisYear4">#REF!</definedName>
    <definedName name="JMValueBandLastYear1">#REF!</definedName>
    <definedName name="JMValueBandLastYear2">#REF!</definedName>
    <definedName name="JMValueBandsThisYear3">#REF!</definedName>
    <definedName name="JMValueBandsThisYear4">#REF!</definedName>
    <definedName name="JMWEBDecileGroupsLastYear3">#REF!</definedName>
    <definedName name="JMWEBDecileGroupsLastYear4">#REF!</definedName>
    <definedName name="JMWEBPurchaseFrequencyLastYear3">#REF!</definedName>
    <definedName name="JMWEBPurchaseFrequencyLastYear4">#REF!</definedName>
    <definedName name="JMWEBPurchaseFrequencyThisYear3">#REF!</definedName>
    <definedName name="JMWEBPurchaseFrequencyThisYear4">#REF!</definedName>
    <definedName name="JMWEBTopBuyersLastYear1">#REF!</definedName>
    <definedName name="JMWEBTopBuyersLastYear2">#REF!</definedName>
    <definedName name="JMWEBTopBuyersThisYear3">#REF!</definedName>
    <definedName name="JMWEBTopBuyersThisYear4">#REF!</definedName>
    <definedName name="JMWEBValueBandLastYear1">#REF!</definedName>
    <definedName name="JMWEBValueBandLastYear2">#REF!</definedName>
    <definedName name="JN">#REF!</definedName>
    <definedName name="JOE">#REF!</definedName>
    <definedName name="John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OJE">#REF!</definedName>
    <definedName name="jojo">#REF!</definedName>
    <definedName name="joshua">#REF!</definedName>
    <definedName name="JP">#REF!</definedName>
    <definedName name="ｊｐｏｕ">#REF!</definedName>
    <definedName name="js">#REF!</definedName>
    <definedName name="JSI">#REF!</definedName>
    <definedName name="JSJ" hidden="1">{"'毛利比较'!$A$4:$P$26"}</definedName>
    <definedName name="ju" hidden="1">{#N/A,#N/A,FALSE,"CHANGES";#N/A,#N/A,FALSE,"PROD SUMMARY";#N/A,#N/A,FALSE,"1995 PO SUM";#N/A,#N/A,FALSE,"1995 GEOG SUM";#N/A,#N/A,FALSE,"1996 PO SUM";#N/A,#N/A,FALSE,"1996 GEOG SUM"}</definedName>
    <definedName name="JUDY2">#REF!</definedName>
    <definedName name="Jul">#REF!</definedName>
    <definedName name="Jul.2">#REF!</definedName>
    <definedName name="july">#REF!</definedName>
    <definedName name="julyb">#REF!</definedName>
    <definedName name="Jun">#REF!</definedName>
    <definedName name="Jun.2">#REF!</definedName>
    <definedName name="jungle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k" hidden="1">{#N/A,#N/A,FALSE,"CHANGES";#N/A,#N/A,FALSE,"PROD SUMMARY";#N/A,#N/A,FALSE,"1995 PO SUM";#N/A,#N/A,FALSE,"1995 GEOG SUM";#N/A,#N/A,FALSE,"1996 PO SUM";#N/A,#N/A,FALSE,"1996 GEOG SUM"}</definedName>
    <definedName name="JVFAreaOvh">#REF!</definedName>
    <definedName name="JVFAreaOvh2">#REF!</definedName>
    <definedName name="JVFAreaOvh3">#REF!</definedName>
    <definedName name="JVFAreaOvhYTD">#REF!</definedName>
    <definedName name="JVFSvc">#REF!</definedName>
    <definedName name="JVFSvcCtrCM">#REF!</definedName>
    <definedName name="JVFSvcCtrYTD">#REF!</definedName>
    <definedName name="jzxhj">#REF!</definedName>
    <definedName name="k" hidden="1">#REF!</definedName>
    <definedName name="KA">#REF!</definedName>
    <definedName name="KAJ">#REF!</definedName>
    <definedName name="Kanoodle">#REF!</definedName>
    <definedName name="Kanoodle_keyword_1">#REF!</definedName>
    <definedName name="KC_Rollup">#REF!</definedName>
    <definedName name="Keihl">#REF!</definedName>
    <definedName name="Keihls">#REF!</definedName>
    <definedName name="kenny">#REF!</definedName>
    <definedName name="Kerastase">#REF!</definedName>
    <definedName name="Key_Metric">#REF!</definedName>
    <definedName name="Keyword">#REF!</definedName>
    <definedName name="KEYY" hidden="1">#REF!</definedName>
    <definedName name="KF">#N/A</definedName>
    <definedName name="kgkgk" hidden="1">{#N/A,#N/A,TRUE,"Cover sheet";#N/A,#N/A,TRUE,"DCF analysis";#N/A,#N/A,TRUE,"WACC calculation"}</definedName>
    <definedName name="kh" hidden="1">{#N/A,#N/A,FALSE,"Exp Detail";#N/A,#N/A,FALSE,"Headcount";#N/A,#N/A,FALSE,"Travel";#N/A,#N/A,FALSE,"Summary";#N/A,#N/A,FALSE,"Cap Ex"}</definedName>
    <definedName name="kia">#REF!</definedName>
    <definedName name="Kiehls">#REF!</definedName>
    <definedName name="kj">#REF!</definedName>
    <definedName name="kjdsyf" hidden="1">#REF!</definedName>
    <definedName name="kk">#REF!</definedName>
    <definedName name="kl">#REF!</definedName>
    <definedName name="klklkpkpoiopiop" hidden="1">#REF!</definedName>
    <definedName name="kllhh">#REF!</definedName>
    <definedName name="KLM">#REF!</definedName>
    <definedName name="KM">#REF!</definedName>
    <definedName name="kmh" hidden="1">{#N/A,#N/A,TRUE,"Cover sheet";#N/A,#N/A,TRUE,"DCF analysis";#N/A,#N/A,TRUE,"WACC calculation"}</definedName>
    <definedName name="koreanew">#REF!</definedName>
    <definedName name="Kostenplan">#REF!</definedName>
    <definedName name="kyle">#REF!</definedName>
    <definedName name="L">#REF!</definedName>
    <definedName name="Labor_by_Framework">#REF!</definedName>
    <definedName name="lala">#REF!</definedName>
    <definedName name="Lancome">#REF!</definedName>
    <definedName name="LandingURL">#REF!</definedName>
    <definedName name="Language">#REF!</definedName>
    <definedName name="LanguageCodeLookup">((#REF!):(INDEX(#REF!,MATCH("",#REF!,-1),0)))</definedName>
    <definedName name="Languages">((#REF!):(INDEX(#REF!,MATCH("",#REF!,-1),0)))</definedName>
    <definedName name="LAO">#REF!</definedName>
    <definedName name="LAReg">#REF!</definedName>
    <definedName name="LaRochePosay">#REF!</definedName>
    <definedName name="Last_Year">#REF!</definedName>
    <definedName name="LastColumn">#REF!</definedName>
    <definedName name="Latin_America">#REF!</definedName>
    <definedName name="lauder">#REF!</definedName>
    <definedName name="LAUNCH_DATA">#REF!</definedName>
    <definedName name="LaunchType">#REF!</definedName>
    <definedName name="lba">#REF!</definedName>
    <definedName name="lbaa">#REF!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code">#REF!</definedName>
    <definedName name="LDesc">#REF!</definedName>
    <definedName name="LDFH">#N/A</definedName>
    <definedName name="lds" hidden="1">{#N/A,#N/A,FALSE,"CHANGES";#N/A,#N/A,FALSE,"PROD SUMMARY";#N/A,#N/A,FALSE,"1995 PO SUM";#N/A,#N/A,FALSE,"1995 GEOG SUM";#N/A,#N/A,FALSE,"1996 PO SUM";#N/A,#N/A,FALSE,"1996 GEOG SUM"}</definedName>
    <definedName name="LEAD">#REF!</definedName>
    <definedName name="Leads">#REF!</definedName>
    <definedName name="Legend">#REF!</definedName>
    <definedName name="lformat">#REF!</definedName>
    <definedName name="lg">#REF!</definedName>
    <definedName name="li">[0]!li</definedName>
    <definedName name="lia">#REF!</definedName>
    <definedName name="LIDB">#REF!</definedName>
    <definedName name="LILLIAN" hidden="1">{"'Matrix'!$A$3:$J$47"}</definedName>
    <definedName name="lina">#REF!</definedName>
    <definedName name="Line_of_Service_LOS">#REF!</definedName>
    <definedName name="LineItemBudgetHeader">#REF!</definedName>
    <definedName name="LineItemRateHeader">#REF!</definedName>
    <definedName name="LineItemType">#REF!</definedName>
    <definedName name="LinkedIn">#REF!</definedName>
    <definedName name="lips">#REF!</definedName>
    <definedName name="LIST">#REF!</definedName>
    <definedName name="LIST.ABBRVS">#REF!</definedName>
    <definedName name="LIST.ACCOUNTS">#REF!</definedName>
    <definedName name="LIST.ACCOUNTS.SMAP">#REF!</definedName>
    <definedName name="LIST.ACCTNAME">#REF!</definedName>
    <definedName name="LIST.AFFILDATA">#REF!</definedName>
    <definedName name="LIST.AFFILS">#REF!</definedName>
    <definedName name="LIST.AREA.ALIASES">#REF!</definedName>
    <definedName name="LIST.BRAND">#REF!</definedName>
    <definedName name="LIST.BRAND.ALIASES">#REF!</definedName>
    <definedName name="LIST.Brands">#REF!</definedName>
    <definedName name="LIST.BUSTYPE.ALIASES">#REF!</definedName>
    <definedName name="List.count">#REF!</definedName>
    <definedName name="LIST.CURESTPLN">#REF!</definedName>
    <definedName name="LIST.CURRENCY.ALIASES">#REF!</definedName>
    <definedName name="LIST.CYPLANS">#REF!</definedName>
    <definedName name="LIST.ENTITY.ALIASES">#REF!</definedName>
    <definedName name="LIST.ESTMONTH">#REF!</definedName>
    <definedName name="LIST.FREQ">#REF!</definedName>
    <definedName name="LIST.HYPACCT">#REF!</definedName>
    <definedName name="LIST.MANACCTS">#REF!</definedName>
    <definedName name="LIST.MANAFFIL">#REF!</definedName>
    <definedName name="LIST.MO">#REF!</definedName>
    <definedName name="LIST.MONTH">#REF!</definedName>
    <definedName name="LIST.PERIOD.ALIASES">#REF!</definedName>
    <definedName name="LIST.PLANEST">#REF!</definedName>
    <definedName name="LIST.PLANS">#REF!</definedName>
    <definedName name="LIST.PLANSMAPEST">#REF!</definedName>
    <definedName name="LIST.PRYREST">#REF!</definedName>
    <definedName name="LIST.REGION">#REF!</definedName>
    <definedName name="LIST.RPTHDGS">#REF!</definedName>
    <definedName name="LIST.SCENARIO.ALIASES">#REF!</definedName>
    <definedName name="LIST.SEGMNT.ALIASES">#REF!</definedName>
    <definedName name="LIST.SMAP">#REF!</definedName>
    <definedName name="LIST.SMAPEST">#REF!</definedName>
    <definedName name="LIST.SMAPESTPLN">#REF!</definedName>
    <definedName name="LIST.TIMEVIEW.ALIASES">#REF!</definedName>
    <definedName name="LIST.YEARS">#REF!</definedName>
    <definedName name="ListCPM">#REF!</definedName>
    <definedName name="liuhang">#REF!</definedName>
    <definedName name="liz">#REF!</definedName>
    <definedName name="lk">#REF!</definedName>
    <definedName name="lkj" hidden="1">{"'毛利比较'!$A$4:$P$26"}</definedName>
    <definedName name="lkjhpoqu">#REF!</definedName>
    <definedName name="lkjlklkjlkjlkj" hidden="1">{"page1",#N/A,TRUE,"CSC";"page2",#N/A,TRUE,"CSC"}</definedName>
    <definedName name="ll">#REF!</definedName>
    <definedName name="lm">#REF!</definedName>
    <definedName name="LM_AFF_QTR">#REF!</definedName>
    <definedName name="LM_CUREST_DATA_QTR">#REF!</definedName>
    <definedName name="LM_LYACT_DATA_QTR">#REF!</definedName>
    <definedName name="LM_LYAFF_QTR">#REF!</definedName>
    <definedName name="LM_PL_DATA_QTR">#REF!</definedName>
    <definedName name="LM_PLAFF_QTR">#REF!</definedName>
    <definedName name="LMark">#REF!</definedName>
    <definedName name="LoanTable">#REF!</definedName>
    <definedName name="lobe">#REF!</definedName>
    <definedName name="local">#REF!</definedName>
    <definedName name="Local_3rd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l" hidden="1">{#N/A,#N/A,FALSE,"W-Cons";#N/A,#N/A,FALSE,"MTAs";#N/A,#N/A,FALSE,"BTAs";#N/A,#N/A,FALSE,"D.C.";#N/A,#N/A,FALSE,"L.A."}</definedName>
    <definedName name="LONDON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p_Count">#REF!</definedName>
    <definedName name="loopy">#REF!</definedName>
    <definedName name="lop">#REF!</definedName>
    <definedName name="lopjil">#REF!</definedName>
    <definedName name="LorealCorporate">#REF!</definedName>
    <definedName name="LorealParis">#REF!</definedName>
    <definedName name="LorealProfessional">#REF!</definedName>
    <definedName name="lorn">#REF!</definedName>
    <definedName name="Los_Angeles">#REF!</definedName>
    <definedName name="lp">#REF!</definedName>
    <definedName name="LPD">#REF!</definedName>
    <definedName name="LRCatNSNOP">#REF!</definedName>
    <definedName name="LRChnNS">#REF!</definedName>
    <definedName name="LRPPL">#REF!</definedName>
    <definedName name="LRRegNSNOP">#REF!</definedName>
    <definedName name="LSO">#REF!</definedName>
    <definedName name="LTACT_OPEX_MTH">#REF!</definedName>
    <definedName name="LTitle">#REF!</definedName>
    <definedName name="lulu">#REF!</definedName>
    <definedName name="luu">#REF!</definedName>
    <definedName name="LY">#REF!</definedName>
    <definedName name="LYACT_AFF">#REF!</definedName>
    <definedName name="LYACT_AFF_2015">#REF!</definedName>
    <definedName name="LYACT_AFF_2015_BM">#REF!</definedName>
    <definedName name="LYACT_AFF_BB_25LINE">#REF!</definedName>
    <definedName name="LYACT_AFF_BB_25LINE_ONLINE">#REF!</definedName>
    <definedName name="LYACT_AFF_JM_25LINE_ONLINE">#REF!</definedName>
    <definedName name="LYACT_AFF_JML_25LINE">#REF!</definedName>
    <definedName name="LYACT_AFF_LM_25LINE">#REF!</definedName>
    <definedName name="LYACT_AFF_ONLINE">#REF!</definedName>
    <definedName name="LYACT_BB_25LINE">#REF!</definedName>
    <definedName name="LYACT_BB_25LINE_ONLINE">#REF!</definedName>
    <definedName name="LYACT_CALLOC">#REF!</definedName>
    <definedName name="LYACT_CALLOC_MTH">#REF!</definedName>
    <definedName name="LYACT_COGS">#REF!</definedName>
    <definedName name="LYACT_COGS_MTH">#REF!</definedName>
    <definedName name="LYACT_COGS_MTH_ONLINE">#REF!</definedName>
    <definedName name="LYACT_COGS_ONLINE">#REF!</definedName>
    <definedName name="LYACT_CONTIN">#REF!</definedName>
    <definedName name="LYACT_CONTIN_MTH">#REF!</definedName>
    <definedName name="LYACT_CONTIN_MTH_ONLINE">#REF!</definedName>
    <definedName name="LYACT_CONTIN_ONLINE">#REF!</definedName>
    <definedName name="LYACT_CORPALLOC">#REF!</definedName>
    <definedName name="LYACT_CORPALLOC_MTH">#REF!</definedName>
    <definedName name="LYACT_CORPALLOC_MTH_ONLINE">#REF!</definedName>
    <definedName name="LYACT_CORPALLOC_ONLINE">#REF!</definedName>
    <definedName name="LYACT_DOPEX">#REF!</definedName>
    <definedName name="LYACT_DOPEX_MTH">#REF!</definedName>
    <definedName name="LYACT_DOPEX_MTH_ONLINE">#REF!</definedName>
    <definedName name="LYACT_DOPEX_ONLINE">#REF!</definedName>
    <definedName name="LYACT_GP">#REF!</definedName>
    <definedName name="LYACT_GP_MTH">#REF!</definedName>
    <definedName name="LYACT_GP_MTH_ONLINE">#REF!</definedName>
    <definedName name="LYACT_GP_ONLINE">#REF!</definedName>
    <definedName name="LYACT_GS">#REF!</definedName>
    <definedName name="LYACT_GS_MTH">#REF!</definedName>
    <definedName name="LYACT_GS_MTH_ONLINE">#REF!</definedName>
    <definedName name="LYACT_GS_ONLINE">#REF!</definedName>
    <definedName name="LYACT_IDOPEX">#REF!</definedName>
    <definedName name="LYACT_IDOPEX_MTH">#REF!</definedName>
    <definedName name="LYACT_IDOPEX_MTH_ONLINE">#REF!</definedName>
    <definedName name="LYACT_IDOPEX_ONLINE">#REF!</definedName>
    <definedName name="LYACT_JM_25LINE_ONLINE">#REF!</definedName>
    <definedName name="LYACT_JML_25LINE">#REF!</definedName>
    <definedName name="LYACT_LM_25LINE">#REF!</definedName>
    <definedName name="LYACT_LYACT_AFF">#REF!</definedName>
    <definedName name="LYACT_NONOP">#REF!</definedName>
    <definedName name="LYACT_NONOP_MTH">#REF!</definedName>
    <definedName name="LYACT_NONOP_MTH_ONLINE">#REF!</definedName>
    <definedName name="LYACT_NONOP_ONLINE">#REF!</definedName>
    <definedName name="LYACT_NOP">#REF!</definedName>
    <definedName name="LYACT_NOP_MTH">#REF!</definedName>
    <definedName name="LYACT_NOP_MTH_ONLINE">#REF!</definedName>
    <definedName name="LYACT_NOP_ONLINE">#REF!</definedName>
    <definedName name="LYACT_NS">#REF!</definedName>
    <definedName name="LYACT_NS_2015">#REF!</definedName>
    <definedName name="LYACT_NS_2015_BM">#REF!</definedName>
    <definedName name="LYACT_NS_MTH">#REF!</definedName>
    <definedName name="LYACT_NS_MTH_2015">#REF!</definedName>
    <definedName name="LYACT_NS_MTH_2015_BM">#REF!</definedName>
    <definedName name="LYACT_NS_MTH_ONLINE">#REF!</definedName>
    <definedName name="LYACT_NS_ONLINE">#REF!</definedName>
    <definedName name="LYACT_OPEX">#REF!</definedName>
    <definedName name="LYACT_OPEX_MTH">#REF!</definedName>
    <definedName name="LYACT_OPEX_MTH_ONLINE">#REF!</definedName>
    <definedName name="LYACT_OPEX_ONLINE">#REF!</definedName>
    <definedName name="LYACT2_NS">#REF!</definedName>
    <definedName name="LYACT2_NS_MTH">#REF!</definedName>
    <definedName name="LyActP">#REF!</definedName>
    <definedName name="LYACTSCENARIO">#REF!</definedName>
    <definedName name="Lycos_keyword_1">#REF!</definedName>
    <definedName name="LYN">#REF!</definedName>
    <definedName name="lyst">#REF!</definedName>
    <definedName name="LZ">#REF!</definedName>
    <definedName name="LZP">#REF!</definedName>
    <definedName name="LZS">#REF!</definedName>
    <definedName name="m">#REF!</definedName>
    <definedName name="ma">#REF!</definedName>
    <definedName name="Mac">#REF!</definedName>
    <definedName name="Magazine">#REF!</definedName>
    <definedName name="maid">#REF!</definedName>
    <definedName name="Major_Category">#REF!</definedName>
    <definedName name="Major_Category_Category_Index">#REF!</definedName>
    <definedName name="Major_Category_Name_Occurance">#REF!</definedName>
    <definedName name="malnew">#REF!</definedName>
    <definedName name="Mar">#REF!</definedName>
    <definedName name="Mar.2">#REF!</definedName>
    <definedName name="marco">#REF!</definedName>
    <definedName name="Marke">#REF!</definedName>
    <definedName name="Market">#REF!</definedName>
    <definedName name="MARKET.SELECTION">#REF!</definedName>
    <definedName name="market.table">#REF!</definedName>
    <definedName name="maryg.gu22">#REF!</definedName>
    <definedName name="Master">#REF!</definedName>
    <definedName name="match">#REF!</definedName>
    <definedName name="Matrix">#REF!</definedName>
    <definedName name="Max_File_Size_KB">#REF!</definedName>
    <definedName name="MaxFileSize">#REF!</definedName>
    <definedName name="may">#REF!</definedName>
    <definedName name="May.2">#REF!</definedName>
    <definedName name="Maybelline">#REF!</definedName>
    <definedName name="mb" hidden="1">{#N/A,#N/A,FALSE,"CHANGES";#N/A,#N/A,FALSE,"PROD SUMMARY";#N/A,#N/A,FALSE,"1995 PO SUM";#N/A,#N/A,FALSE,"1995 GEOG SUM";#N/A,#N/A,FALSE,"1996 PO SUM";#N/A,#N/A,FALSE,"1996 GEOG SUM"}</definedName>
    <definedName name="MBUConsolidatedForecast">#REF!</definedName>
    <definedName name="MCB.COM">#REF!</definedName>
    <definedName name="MCBCOM">0.92</definedName>
    <definedName name="MCDecileGroupsLastYear5">#REF!</definedName>
    <definedName name="MCDecileGroupsThisYear5">#REF!</definedName>
    <definedName name="MCFCODecileGroupsLastYear5">#REF!</definedName>
    <definedName name="MCFCODecileGroupsThisYear5">#REF!</definedName>
    <definedName name="MCFCOPurchaseFrequencyLastYear5">#REF!</definedName>
    <definedName name="MCFCOPurchaseFrequencyThisYear5">#REF!</definedName>
    <definedName name="MCFCOTopBuyersLastYear3">#REF!</definedName>
    <definedName name="MCFCOTopBuyersThisYear5">#REF!</definedName>
    <definedName name="MCFCOValueBandLastYear3">#REF!</definedName>
    <definedName name="MCFCOValueBandsThisYear5">#REF!</definedName>
    <definedName name="MCN">#REF!</definedName>
    <definedName name="MCPurchaseFrequencyLastYear5">#REF!</definedName>
    <definedName name="MCPurchaseFrequencyThisYear5">#REF!</definedName>
    <definedName name="MCTopBuyersLastYear3">#REF!</definedName>
    <definedName name="MCTopBuyersThisYear5">#REF!</definedName>
    <definedName name="MCValueBandLastYear3">#REF!</definedName>
    <definedName name="MCValueBandsThisYear5">#REF!</definedName>
    <definedName name="MDH\">#REF!</definedName>
    <definedName name="me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edia">#REF!</definedName>
    <definedName name="Media_Plan_Name">#REF!</definedName>
    <definedName name="Media_Plan_Number">#REF!</definedName>
    <definedName name="Media_Plan_Number___P.O._Number">#REF!</definedName>
    <definedName name="MediaServiceFee">#REF!</definedName>
    <definedName name="MediaType">#REF!</definedName>
    <definedName name="MEDist">#REF!</definedName>
    <definedName name="Medo2">#REF!</definedName>
    <definedName name="meep">#REF!</definedName>
    <definedName name="memo">#REF!</definedName>
    <definedName name="MEMOBRANDLIST">#REF!</definedName>
    <definedName name="MEMOMONTHLIST">#REF!</definedName>
    <definedName name="Merchandisers">#REF!</definedName>
    <definedName name="method">#REF!</definedName>
    <definedName name="Mexico">#REF!</definedName>
    <definedName name="mfmr">#REF!</definedName>
    <definedName name="MG">#REF!</definedName>
    <definedName name="MGMReg">#REF!</definedName>
    <definedName name="Mgmt2Legal">#REF!</definedName>
    <definedName name="mgmtnyc">#REF!</definedName>
    <definedName name="mianbanyichang">#REF!</definedName>
    <definedName name="MicPrOth">#REF!</definedName>
    <definedName name="micro">#REF!</definedName>
    <definedName name="Middleware">#REF!</definedName>
    <definedName name="mil_dist_actual">#REF!</definedName>
    <definedName name="mil_dist_budget">#REF!</definedName>
    <definedName name="mil_dist_jvf">#REF!</definedName>
    <definedName name="Mininurse">#REF!</definedName>
    <definedName name="Minutes">#REF!</definedName>
    <definedName name="MissingReportingLink">#REF!</definedName>
    <definedName name="mitch" hidden="1">{#N/A,#N/A,FALSE,"Key Business Drivers";#N/A,#N/A,FALSE,"FY98 Headcount";#N/A,#N/A,FALSE,"FY98 Financial Overview";#N/A,#N/A,FALSE,"(OPTIONAL) Additional Requests"}</definedName>
    <definedName name="ml">#REF!</definedName>
    <definedName name="mlk">#REF!</definedName>
    <definedName name="mm">#REF!</definedName>
    <definedName name="MMPRIS">#REF!</definedName>
    <definedName name="mn">#REF!</definedName>
    <definedName name="MO">#REF!</definedName>
    <definedName name="mo.est">#REF!</definedName>
    <definedName name="MobileOrders">#REF!</definedName>
    <definedName name="MobileSales">#REF!</definedName>
    <definedName name="MobileSessions">#REF!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at">#REF!</definedName>
    <definedName name="MONTH">#REF!</definedName>
    <definedName name="MONTH.NUM">#REF!</definedName>
    <definedName name="MONTH.SEL">#REF!</definedName>
    <definedName name="month_fy">#REF!</definedName>
    <definedName name="Month_Per_No">#REF!</definedName>
    <definedName name="monthColumn.112002">#REF!</definedName>
    <definedName name="monthColumn.122002">#REF!</definedName>
    <definedName name="monthColumn.62002">#REF!</definedName>
    <definedName name="monthColumn.62003">#REF!</definedName>
    <definedName name="monthColumn.72002">#REF!</definedName>
    <definedName name="MonthLabel1">#REF!</definedName>
    <definedName name="MONTHLIST">#REF!</definedName>
    <definedName name="Monthly">#REF!</definedName>
    <definedName name="MonthRow">#REF!</definedName>
    <definedName name="months">#REF!</definedName>
    <definedName name="moo">#REF!</definedName>
    <definedName name="moon">#REF!</definedName>
    <definedName name="moop">#REF!</definedName>
    <definedName name="MOS.adj.table">#REF!</definedName>
    <definedName name="MP">#REF!</definedName>
    <definedName name="MPDist">#REF!</definedName>
    <definedName name="MQL">#REF!</definedName>
    <definedName name="MR_Total" hidden="1">{"'毛利比较'!$A$4:$P$26"}</definedName>
    <definedName name="MRKT">#REF!</definedName>
    <definedName name="MSA">#REF!</definedName>
    <definedName name="MSJ">#REF!</definedName>
    <definedName name="msn">#REF!</definedName>
    <definedName name="msnpiv">#REF!</definedName>
    <definedName name="MT">#REF!</definedName>
    <definedName name="mth">#REF!</definedName>
    <definedName name="MTH.AOR">#REF!</definedName>
    <definedName name="MthBud">#REF!</definedName>
    <definedName name="mthlyspend">#REF!</definedName>
    <definedName name="mthlyspots">#REF!</definedName>
    <definedName name="MVendor">#REF!</definedName>
    <definedName name="N">#REF!</definedName>
    <definedName name="NAAReg">#REF!</definedName>
    <definedName name="NAME">#REF!</definedName>
    <definedName name="NameCol">#REF!</definedName>
    <definedName name="NAProdLine">#REF!</definedName>
    <definedName name="nat">#REF!</definedName>
    <definedName name="natacha">#REF!</definedName>
    <definedName name="nathan">#REF!</definedName>
    <definedName name="NATIONAL.CLEAR">#REF!</definedName>
    <definedName name="national.wireless">#REF!</definedName>
    <definedName name="national.wireless.partners">#REF!</definedName>
    <definedName name="National_3rd">#REF!</definedName>
    <definedName name="NB">#REF!</definedName>
    <definedName name="NCAL">#REF!</definedName>
    <definedName name="NCON">#REF!</definedName>
    <definedName name="NCPC">#REF!</definedName>
    <definedName name="NCPL">#REF!</definedName>
    <definedName name="NCPO">#REF!</definedName>
    <definedName name="NDSH">#REF!</definedName>
    <definedName name="ne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t">#REF!</definedName>
    <definedName name="Net_Price">#REF!</definedName>
    <definedName name="Net_Price_Pct">#REF!</definedName>
    <definedName name="NETCOST">#REF!</definedName>
    <definedName name="NetCost1">#REF!</definedName>
    <definedName name="NetCost2">#REF!</definedName>
    <definedName name="NetCostBasis">#REF!</definedName>
    <definedName name="NETGROSS">#REF!</definedName>
    <definedName name="NetSales">#REF!</definedName>
    <definedName name="NETSALESDATA">#REF!</definedName>
    <definedName name="Network_drivers">#REF!</definedName>
    <definedName name="new">#REF!</definedName>
    <definedName name="New_Customer_Reward">#REF!</definedName>
    <definedName name="NewABP1" hidden="1">{#N/A,#N/A,FALSE,"elraw";#N/A,#N/A,FALSE,"clraw ";#N/A,#N/A,FALSE,"pxraw ";#N/A,#N/A,FALSE,"arraw ";#N/A,#N/A,FALSE,"orraw ";#N/A,#N/A,FALSE,"90raw  ";#N/A,#N/A,FALSE,"dcraw   "}</definedName>
    <definedName name="newbrush">#REF!</definedName>
    <definedName name="NewCPGACM">#REF!</definedName>
    <definedName name="NewCPGAYTD">#REF!</definedName>
    <definedName name="newDC" hidden="1">{#N/A,#N/A,TRUE,"Cover sheet";#N/A,#N/A,TRUE,"DCF analysis";#N/A,#N/A,TRUE,"WACC calculation"}</definedName>
    <definedName name="NewnessFiscal">#REF!</definedName>
    <definedName name="NewnessFY">#REF!</definedName>
    <definedName name="NewReplace">#REF!</definedName>
    <definedName name="Newspaper">#REF!</definedName>
    <definedName name="nfirst">18335</definedName>
    <definedName name="NFO">#REF!</definedName>
    <definedName name="ngoo">#REF!</definedName>
    <definedName name="NHJ">#REF!</definedName>
    <definedName name="ninedelete">#REF!</definedName>
    <definedName name="NJ">#REF!</definedName>
    <definedName name="NM">#REF!</definedName>
    <definedName name="NM_TARGET">#REF!</definedName>
    <definedName name="nmfashion">#REF!</definedName>
    <definedName name="NMG">#REF!</definedName>
    <definedName name="NMO">#REF!</definedName>
    <definedName name="nmocpc">#REF!</definedName>
    <definedName name="nmocpm">#REF!</definedName>
    <definedName name="NMOHOME">#REF!</definedName>
    <definedName name="nmotest">#REF!</definedName>
    <definedName name="nn">#REF!</definedName>
    <definedName name="nnd">#REF!</definedName>
    <definedName name="nnn">[0]!nnn</definedName>
    <definedName name="NNNNNN" hidden="1">{"'毛利比较'!$A$4:$P$26"}</definedName>
    <definedName name="nnnytb" hidden="1">#REF!</definedName>
    <definedName name="no">#REF!</definedName>
    <definedName name="NOD">#REF!</definedName>
    <definedName name="noe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O">#REF!</definedName>
    <definedName name="non_rev_gain">#REF!</definedName>
    <definedName name="non_rev_gross">#REF!</definedName>
    <definedName name="nord">#REF!</definedName>
    <definedName name="nord2">#REF!</definedName>
    <definedName name="Nordic">#REF!</definedName>
    <definedName name="North_America">#REF!</definedName>
    <definedName name="northamerica">#REF!</definedName>
    <definedName name="not" hidden="1">#REF!</definedName>
    <definedName name="NOTSURE">#REF!</definedName>
    <definedName name="Nov">#REF!</definedName>
    <definedName name="Nov.2">#REF!</definedName>
    <definedName name="nover">#REF!</definedName>
    <definedName name="np">#REF!</definedName>
    <definedName name="NPV">#REF!</definedName>
    <definedName name="NS">#REF!</definedName>
    <definedName name="NS.SEG">#REF!</definedName>
    <definedName name="NS_L">#REF!</definedName>
    <definedName name="NSA">#REF!</definedName>
    <definedName name="Nspending">#REF!</definedName>
    <definedName name="nspending1">#REF!</definedName>
    <definedName name="nspending2">#REF!</definedName>
    <definedName name="NT">#REF!</definedName>
    <definedName name="NUMCHECK">AND(ISNUMBER(#REF!),ISNUMBER(#REF!),ISNUMBER(#REF!),ISNUMBER(#REF!))</definedName>
    <definedName name="NUMENTRIES">#REF!</definedName>
    <definedName name="nv">#REF!</definedName>
    <definedName name="NVH">#REF!</definedName>
    <definedName name="NvsAnswerCol">"[12123.xls]CostCenterDetail!$A$8:$A$246"</definedName>
    <definedName name="NvsASD">"V2004-03-31"</definedName>
    <definedName name="NvsAutoDrillOk">"VN"</definedName>
    <definedName name="NvsElapsedTime">0.0000694444388500415</definedName>
    <definedName name="NvsEndTime">38084.1231828704</definedName>
    <definedName name="NvsInstLang">"VENG"</definedName>
    <definedName name="NvsInstSpec">"%,FDEPTID,V12123"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Effdt">"V1900-01-01"</definedName>
    <definedName name="NvsPanelSetid">"VFON"</definedName>
    <definedName name="NvsReqBU">"V21"</definedName>
    <definedName name="NvsReqBUOnly">"VN"</definedName>
    <definedName name="NvsTransLed">"VN"</definedName>
    <definedName name="NvsTreeASD">"V2004-03-31"</definedName>
    <definedName name="NvsValTbl.ACCOUNT">"GL_ACCOUNT_TBL"</definedName>
    <definedName name="NvsValTbl.ANALYSIS_TYPE">"PROJ_ANTYPE_TBL"</definedName>
    <definedName name="NvsValTbl.BUSINESS_UNIT">"BUS_UNIT_TBL_GL"</definedName>
    <definedName name="NvsValTbl.SCENARIO">"BD_SCENARIO_TBL"</definedName>
    <definedName name="NvsValTbl.Z_FUNCTION">"Z_FUNCTION_TBL"</definedName>
    <definedName name="nyc">#REF!</definedName>
    <definedName name="nzldnew">#REF!</definedName>
    <definedName name="O">#REF!</definedName>
    <definedName name="obi">#REF!</definedName>
    <definedName name="oc">#REF!</definedName>
    <definedName name="ocat">#REF!</definedName>
    <definedName name="Oct">#REF!</definedName>
    <definedName name="Oct.2">#REF!</definedName>
    <definedName name="October_Telephony_Summary">#REF!</definedName>
    <definedName name="ocum">#REF!</definedName>
    <definedName name="ocume">#REF!</definedName>
    <definedName name="odata">#REF!</definedName>
    <definedName name="odelete">#REF!</definedName>
    <definedName name="of">#REF!</definedName>
    <definedName name="ofashion">#REF!</definedName>
    <definedName name="ofbi">#REF!</definedName>
    <definedName name="ofeb">#REF!</definedName>
    <definedName name="off">#REF!</definedName>
    <definedName name="Office">#REF!</definedName>
    <definedName name="Office_Location">#REF!</definedName>
    <definedName name="Office_Name">#REF!</definedName>
    <definedName name="OFi">#REF!</definedName>
    <definedName name="ofiscal">#REF!</definedName>
    <definedName name="ofwk1">#REF!</definedName>
    <definedName name="ofwk3">#REF!</definedName>
    <definedName name="ofwk4">#REF!</definedName>
    <definedName name="ofwk5">#REF!</definedName>
    <definedName name="oh">#REF!</definedName>
    <definedName name="ohbi">#REF!</definedName>
    <definedName name="ohf">#REF!</definedName>
    <definedName name="ohome">#REF!</definedName>
    <definedName name="ohwk1">#REF!</definedName>
    <definedName name="ohwk3">#REF!</definedName>
    <definedName name="ohwk4">#REF!</definedName>
    <definedName name="ohwk5">#REF!</definedName>
    <definedName name="ohzqr" hidden="1">{"'Matrix'!$A$3:$J$47"}</definedName>
    <definedName name="OI" hidden="1">{#N/A,#N/A,FALSE,"COMPWITH ";#N/A,#N/A,FALSE,"PROFORMA";#N/A,#N/A,FALSE,"COMPWO";#N/A,#N/A,FALSE,"LII";#N/A,#N/A,FALSE,"global";#N/A,#N/A,FALSE,"oio";#N/A,#N/A,FALSE,"dom comb";#N/A,#N/A,FALSE,"intl comb"}</definedName>
    <definedName name="ojqdo" hidden="1">{"'Matrix'!$A$3:$J$47"}</definedName>
    <definedName name="ok">#REF!</definedName>
    <definedName name="OKOK" hidden="1">#REF!</definedName>
    <definedName name="OL_FY13">#REF!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i">#REF!</definedName>
    <definedName name="olist">#REF!</definedName>
    <definedName name="omaster">#REF!</definedName>
    <definedName name="omega" hidden="1">{#N/A,#N/A,FALSE,"CHANGES";#N/A,#N/A,FALSE,"PROD SUMMARY";#N/A,#N/A,FALSE,"1995 PO SUM";#N/A,#N/A,FALSE,"1995 GEOG SUM";#N/A,#N/A,FALSE,"1996 PO SUM";#N/A,#N/A,FALSE,"1996 GEOG SUM"}</definedName>
    <definedName name="ond">#REF!</definedName>
    <definedName name="Online">#REF!</definedName>
    <definedName name="oo">#REF!</definedName>
    <definedName name="ooct">#REF!</definedName>
    <definedName name="oogle">#REF!</definedName>
    <definedName name="oompa">#REF!</definedName>
    <definedName name="oooo">#REF!</definedName>
    <definedName name="ooooo">#REF!</definedName>
    <definedName name="OP" hidden="1">#REF!</definedName>
    <definedName name="op.time">#REF!</definedName>
    <definedName name="Op_Exp_drvrs">#REF!</definedName>
    <definedName name="Op_Expense">#REF!</definedName>
    <definedName name="Op_Sys">#REF!</definedName>
    <definedName name="OP1__Total_By_Channel">#REF!</definedName>
    <definedName name="opas" hidden="1">{0,0,0,0;0,0,0,0;0,0,0,0;0,0,0,0;0,0,0,0}</definedName>
    <definedName name="ope." hidden="1">{#N/A,#N/A,FALSE,"dom comb";#N/A,#N/A,FALSE,"el usa";#N/A,#N/A,FALSE,"cl usa";#N/A,#N/A,FALSE,"px comb";#N/A,#N/A,FALSE,"ar usa";#N/A,#N/A,FALSE,"or consol";#N/A,#N/A,FALSE,"el mgmt";#N/A,#N/A,FALSE,"corp&amp;adj"}</definedName>
    <definedName name="OperInc">#REF!</definedName>
    <definedName name="opm">#REF!</definedName>
    <definedName name="opp">#REF!</definedName>
    <definedName name="Optimisation">#REF!</definedName>
    <definedName name="OptionII" hidden="1">{"'毛利比较'!$A$4:$P$26"}</definedName>
    <definedName name="ORDecileGroupsLastYear5">#REF!</definedName>
    <definedName name="ORDecileGroupsThisYear5">#REF!</definedName>
    <definedName name="ORDERED_ADS">#REF!</definedName>
    <definedName name="ORDERED_SEARCH">#REF!</definedName>
    <definedName name="ORDS">#REF!</definedName>
    <definedName name="ORFCODecileGroupsLastYear5">#REF!</definedName>
    <definedName name="ORFCODecileGroupsThisYear5">#REF!</definedName>
    <definedName name="ORFCOPurchaseFrequencyLastYear5">#REF!</definedName>
    <definedName name="ORFCOPurchaseFrequencyThisYear5">#REF!</definedName>
    <definedName name="ORFCOTopBuyersLastYear3">#REF!</definedName>
    <definedName name="ORFCOTopBuyersThisYear5">#REF!</definedName>
    <definedName name="ORFCOValueBandLastYear3">#REF!</definedName>
    <definedName name="ORFCOValueBandsThisYear5">#REF!</definedName>
    <definedName name="Organization">#REF!</definedName>
    <definedName name="ORiniqueWEBDecileGroupsThisYear5">#REF!</definedName>
    <definedName name="ORiniqueWEBValueBandsThisYear5">#REF!</definedName>
    <definedName name="oro">#REF!</definedName>
    <definedName name="ORPurchaseFrequencyLastYear5">#REF!</definedName>
    <definedName name="ORPurchaseFrequencyThisYear5">#REF!</definedName>
    <definedName name="ORTopBuyersLastYear3">#REF!</definedName>
    <definedName name="ORTopBuyersThisYear5">#REF!</definedName>
    <definedName name="ORValueBandLastYear3">#REF!</definedName>
    <definedName name="ORValueBandsThisYear5">#REF!</definedName>
    <definedName name="ORWEBDecileGroupsLastYear5">#REF!</definedName>
    <definedName name="ORWEBPurchaseFrequencyLastYear5">#REF!</definedName>
    <definedName name="ORWEBPurchaseFrequencyThisYear5">#REF!</definedName>
    <definedName name="ORWEBTopBuyersLastYear3">#REF!</definedName>
    <definedName name="ORWEBTopBuyersThisYear5">#REF!</definedName>
    <definedName name="ORWEBValueBandLastYear3">#REF!</definedName>
    <definedName name="osept">#REF!</definedName>
    <definedName name="OSKS">#REF!</definedName>
    <definedName name="Other">#REF!</definedName>
    <definedName name="Other_Creative_Information">#REF!</definedName>
    <definedName name="other_deprec">#REF!</definedName>
    <definedName name="Other_expdrv">#REF!</definedName>
    <definedName name="OtherCostCost">#REF!</definedName>
    <definedName name="OtherCostMethodPlacementRow">#REF!</definedName>
    <definedName name="OtherCostMethodRows">#REF!</definedName>
    <definedName name="OtherCostMethodSubTotalRow">#REF!</definedName>
    <definedName name="OtherCostName">#REF!</definedName>
    <definedName name="OtherItems">#REF!</definedName>
    <definedName name="OTHERS">#REF!</definedName>
    <definedName name="OtherTotalRow">#REF!</definedName>
    <definedName name="Outbound">"$#REF!.$K$11:$AY$44"</definedName>
    <definedName name="OutClause">#REF!</definedName>
    <definedName name="outclearing">#REF!</definedName>
    <definedName name="OutsideContractor">#REF!</definedName>
    <definedName name="over">#REF!</definedName>
    <definedName name="over1">#REF!</definedName>
    <definedName name="over2">#REF!</definedName>
    <definedName name="OverallCPC">#REF!</definedName>
    <definedName name="OverallCPM">#REF!</definedName>
    <definedName name="OverallCPV">#REF!</definedName>
    <definedName name="overbi">#REF!</definedName>
    <definedName name="overc">#REF!</definedName>
    <definedName name="overcum">#REF!</definedName>
    <definedName name="overcume">#REF!</definedName>
    <definedName name="overdelete">#REF!</definedName>
    <definedName name="overdelete2">#REF!</definedName>
    <definedName name="overf">#REF!</definedName>
    <definedName name="overh">#REF!</definedName>
    <definedName name="overhorcum">#REF!</definedName>
    <definedName name="overmaster">#REF!</definedName>
    <definedName name="overnov">#REF!</definedName>
    <definedName name="overtre">#REF!</definedName>
    <definedName name="overture">#REF!</definedName>
    <definedName name="Overture1">#REF!</definedName>
    <definedName name="overturecat">#REF!</definedName>
    <definedName name="overturef">#REF!</definedName>
    <definedName name="overtureh">#REF!</definedName>
    <definedName name="OWI">#REF!</definedName>
    <definedName name="owl">#REF!</definedName>
    <definedName name="p">#REF!</definedName>
    <definedName name="P.cp_25">83.8</definedName>
    <definedName name="P.cp150.499">53.5</definedName>
    <definedName name="P.cp25.75">69.8</definedName>
    <definedName name="P.cp500">49.1</definedName>
    <definedName name="P.cp75.149">61.75</definedName>
    <definedName name="Package_Name">#REF!</definedName>
    <definedName name="Page_Placement">#REF!</definedName>
    <definedName name="Page_Placmenet">#REF!</definedName>
    <definedName name="Page_Placment">#REF!</definedName>
    <definedName name="PAGE1">#REF!</definedName>
    <definedName name="page2">#REF!</definedName>
    <definedName name="paging.toggle">#REF!</definedName>
    <definedName name="painintheass">#REF!</definedName>
    <definedName name="paintsq1f06">#REF!</definedName>
    <definedName name="PandL">#REF!</definedName>
    <definedName name="PANTENE">#REF!</definedName>
    <definedName name="pap_inc">1.04</definedName>
    <definedName name="Partners_Meeting">#REF!</definedName>
    <definedName name="Paste">"Button 2"</definedName>
    <definedName name="Path">#REF!</definedName>
    <definedName name="pay">#REF!</definedName>
    <definedName name="Payment">#REF!</definedName>
    <definedName name="payment1">#REF!</definedName>
    <definedName name="payments">#REF!</definedName>
    <definedName name="PayrollTax">#REF!</definedName>
    <definedName name="payterms">#REF!</definedName>
    <definedName name="PBK_ACER_PC">[0]!PBK_ACER_PC</definedName>
    <definedName name="PBK_ACT_DC">[0]!PBK_ACT_DC</definedName>
    <definedName name="PBK_ADTRAN_DC">[0]!PBK_ADTRAN_DC</definedName>
    <definedName name="PBK_AST_PC">[0]!PBK_AST_PC</definedName>
    <definedName name="PBK_BAY_NTW">[0]!PBK_BAY_NTW</definedName>
    <definedName name="PBK_CABLES_DC">[0]!PBK_CABLES_DC</definedName>
    <definedName name="PBK_CISCO_NTW">[0]!PBK_CISCO_NTW</definedName>
    <definedName name="PBK_DATUM_DC">[0]!PBK_DATUM_DC</definedName>
    <definedName name="PBK_FIVEMERE_DC">[0]!PBK_FIVEMERE_DC</definedName>
    <definedName name="PBK_GI_DC">[0]!PBK_GI_DC</definedName>
    <definedName name="PBK_HAYES_DC">[0]!PBK_HAYES_DC</definedName>
    <definedName name="PBK_IBM_PC">[0]!PBK_IBM_PC</definedName>
    <definedName name="PBK_NETRIX_DC">[0]!PBK_NETRIX_DC</definedName>
    <definedName name="PBK_NOKIA_DC">[0]!PBK_NOKIA_DC</definedName>
    <definedName name="PBK_PERIP_PC">[0]!PBK_PERIP_PC</definedName>
    <definedName name="PBK_RACAL_DC">[0]!PBK_RACAL_DC</definedName>
    <definedName name="PBY">#REF!</definedName>
    <definedName name="PCI">#REF!</definedName>
    <definedName name="PDDist">#REF!</definedName>
    <definedName name="PDOTZERO.1">#REF!</definedName>
    <definedName name="PDOTZERO1">#REF!</definedName>
    <definedName name="PDOTZERO2">#REF!</definedName>
    <definedName name="PED">#REF!</definedName>
    <definedName name="pedo">#REF!</definedName>
    <definedName name="penetration.adjustment">#REF!</definedName>
    <definedName name="PER">#REF!</definedName>
    <definedName name="PER.1">#REF!</definedName>
    <definedName name="PER.2">#REF!</definedName>
    <definedName name="PER.3">#REF!</definedName>
    <definedName name="PER.DATA">#REF!</definedName>
    <definedName name="Period">#REF!</definedName>
    <definedName name="Period_Type">#REF!</definedName>
    <definedName name="PeriodFy">#REF!</definedName>
    <definedName name="PERYR">#REF!</definedName>
    <definedName name="PG.SIZE">#REF!</definedName>
    <definedName name="Phillieco.toggle">#REF!</definedName>
    <definedName name="philnew">#REF!</definedName>
    <definedName name="PipeValue">#REF!</definedName>
    <definedName name="pippo">#REF!</definedName>
    <definedName name="pivot">#REF!</definedName>
    <definedName name="PivotData">OFFSET(#REF!,0,0,COUNTA(#REF!),COUNTA(#REF!))</definedName>
    <definedName name="PL.OSSHARES">#REF!</definedName>
    <definedName name="PL_Accts">#REF!</definedName>
    <definedName name="PL_Hyperion">#REF!</definedName>
    <definedName name="PL_Lines">#REF!</definedName>
    <definedName name="PL_Years">#REF!</definedName>
    <definedName name="Placement">#REF!</definedName>
    <definedName name="Placement_GUID">#REF!</definedName>
    <definedName name="Placement_Height">#REF!</definedName>
    <definedName name="Placement_Media_Code">#REF!</definedName>
    <definedName name="Placement_Media_Code_Enabled">#REF!</definedName>
    <definedName name="Placement_Name">#REF!</definedName>
    <definedName name="Placement_Type">#REF!</definedName>
    <definedName name="Placement_Width">#REF!</definedName>
    <definedName name="PlacementList">#REF!</definedName>
    <definedName name="PlacementName">#REF!</definedName>
    <definedName name="PlacementSubcategoryName">#REF!</definedName>
    <definedName name="PlacementType">OFFSET(#REF!,0,0,COUNTA(#REF!)-1,1)</definedName>
    <definedName name="PlacementTypeName">#REF!</definedName>
    <definedName name="PlacementURL">#REF!</definedName>
    <definedName name="Plan">#REF!</definedName>
    <definedName name="PLAN.EST">#REF!</definedName>
    <definedName name="PLAN.HDG">#REF!</definedName>
    <definedName name="PLAN.VER">#REF!</definedName>
    <definedName name="PLAN_AFF">#REF!</definedName>
    <definedName name="PLAN_AFF_BB_25LINE">#REF!</definedName>
    <definedName name="PLAN_AFF_BB_25LINE_ONLINE">#REF!</definedName>
    <definedName name="PLAN_AFF_JM_25LINE_ONLINE">#REF!</definedName>
    <definedName name="PLAN_AFF_JML_25LINE">#REF!</definedName>
    <definedName name="PLAN_AFF_LM_25LINE">#REF!</definedName>
    <definedName name="PLAN_AFF_ONLINE">#REF!</definedName>
    <definedName name="PLAN_BB_25LINE">#REF!</definedName>
    <definedName name="PLAN_BB_25LINE_ONLINE">#REF!</definedName>
    <definedName name="PLAN_BRANDFX">#REF!</definedName>
    <definedName name="PLAN_CALLOC">#REF!</definedName>
    <definedName name="PLAN_CALLOC_MTH">#REF!</definedName>
    <definedName name="PLAN_COGS">#REF!</definedName>
    <definedName name="PLAN_COGS_MTH">#REF!</definedName>
    <definedName name="PLAN_COGS_MTH_ONLINE">#REF!</definedName>
    <definedName name="PLAN_COGS_ONLINE">#REF!</definedName>
    <definedName name="PLAN_CONTIN">#REF!</definedName>
    <definedName name="PLAN_CONTIN_MTH">#REF!</definedName>
    <definedName name="PLAN_CONTIN_MTH_ONLINE">#REF!</definedName>
    <definedName name="PLAN_CONTIN_ONLINE">#REF!</definedName>
    <definedName name="PLAN_CORPALLOC">#REF!</definedName>
    <definedName name="PLAN_CORPALLOC_MTH">#REF!</definedName>
    <definedName name="PLAN_CORPALLOC_MTH_ONLINE">#REF!</definedName>
    <definedName name="PLAN_CORPALLOC_ONLINE">#REF!</definedName>
    <definedName name="PLAN_DOPEX">#REF!</definedName>
    <definedName name="PLAN_DOPEX_MTH">#REF!</definedName>
    <definedName name="PLAN_DOPEX_MTH_ONLINE">#REF!</definedName>
    <definedName name="PLAN_DOPEX_ONLINE">#REF!</definedName>
    <definedName name="PLAN_GP">#REF!</definedName>
    <definedName name="PLAN_GP_MTH">#REF!</definedName>
    <definedName name="PLAN_GP_MTH_ONLINE">#REF!</definedName>
    <definedName name="PLAN_GP_ONLINE">#REF!</definedName>
    <definedName name="PLAN_GS">#REF!</definedName>
    <definedName name="PLAN_GS_MTH">#REF!</definedName>
    <definedName name="PLAN_GS_MTH_ONLINE">#REF!</definedName>
    <definedName name="PLAN_GS_ONLINE">#REF!</definedName>
    <definedName name="PLAN_IDOPEX">#REF!</definedName>
    <definedName name="PLAN_IDOPEX_MTH">#REF!</definedName>
    <definedName name="PLAN_IDOPEX_MTH_ONLINE">#REF!</definedName>
    <definedName name="PLAN_IDOPEX_ONLINE">#REF!</definedName>
    <definedName name="PLAN_JM_25LINE_ONLINE">#REF!</definedName>
    <definedName name="PLAN_JML_25LINE">#REF!</definedName>
    <definedName name="PLAN_LM_25LINE">#REF!</definedName>
    <definedName name="PLAN_NONOP">#REF!</definedName>
    <definedName name="PLAN_NONOP_MTH">#REF!</definedName>
    <definedName name="PLAN_NONOP_MTH_ONLINE">#REF!</definedName>
    <definedName name="PLAN_NONOP_ONLINE">#REF!</definedName>
    <definedName name="PLAN_NOP">#REF!</definedName>
    <definedName name="PLAN_NOP_MTH">#REF!</definedName>
    <definedName name="PLAN_NOP_MTH_ONLINE">#REF!</definedName>
    <definedName name="PLAN_NOP_ONLINE">#REF!</definedName>
    <definedName name="PLAN_NS">#REF!</definedName>
    <definedName name="PLAN_NS_MTH">#REF!</definedName>
    <definedName name="PLAN_NS_MTH_ONLINE">#REF!</definedName>
    <definedName name="PLAN_NS_ONLINE">#REF!</definedName>
    <definedName name="PLAN_OPEX">#REF!</definedName>
    <definedName name="PLAN_OPEX_MTH">#REF!</definedName>
    <definedName name="PLAN_OPEX_MTH_ONLINE">#REF!</definedName>
    <definedName name="PLAN_OPEX_ONLINE">#REF!</definedName>
    <definedName name="PlanNative">#REF!</definedName>
    <definedName name="PlanningCycle">#REF!</definedName>
    <definedName name="PLANSCENARIO">#REF!</definedName>
    <definedName name="Plant">#REF!</definedName>
    <definedName name="Play">#REF!</definedName>
    <definedName name="PLTITLE">#REF!</definedName>
    <definedName name="PM_DATA">#REF!</definedName>
    <definedName name="po">#REF!</definedName>
    <definedName name="poi" hidden="1">{#N/A,#N/A,FALSE,"CHANGES";#N/A,#N/A,FALSE,"PROD SUMMARY";#N/A,#N/A,FALSE,"1995 PO SUM";#N/A,#N/A,FALSE,"1995 GEOG SUM";#N/A,#N/A,FALSE,"1996 PO SUM";#N/A,#N/A,FALSE,"1996 GEOG SUM"}</definedName>
    <definedName name="Poland">#REF!</definedName>
    <definedName name="poo">#REF!</definedName>
    <definedName name="Population">#REF!</definedName>
    <definedName name="POS">IF(#REF!=0,0,1)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OSH">#REF!</definedName>
    <definedName name="Position">#REF!</definedName>
    <definedName name="pp">#REF!</definedName>
    <definedName name="PPAs">#REF!</definedName>
    <definedName name="PPD">#REF!</definedName>
    <definedName name="ppp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Print_titles">#REF!</definedName>
    <definedName name="PPZ">#REF!</definedName>
    <definedName name="Pr.Est">#REF!</definedName>
    <definedName name="precio">#REF!</definedName>
    <definedName name="preg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t">#REF!</definedName>
    <definedName name="PREST_AFF">#REF!</definedName>
    <definedName name="PREST_AFF_BB_25LINE">#REF!</definedName>
    <definedName name="PREST_AFF_JML_25LINE">#REF!</definedName>
    <definedName name="PREST_AFF_LM_25LINE">#REF!</definedName>
    <definedName name="PREST_AFF_ONLINE">#REF!</definedName>
    <definedName name="PREST_BB_25LINE">#REF!</definedName>
    <definedName name="PREST_CALLOC">#REF!</definedName>
    <definedName name="PREST_CALLOC_MTH">#REF!</definedName>
    <definedName name="PREST_COGS">#REF!</definedName>
    <definedName name="PREST_COGS_MTH">#REF!</definedName>
    <definedName name="PREST_COGS_MTH_ONLINE">#REF!</definedName>
    <definedName name="PREST_COGS_ONLINE">#REF!</definedName>
    <definedName name="PREST_CONTIN">#REF!</definedName>
    <definedName name="PREST_CONTIN_MTH">#REF!</definedName>
    <definedName name="PREST_CONTIN_MTH_ONLINE">#REF!</definedName>
    <definedName name="PREST_CONTIN_ONLINE">#REF!</definedName>
    <definedName name="PREST_CORPALLOC">#REF!</definedName>
    <definedName name="PREST_CORPALLOC_MTH">#REF!</definedName>
    <definedName name="PREST_CORPALLOC_MTH_ONLINE">#REF!</definedName>
    <definedName name="PREST_CORPALLOC_ONLINE">#REF!</definedName>
    <definedName name="PREST_DOPEX">#REF!</definedName>
    <definedName name="PREST_DOPEX_MTH">#REF!</definedName>
    <definedName name="PREST_DOPEX_MTH_ONLINE">#REF!</definedName>
    <definedName name="PREST_DOPEX_ONLINE">#REF!</definedName>
    <definedName name="PREST_GP">#REF!</definedName>
    <definedName name="PREST_GP_MTH">#REF!</definedName>
    <definedName name="PREST_GP_MTH_ONLINE">#REF!</definedName>
    <definedName name="PREST_GP_ONLINE">#REF!</definedName>
    <definedName name="PREST_GS">#REF!</definedName>
    <definedName name="PREST_GS_MTH">#REF!</definedName>
    <definedName name="PREST_GS_MTH_ONLINE">#REF!</definedName>
    <definedName name="PREST_GS_ONLINE">#REF!</definedName>
    <definedName name="PREST_IDOPEX">#REF!</definedName>
    <definedName name="PREST_IDOPEX_MTH">#REF!</definedName>
    <definedName name="PREST_IDOPEX_MTH_ONLINE">#REF!</definedName>
    <definedName name="PREST_IDOPEX_ONLINE">#REF!</definedName>
    <definedName name="PREST_JML_25LINE">#REF!</definedName>
    <definedName name="PREST_LM_25LINE">#REF!</definedName>
    <definedName name="PREST_NONOP">#REF!</definedName>
    <definedName name="PREST_NONOP_MTH">#REF!</definedName>
    <definedName name="PREST_NONOP_MTH_ONLINE">#REF!</definedName>
    <definedName name="PREST_NONOP_ONLINE">#REF!</definedName>
    <definedName name="PREST_NOP">#REF!</definedName>
    <definedName name="PREST_NOP_MTH">#REF!</definedName>
    <definedName name="PREST_NOP_MTH_ONLINE">#REF!</definedName>
    <definedName name="PREST_NOP_ONLINE">#REF!</definedName>
    <definedName name="PREST_NS">#REF!</definedName>
    <definedName name="PREST_NS_MTH">#REF!</definedName>
    <definedName name="PREST_NS_MTH_ONLINE">#REF!</definedName>
    <definedName name="PREST_NS_ONLINE">#REF!</definedName>
    <definedName name="PREST_OPEX">#REF!</definedName>
    <definedName name="PREST_OPEX_MTH">#REF!</definedName>
    <definedName name="PREST_OPEX_MTH_ONLINE">#REF!</definedName>
    <definedName name="PREST_OPEX_ONLINE">#REF!</definedName>
    <definedName name="price">#REF!</definedName>
    <definedName name="price_chart">#REF!</definedName>
    <definedName name="Price_Pie">#REF!</definedName>
    <definedName name="pricediscount">#REF!</definedName>
    <definedName name="PriceGradeList">#REF!</definedName>
    <definedName name="Pricing_Summary">#REF!</definedName>
    <definedName name="Principal">#REF!</definedName>
    <definedName name="print">#REF!</definedName>
    <definedName name="PRINT.SUMMARY">#REF!</definedName>
    <definedName name="Print_1999">#REF!</definedName>
    <definedName name="Print_2000">#REF!</definedName>
    <definedName name="Print_2001">#REF!</definedName>
    <definedName name="_xlnm.Print_Area">#REF!</definedName>
    <definedName name="Print_Area_1">#REF!</definedName>
    <definedName name="Print_Area_MI">#REF!</definedName>
    <definedName name="print_area0">#REF!</definedName>
    <definedName name="print_area1">#REF!</definedName>
    <definedName name="print_area12">#REF!</definedName>
    <definedName name="print_area13">#REF!</definedName>
    <definedName name="print_area2">#REF!</definedName>
    <definedName name="print_area3">#REF!</definedName>
    <definedName name="print_area44">#REF!</definedName>
    <definedName name="PRINT_CENTRAL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Quality">#REF!</definedName>
    <definedName name="PRINT_SHANGHAI">#REF!</definedName>
    <definedName name="_xlnm.Print_Titles">#REF!</definedName>
    <definedName name="PRINT_TITLES_MI">#REF!</definedName>
    <definedName name="Print1">#REF!</definedName>
    <definedName name="Print2">#REF!</definedName>
    <definedName name="printcolor">#REF!</definedName>
    <definedName name="PrintCPM">#REF!</definedName>
    <definedName name="PRINTDISCOUNT">#REF!</definedName>
    <definedName name="printLChina">#REF!</definedName>
    <definedName name="PrintLShanghai">#REF!</definedName>
    <definedName name="PrintM">#REF!</definedName>
    <definedName name="PrintS">#REF!</definedName>
    <definedName name="printshanghai">#REF!</definedName>
    <definedName name="printstyle">#REF!</definedName>
    <definedName name="PRIORESTSCENARIO">#REF!</definedName>
    <definedName name="PriorPlan_Name">#REF!</definedName>
    <definedName name="PRN_ASOF">#REF!</definedName>
    <definedName name="PRN_FILENAME">#REF!</definedName>
    <definedName name="prnyc">#REF!</definedName>
    <definedName name="ProCityGrade">#REF!</definedName>
    <definedName name="PROD">#REF!</definedName>
    <definedName name="prod_factors">#REF!</definedName>
    <definedName name="ProdDescript">#REF!</definedName>
    <definedName name="PRODUCT">#REF!</definedName>
    <definedName name="Product_Sub_Account">#REF!</definedName>
    <definedName name="PRODUCTION">#REF!</definedName>
    <definedName name="Production_Email">#REF!</definedName>
    <definedName name="Production_Items_2">#REF!</definedName>
    <definedName name="Production_Name">#REF!</definedName>
    <definedName name="ProductType">#REF!</definedName>
    <definedName name="ProductTypeCodeLookup">#REF!</definedName>
    <definedName name="Prog_Lang">#REF!</definedName>
    <definedName name="ProgramID">#REF!</definedName>
    <definedName name="proj1_5a">#REF!</definedName>
    <definedName name="proj1_5b">#REF!</definedName>
    <definedName name="proj1_5c">#REF!</definedName>
    <definedName name="prolinks_ef9789dbbd4d497da26e034d213e715b" hidden="1">#REF!</definedName>
    <definedName name="PROP_AVERAGEOTS">#REF!</definedName>
    <definedName name="PROP_CAMPAIGN">#REF!</definedName>
    <definedName name="PROP_CLIENT">#REF!</definedName>
    <definedName name="PROP_CLIENTDIVI">#REF!</definedName>
    <definedName name="prop_ClientDivision">#REF!</definedName>
    <definedName name="PROP_COUNTRY">#REF!</definedName>
    <definedName name="PROP_CURRENCY">#REF!</definedName>
    <definedName name="PROP_DATE">#REF!</definedName>
    <definedName name="PROP_EXCHANGERA">#REF!</definedName>
    <definedName name="prop_ExchangeRate">#REF!</definedName>
    <definedName name="PROP_INDIRECTEX">#REF!</definedName>
    <definedName name="prop_IndirectExchangeRate">#REF!</definedName>
    <definedName name="PROP_MEDIABUYIN">#REF!</definedName>
    <definedName name="prop_MediaBuyingTarget">#REF!</definedName>
    <definedName name="PROP_MEDIATYPE">#REF!</definedName>
    <definedName name="PROP_PERCENTAGE">#REF!</definedName>
    <definedName name="prop_PercentageCover">#REF!</definedName>
    <definedName name="PROP_PLANNUMBER">#REF!</definedName>
    <definedName name="PROP_PRODUCTARE">#REF!</definedName>
    <definedName name="prop_ProductArea">#REF!</definedName>
    <definedName name="PROP_QUOTATION">#REF!</definedName>
    <definedName name="PROP_SOURCE">#REF!</definedName>
    <definedName name="PROP_UNIVERSESI">#REF!</definedName>
    <definedName name="prop_UniverseSize">#REF!</definedName>
    <definedName name="PROP_YEAR">#REF!</definedName>
    <definedName name="Property_Tax_Table">#REF!</definedName>
    <definedName name="PropertyTax">#REF!</definedName>
    <definedName name="PROPRICE">#REF!</definedName>
    <definedName name="prosell">#REF!</definedName>
    <definedName name="proship">#REF!</definedName>
    <definedName name="ProTimeGrade">#REF!</definedName>
    <definedName name="Protocols">#REF!</definedName>
    <definedName name="Pryear">#REF!</definedName>
    <definedName name="PRYEAR.PLAN">#REF!</definedName>
    <definedName name="PRYEAR2.PLAN">#REF!</definedName>
    <definedName name="prynyc">#REF!</definedName>
    <definedName name="PRYR10CAT">#REF!</definedName>
    <definedName name="PRYR2CAT">#REF!</definedName>
    <definedName name="PRYRCAT">#REF!</definedName>
    <definedName name="PSM">#REF!</definedName>
    <definedName name="PSN" hidden="1">#REF!</definedName>
    <definedName name="PTPUB1">#REF!</definedName>
    <definedName name="PTRAI1">#REF!</definedName>
    <definedName name="PTTOT1">#REF!</definedName>
    <definedName name="PUB">#N/A</definedName>
    <definedName name="Publisher">#REF!</definedName>
    <definedName name="Publisher_Name">#REF!</definedName>
    <definedName name="PublisherList">OFFSET(#REF!,0,0,COUNTA(#REF!),1)</definedName>
    <definedName name="PublisherSignatureDate">#REF!</definedName>
    <definedName name="PublishingSiteName">#REF!</definedName>
    <definedName name="Puerto_Rico">#REF!</definedName>
    <definedName name="PurchasingCriteria">OFFSET(#REF!,0,0,COUNTA(#REF!)-1,1)</definedName>
    <definedName name="PWO">#REF!</definedName>
    <definedName name="PY.HDG">#REF!</definedName>
    <definedName name="PY.OSSHARES">#REF!</definedName>
    <definedName name="PY2.HDG">#REF!</definedName>
    <definedName name="PYEST.HDG">#REF!</definedName>
    <definedName name="PYPLN.HDG">#REF!</definedName>
    <definedName name="Pyr.plan">#REF!</definedName>
    <definedName name="q">#REF!</definedName>
    <definedName name="Q.cp_25">29.35</definedName>
    <definedName name="Q.cp150.499">18.75</definedName>
    <definedName name="Q.cp25.75">24.4</definedName>
    <definedName name="Q.cp500">17.25</definedName>
    <definedName name="Q.cp75.149">21.65</definedName>
    <definedName name="Q1Value">#REF!</definedName>
    <definedName name="Q2Value">#REF!</definedName>
    <definedName name="Q3Value">#REF!</definedName>
    <definedName name="Q4Value">#REF!</definedName>
    <definedName name="Q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D">#REF!</definedName>
    <definedName name="QDcpm">#REF!</definedName>
    <definedName name="qf" hidden="1">{#N/A,#N/A,TRUE,"Cover sheet";#N/A,#N/A,TRUE,"INPUTS";#N/A,#N/A,TRUE,"OUTPUTS";#N/A,#N/A,TRUE,"VALUATION"}</definedName>
    <definedName name="qgg" hidden="1">{#N/A,#N/A,FALSE,"Cover";"outputs total",#N/A,FALSE,"Outputs"}</definedName>
    <definedName name="qq">#REF!</definedName>
    <definedName name="qqq" hidden="1">#REF!</definedName>
    <definedName name="qqqq">#REF!</definedName>
    <definedName name="qqqqrr">#REF!</definedName>
    <definedName name="QRTS">#REF!</definedName>
    <definedName name="qryBrinks">#REF!</definedName>
    <definedName name="qs">#REF!</definedName>
    <definedName name="QScpm">#REF!</definedName>
    <definedName name="qsd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TC">#REF!</definedName>
    <definedName name="QTR">#REF!</definedName>
    <definedName name="qtr.act">#REF!</definedName>
    <definedName name="qtr.est">#REF!</definedName>
    <definedName name="QTR.SEL">#REF!</definedName>
    <definedName name="Qtrly">#REF!</definedName>
    <definedName name="Qtrly_Date">#REF!</definedName>
    <definedName name="Qtrly_Num">#REF!</definedName>
    <definedName name="QTT">#REF!</definedName>
    <definedName name="qty">#REF!</definedName>
    <definedName name="Quadrant">#REF!</definedName>
    <definedName name="quancheng">#REF!</definedName>
    <definedName name="Quantity">#REF!</definedName>
    <definedName name="Quart">#REF!</definedName>
    <definedName name="QUARTER">#REF!</definedName>
    <definedName name="QuarterAnalysis">#REF!</definedName>
    <definedName name="Query1">#REF!</definedName>
    <definedName name="Query4">#REF!</definedName>
    <definedName name="Query7">#REF!</definedName>
    <definedName name="Question">#REF!</definedName>
    <definedName name="quyu">#REF!</definedName>
    <definedName name="qwe" hidden="1">{#N/A,#N/A,FALSE,"W-Cons";#N/A,#N/A,FALSE,"MTAs";#N/A,#N/A,FALSE,"BTAs";#N/A,#N/A,FALSE,"D.C.";#N/A,#N/A,FALSE,"L.A."}</definedName>
    <definedName name="qwer" hidden="1">{"Value to Sprint PCS",#N/A,FALSE,"Value to Sprint PCS";"Value to Affiliate",#N/A,FALSE,"Value of 8% Royalty";#N/A,#N/A,FALSE,"Value Summary"}</definedName>
    <definedName name="r_city_head">#REF!</definedName>
    <definedName name="r_city_sd">#REF!</definedName>
    <definedName name="r_city_tz">#REF!</definedName>
    <definedName name="R_F">#REF!</definedName>
    <definedName name="ra" hidden="1">{#N/A,#N/A,FALSE,"Key Business Drivers";#N/A,#N/A,FALSE,"FY98 Headcount";#N/A,#N/A,FALSE,"FY98 Financial Overview";#N/A,#N/A,FALSE,"(OPTIONAL) Additional Requests"}</definedName>
    <definedName name="RABATT">#REF!</definedName>
    <definedName name="Radioshack">#REF!</definedName>
    <definedName name="RAI">#N/A</definedName>
    <definedName name="ran">#REF!</definedName>
    <definedName name="RandO">#REF!</definedName>
    <definedName name="range">#REF!</definedName>
    <definedName name="Range.2">#REF!</definedName>
    <definedName name="Range_1">#REF!</definedName>
    <definedName name="Range_2">#REF!</definedName>
    <definedName name="Range_3">#REF!</definedName>
    <definedName name="Range_4">#REF!</definedName>
    <definedName name="Range_5">#REF!</definedName>
    <definedName name="rank1">#REF!</definedName>
    <definedName name="rank2">#REF!</definedName>
    <definedName name="rank3">#REF!</definedName>
    <definedName name="rank4">#REF!</definedName>
    <definedName name="rank5">#REF!</definedName>
    <definedName name="rank6">#REF!</definedName>
    <definedName name="rate">#REF!</definedName>
    <definedName name="Rate_Area">#REF!</definedName>
    <definedName name="RateCard">#REF!</definedName>
    <definedName name="RateCardByAdUnit">#REF!</definedName>
    <definedName name="RatecardCost">#REF!</definedName>
    <definedName name="RatecardRate">#REF!</definedName>
    <definedName name="RateCardTotal">#REF!</definedName>
    <definedName name="RateTable">#REF!</definedName>
    <definedName name="rating">#REF!</definedName>
    <definedName name="ratio">#REF!</definedName>
    <definedName name="RAY">#REF!</definedName>
    <definedName name="RB">#REF!</definedName>
    <definedName name="RBN">#REF!</definedName>
    <definedName name="RBU">#REF!</definedName>
    <definedName name="RDDist">#REF!</definedName>
    <definedName name="re">#REF!</definedName>
    <definedName name="REACH1">#REF!</definedName>
    <definedName name="REACH3">#REF!</definedName>
    <definedName name="REAL85">#REF!</definedName>
    <definedName name="recap_III">#REF!</definedName>
    <definedName name="recap_IV">#REF!</definedName>
    <definedName name="recap_print_III_IV_V">#REF!</definedName>
    <definedName name="recap_V">#REF!</definedName>
    <definedName name="Receipient">#REF!</definedName>
    <definedName name="recency">#REF!</definedName>
    <definedName name="Record25">#N/A</definedName>
    <definedName name="recorder1">#REF!</definedName>
    <definedName name="recorderr">#REF!</definedName>
    <definedName name="ree">#REF!</definedName>
    <definedName name="reebok">#REF!</definedName>
    <definedName name="Reference_Market">#REF!</definedName>
    <definedName name="RefreshArea">#REF!</definedName>
    <definedName name="Reg">#REF!</definedName>
    <definedName name="REG.CODE">#REF!</definedName>
    <definedName name="REG.DATA">#REF!</definedName>
    <definedName name="REG.LIST">#REF!</definedName>
    <definedName name="REG_AFFIL">#REF!</definedName>
    <definedName name="RegCPGA_YTD">#REF!</definedName>
    <definedName name="RegCPGACM">#REF!</definedName>
    <definedName name="RegCPGAMth">#REF!</definedName>
    <definedName name="RegCPGAYTD">#REF!</definedName>
    <definedName name="REGION">#REF!</definedName>
    <definedName name="REGION.SEL">#REF!</definedName>
    <definedName name="Regions">#REF!</definedName>
    <definedName name="REGIONS.COM">#REF!</definedName>
    <definedName name="release.date">#REF!</definedName>
    <definedName name="remain">8</definedName>
    <definedName name="Remark_Area">#REF!</definedName>
    <definedName name="rename_of_wrn.CSC" hidden="1">{"page1",#N/A,TRUE,"CSC";"page2",#N/A,TRUE,"CSC"}</definedName>
    <definedName name="Report_1_Range_1">#REF!</definedName>
    <definedName name="Report_1_Range_2">#REF!</definedName>
    <definedName name="Report_1_Range_3">#REF!</definedName>
    <definedName name="Report_1_Range_4">#REF!</definedName>
    <definedName name="Report_1_Range_5">#REF!</definedName>
    <definedName name="Report_2_Range_1">#REF!</definedName>
    <definedName name="Report_Freq">#REF!</definedName>
    <definedName name="Report_Name">#REF!</definedName>
    <definedName name="Reportid">#REF!</definedName>
    <definedName name="ReportingLink">#REF!</definedName>
    <definedName name="ReportName">#REF!</definedName>
    <definedName name="Required">#REF!</definedName>
    <definedName name="rer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esearch">#REF!</definedName>
    <definedName name="ResponseType">#REF!</definedName>
    <definedName name="Responsibility">#REF!</definedName>
    <definedName name="ret">#REF!</definedName>
    <definedName name="Retained_Assumed">#REF!</definedName>
    <definedName name="rete4">#REF!,#REF!,#REF!,#REF!,#REF!,#REF!,#REF!,#REF!,#REF!,#REF!,#REF!,#REF!</definedName>
    <definedName name="RetrieveExpense">#REF!</definedName>
    <definedName name="RetrieveHC">#REF!</definedName>
    <definedName name="Rev">#REF!</definedName>
    <definedName name="Rev_drivers">#REF!</definedName>
    <definedName name="Revenue">#REF!</definedName>
    <definedName name="revenue_comp">#REF!</definedName>
    <definedName name="Revenue_Type">#REF!</definedName>
    <definedName name="REVISE_ATZ_CTS_REPORT">#REF!</definedName>
    <definedName name="RFP_6591_Chevy_s_Paper_Summary_1_25_06_lms">#REF!</definedName>
    <definedName name="Rich_Media_Products">#REF!</definedName>
    <definedName name="rick">#REF!</definedName>
    <definedName name="RID">#REF!</definedName>
    <definedName name="RM">#REF!</definedName>
    <definedName name="rngCirc">#REF!</definedName>
    <definedName name="rngCommentsBlank">#REF!</definedName>
    <definedName name="rngDescription">#REF!</definedName>
    <definedName name="rngEarned">#REF!</definedName>
    <definedName name="rngIOyourcontact">#REF!</definedName>
    <definedName name="rngNxtEarned">#REF!</definedName>
    <definedName name="rngSavings">#REF!</definedName>
    <definedName name="rngSell">#REF!</definedName>
    <definedName name="rngSellCost">#REF!</definedName>
    <definedName name="rngSumCirc">#REF!</definedName>
    <definedName name="rngSumEarned">#REF!</definedName>
    <definedName name="rngSumNxtEarned">#REF!</definedName>
    <definedName name="rngSumSell">#REF!</definedName>
    <definedName name="rngSumSellCost">#REF!</definedName>
    <definedName name="rngTitle">#REF!</definedName>
    <definedName name="ROAEst">#REF!</definedName>
    <definedName name="Rollup">#REF!</definedName>
    <definedName name="route">#REF!</definedName>
    <definedName name="Rpt.mth">#REF!</definedName>
    <definedName name="RPT_BRANDFX">#REF!</definedName>
    <definedName name="RR_AFF">#REF!</definedName>
    <definedName name="RR_AFF_ONLINE">#REF!</definedName>
    <definedName name="RR_COGS">#REF!</definedName>
    <definedName name="RR_COGS_DATA">#REF!</definedName>
    <definedName name="RR_COGS_DATA_ONLINE">#REF!</definedName>
    <definedName name="RR_COGS_LY">#REF!</definedName>
    <definedName name="RR_COGS_LY_DATA">#REF!</definedName>
    <definedName name="RR_COGS_LY_DATA_ONLINE">#REF!</definedName>
    <definedName name="RR_COGS_LY_ONLINE">#REF!</definedName>
    <definedName name="RR_COGS_ONLINE">#REF!</definedName>
    <definedName name="RR_COGS_PLAN">#REF!</definedName>
    <definedName name="RR_COGS_PLAN_DATA">#REF!</definedName>
    <definedName name="RR_COGS_PLAN_DATA_ONLINE">#REF!</definedName>
    <definedName name="RR_COGS_PLAN_ONLINE">#REF!</definedName>
    <definedName name="RR_DOPEX">#REF!</definedName>
    <definedName name="RR_DOPEX_ONLINE">#REF!</definedName>
    <definedName name="RR_GS">#REF!</definedName>
    <definedName name="RR_GS_DATA">#REF!</definedName>
    <definedName name="RR_GS_DATA_ONLINE">#REF!</definedName>
    <definedName name="RR_GS_ONLINE">#REF!</definedName>
    <definedName name="RR_INOPEX">#REF!</definedName>
    <definedName name="RR_INOPEX_ONLINE">#REF!</definedName>
    <definedName name="RR_NOP">#REF!</definedName>
    <definedName name="RR_NOP_DATA">#REF!</definedName>
    <definedName name="RR_NOP_DATA_ONLINE">#REF!</definedName>
    <definedName name="RR_NOP_LY">#REF!</definedName>
    <definedName name="RR_NOP_LY_DATA">#REF!</definedName>
    <definedName name="RR_NOP_LY_DATA_ONLINE">#REF!</definedName>
    <definedName name="RR_NOP_LY_ONLINE">#REF!</definedName>
    <definedName name="RR_NOP_ONLINE">#REF!</definedName>
    <definedName name="RR_NOP_PLAN">#REF!</definedName>
    <definedName name="RR_NOP_PLAN_DATA">#REF!</definedName>
    <definedName name="RR_NOP_PLAN_DATA_ONLINE">#REF!</definedName>
    <definedName name="RR_NOP_PLAN_ONLINE">#REF!</definedName>
    <definedName name="RR_NS">#REF!</definedName>
    <definedName name="RR_NS_DATA">#REF!</definedName>
    <definedName name="RR_NS_DATA_ONLINE">#REF!</definedName>
    <definedName name="RR_NS_LY">#REF!</definedName>
    <definedName name="RR_NS_LY_DATA">#REF!</definedName>
    <definedName name="RR_NS_LY_DATA_ONLINE">#REF!</definedName>
    <definedName name="RR_NS_LY_ONLINE">#REF!</definedName>
    <definedName name="RR_NS_ONLINE">#REF!</definedName>
    <definedName name="RR_NS_PLAN">#REF!</definedName>
    <definedName name="RR_NS_PLAN_DATA">#REF!</definedName>
    <definedName name="RR_NS_PLAN_DATA_ONLINE">#REF!</definedName>
    <definedName name="RR_NS_PLAN_ONLINE">#REF!</definedName>
    <definedName name="RR_OPEX">#REF!</definedName>
    <definedName name="RR_OPEX_DATA">#REF!</definedName>
    <definedName name="RR_OPEX_DATA_ONLINE">#REF!</definedName>
    <definedName name="RR_OPEX_LY">#REF!</definedName>
    <definedName name="RR_OPEX_LY_DATA">#REF!</definedName>
    <definedName name="RR_OPEX_LY_DATA_ONLINE">#REF!</definedName>
    <definedName name="RR_OPEX_LY_ONLINE">#REF!</definedName>
    <definedName name="RR_OPEX_ONLINE">#REF!</definedName>
    <definedName name="RR_OPEX_PLAN">#REF!</definedName>
    <definedName name="RR_OPEX_PLAN_DATA">#REF!</definedName>
    <definedName name="RR_OPEX_PLAN_DATA_ONLINE">#REF!</definedName>
    <definedName name="RR_OPEX_PLAN_ONLINE">#REF!</definedName>
    <definedName name="RR_RETURNS">#REF!</definedName>
    <definedName name="RR_RETURNS_DATA">#REF!</definedName>
    <definedName name="RR_RETURNS_DATA_ONLINE">#REF!</definedName>
    <definedName name="RR_RETURNS_ONLINE">#REF!</definedName>
    <definedName name="rrrrrr" hidden="1">{"cash plan",#N/A,FALSE,"fccashflow"}</definedName>
    <definedName name="rrrrrrrrrr">#REF!</definedName>
    <definedName name="rt">#REF!</definedName>
    <definedName name="RTT">#REF!</definedName>
    <definedName name="RunRatePercent">#REF!</definedName>
    <definedName name="RunRateValue">#REF!</definedName>
    <definedName name="Rwvu.otherinc." hidden="1">#REF!</definedName>
    <definedName name="rz" hidden="1">{#N/A,#N/A,FALSE,"Exp Detail";#N/A,#N/A,FALSE,"Headcount";#N/A,#N/A,FALSE,"Travel";#N/A,#N/A,FALSE,"Summary";#N/A,#N/A,FALSE,"Cap Ex"}</definedName>
    <definedName name="rzs" hidden="1">{#N/A,#N/A,FALSE,"Exp Detail";#N/A,#N/A,FALSE,"Headcount";#N/A,#N/A,FALSE,"Travel";#N/A,#N/A,FALSE,"Summary";#N/A,#N/A,FALSE,"Cap Ex"}</definedName>
    <definedName name="s">#REF!</definedName>
    <definedName name="S.Circ">#REF!</definedName>
    <definedName name="s108_">#REF!</definedName>
    <definedName name="S123_keyword_1">#REF!</definedName>
    <definedName name="s3rd">#REF!</definedName>
    <definedName name="S4.C_PREM">#REF!</definedName>
    <definedName name="s56_">#REF!</definedName>
    <definedName name="s90_">#REF!</definedName>
    <definedName name="sa" hidden="1">{#N/A,#N/A,FALSE,"intl comb";#N/A,#N/A,FALSE,"el intl";#N/A,#N/A,FALSE,"cl intl ";#N/A,#N/A,FALSE,"px intl ";#N/A,#N/A,FALSE,"ar intl ";#N/A,#N/A,FALSE,"or intl  ";#N/A,#N/A,FALSE,"adj intl  "}</definedName>
    <definedName name="sad">#REF!</definedName>
    <definedName name="sadasd">#REF!</definedName>
    <definedName name="SAKS">#REF!</definedName>
    <definedName name="sal" hidden="1">{#N/A,#N/A,FALSE,"dom comb";#N/A,#N/A,FALSE,"el usa";#N/A,#N/A,FALSE,"cl usa";#N/A,#N/A,FALSE,"px comb";#N/A,#N/A,FALSE,"ar usa";#N/A,#N/A,FALSE,"or consol";#N/A,#N/A,FALSE,"el mgmt";#N/A,#N/A,FALSE,"corp&amp;adj"}</definedName>
    <definedName name="Salary">#REF!</definedName>
    <definedName name="sales" hidden="1">{#N/A,#N/A,FALSE,"intl comb";#N/A,#N/A,FALSE,"el intl";#N/A,#N/A,FALSE,"cl intl ";#N/A,#N/A,FALSE,"px intl ";#N/A,#N/A,FALSE,"ar intl ";#N/A,#N/A,FALSE,"or intl  ";#N/A,#N/A,FALSE,"adj intl  "}</definedName>
    <definedName name="Sales_Email">#REF!</definedName>
    <definedName name="Sales_Name">#REF!</definedName>
    <definedName name="salesnonop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lesStaff">#REF!</definedName>
    <definedName name="SALUTE">#N/A</definedName>
    <definedName name="SAPBEXhrIndnt" hidden="1">"Wide"</definedName>
    <definedName name="SAPBEXrevision" hidden="1">45</definedName>
    <definedName name="SAPBEXrevision_1" hidden="1">30</definedName>
    <definedName name="SAPBEXsysID" hidden="1">"PBB"</definedName>
    <definedName name="SAPBEXwbID" hidden="1">"0CESB7K24W1PV9I0KNB8YNXXN"</definedName>
    <definedName name="SAPsysID" hidden="1">"708C5W7SBKP804JT78WJ0JNKI"</definedName>
    <definedName name="SAPwbID" hidden="1">"ARS"</definedName>
    <definedName name="sas">#REF!</definedName>
    <definedName name="SASMain_ELCSTD_SUMMARY_ACTIVECUST">#REF!</definedName>
    <definedName name="SASMain_ELCSTD_SUMMARY_CUSTDATABASE">#REF!</definedName>
    <definedName name="SASMain_ELCSTD_SUMMARY_CUSTTRANS">#REF!</definedName>
    <definedName name="SASMain_ELCSTD_SUMMARY_DECILEGROUP">#REF!</definedName>
    <definedName name="SASMain_ELCSTD_SUMMARY_HEADERS">#REF!</definedName>
    <definedName name="SASMain_ELCSTD_SUMMARY_NEWTOFILETRANS">#REF!</definedName>
    <definedName name="SASMain_ELCSTD_SUMMARY_PURCHFREQ">#REF!</definedName>
    <definedName name="SASMain_ELCSTD_SUMMARY_TOPCUST">#REF!</definedName>
    <definedName name="SASMain_ELCSTD_SUMMARY_TOPCUST25">#REF!</definedName>
    <definedName name="SASMain_ELCSTD_SUMMARY_VALUEGROUP">#REF!</definedName>
    <definedName name="SAU31.5">#REF!</definedName>
    <definedName name="Savings_Graph">#REF!</definedName>
    <definedName name="Scenario">#REF!</definedName>
    <definedName name="ScheduleItemTypeList">#REF!</definedName>
    <definedName name="Scirc">#REF!</definedName>
    <definedName name="SCN">#REF!</definedName>
    <definedName name="sd">#REF!</definedName>
    <definedName name="SD_From_Welcome">#REF!</definedName>
    <definedName name="SD_to_Welcome">#REF!</definedName>
    <definedName name="SDDS">#REF!</definedName>
    <definedName name="SDesc1">#REF!</definedName>
    <definedName name="Sdesc2">#REF!</definedName>
    <definedName name="sdf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gsdfgsdfgfsdgsdfg" hidden="1">#REF!</definedName>
    <definedName name="sdfsdff">#REF!</definedName>
    <definedName name="sdfsfdgfg">#REF!</definedName>
    <definedName name="sdvgrwevsdvsd" hidden="1">#REF!</definedName>
    <definedName name="se">#REF!</definedName>
    <definedName name="search">#REF!</definedName>
    <definedName name="SEBU_Link">#REF!</definedName>
    <definedName name="SecondChoice">#REF!</definedName>
    <definedName name="SecondChoiceList">#REF!</definedName>
    <definedName name="Section_Targeting">#REF!</definedName>
    <definedName name="see">#REF!</definedName>
    <definedName name="Sel">#REF!</definedName>
    <definedName name="Sel.2">#REF!</definedName>
    <definedName name="sel.acct">#REF!</definedName>
    <definedName name="Sel.acct2">#REF!</definedName>
    <definedName name="Sel.acct3">#REF!</definedName>
    <definedName name="SEL.AOR">#REF!</definedName>
    <definedName name="sel.application">#REF!</definedName>
    <definedName name="SEL.BRAND">#REF!</definedName>
    <definedName name="sel.cat">#REF!</definedName>
    <definedName name="sel.cat1">#REF!</definedName>
    <definedName name="sel.cat2">#REF!</definedName>
    <definedName name="SEL.DATE">#REF!</definedName>
    <definedName name="SEL.ENTITY">#REF!</definedName>
    <definedName name="SEL.EST">#REF!</definedName>
    <definedName name="sel.est.act">#REF!</definedName>
    <definedName name="SEL.FREQ">#REF!</definedName>
    <definedName name="SEL.MO">#REF!</definedName>
    <definedName name="SEL.MONTH">#REF!</definedName>
    <definedName name="sel.mth">#REF!</definedName>
    <definedName name="SEL.REG">#REF!</definedName>
    <definedName name="SEL.REGION">#REF!</definedName>
    <definedName name="SEL.SALES">#REF!</definedName>
    <definedName name="SEL.STORES">#REF!</definedName>
    <definedName name="SEL.YR">#REF!</definedName>
    <definedName name="Select_Freq.">#REF!</definedName>
    <definedName name="SelectALL">#REF!</definedName>
    <definedName name="SelectedCostCenter">#REF!</definedName>
    <definedName name="SelectedScenario">#REF!</definedName>
    <definedName name="SelectedScenario2">#REF!</definedName>
    <definedName name="Selectionlink">#REF!</definedName>
    <definedName name="sellin">#REF!</definedName>
    <definedName name="sellthru">#REF!</definedName>
    <definedName name="sencount" hidden="1">1</definedName>
    <definedName name="Send">#REF!</definedName>
    <definedName name="SenderSplit">#REF!</definedName>
    <definedName name="Sep">#REF!</definedName>
    <definedName name="Sep.2">#REF!</definedName>
    <definedName name="Sept">#REF!</definedName>
    <definedName name="septship">#REF!</definedName>
    <definedName name="Sequence">#REF!</definedName>
    <definedName name="ser">#REF!</definedName>
    <definedName name="Served">OFFSET(#REF!,0,0,COUNTA(#REF!)-1,1)</definedName>
    <definedName name="SERVED_ADS">#REF!</definedName>
    <definedName name="SERVED_SEARCH">#REF!</definedName>
    <definedName name="Server">#REF!</definedName>
    <definedName name="ServerCost">#REF!</definedName>
    <definedName name="ServerTotal">#REF!</definedName>
    <definedName name="ServiceCenters">#REF!</definedName>
    <definedName name="Serving">#REF!</definedName>
    <definedName name="Serving_Code">#REF!</definedName>
    <definedName name="Serving_Option">#REF!</definedName>
    <definedName name="sez">#REF!</definedName>
    <definedName name="sfa" hidden="1">{#N/A,#N/A,FALSE,"elraw";#N/A,#N/A,FALSE,"clraw ";#N/A,#N/A,FALSE,"pxraw ";#N/A,#N/A,FALSE,"arraw ";#N/A,#N/A,FALSE,"orraw ";#N/A,#N/A,FALSE,"90raw  ";#N/A,#N/A,FALSE,"dcraw   "}</definedName>
    <definedName name="SFD">#REF!</definedName>
    <definedName name="sfsdf">#REF!</definedName>
    <definedName name="SFV">#REF!</definedName>
    <definedName name="sgdzhet" hidden="1">{"subs",#N/A,FALSE,"database ";"proportional",#N/A,FALSE,"database "}</definedName>
    <definedName name="sg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H">#REF!</definedName>
    <definedName name="SHA">#REF!</definedName>
    <definedName name="Shanghai">#REF!</definedName>
    <definedName name="SHB">#REF!</definedName>
    <definedName name="SHC">#REF!</definedName>
    <definedName name="SHCCTV">#REF!</definedName>
    <definedName name="shcomgrp">"Grafico 16"</definedName>
    <definedName name="SHD">#REF!</definedName>
    <definedName name="SHEET">#REF!</definedName>
    <definedName name="sheet1" hidden="1">#REF!</definedName>
    <definedName name="shelf" hidden="1">{#N/A,#N/A,FALSE,"CHANGES";#N/A,#N/A,FALSE,"PROD SUMMARY";#N/A,#N/A,FALSE,"1995 PO SUM";#N/A,#N/A,FALSE,"1995 GEOG SUM";#N/A,#N/A,FALSE,"1996 PO SUM";#N/A,#N/A,FALSE,"1996 GEOG SUM"}</definedName>
    <definedName name="shengyin">#REF!</definedName>
    <definedName name="shenyang">#N/A</definedName>
    <definedName name="shett">#REF!</definedName>
    <definedName name="SHHH">#REF!</definedName>
    <definedName name="shit">#REF!</definedName>
    <definedName name="SHLTV">#REF!</definedName>
    <definedName name="shp">#REF!</definedName>
    <definedName name="SHPTV">#REF!</definedName>
    <definedName name="shuliang">#REF!</definedName>
    <definedName name="ShuUemaru">#REF!</definedName>
    <definedName name="ShuUemura">#REF!</definedName>
    <definedName name="sichuan">#REF!</definedName>
    <definedName name="sigh">#REF!</definedName>
    <definedName name="SIGN">#REF!</definedName>
    <definedName name="SIGNEXP1">#REF!</definedName>
    <definedName name="silk">#REF!</definedName>
    <definedName name="simon">#REF!</definedName>
    <definedName name="SINGLE.MARKET.PROCESS">#REF!</definedName>
    <definedName name="singnew">#REF!</definedName>
    <definedName name="Sipra">#REF!,#REF!,#REF!,#REF!,#REF!,#REF!,#REF!,#REF!,#REF!,#REF!,#REF!,#REF!,#REF!,#REF!,#REF!,#REF!,#REF!,#REF!,#REF!,#REF!,#REF!,#REF!,#REF!</definedName>
    <definedName name="site">#REF!</definedName>
    <definedName name="Site_Alias">#REF!</definedName>
    <definedName name="Site_Name">#REF!</definedName>
    <definedName name="SiteCodeLookup">((#REF!):(INDEX(#REF!,MATCH("",#REF!,-1),0)))</definedName>
    <definedName name="SiteList">#REF!</definedName>
    <definedName name="SiteName">#REF!</definedName>
    <definedName name="SiteSubcategoryName">#REF!</definedName>
    <definedName name="Size">#REF!</definedName>
    <definedName name="SJ">[0]!SJ</definedName>
    <definedName name="SJZ">#REF!</definedName>
    <definedName name="sk3rd">#REF!</definedName>
    <definedName name="skdjgkfhg">#REF!</definedName>
    <definedName name="skt">#REF!</definedName>
    <definedName name="SKU">#REF!</definedName>
    <definedName name="SKU_Forecast">#REF!</definedName>
    <definedName name="sky">#REF!</definedName>
    <definedName name="sl">#REF!</definedName>
    <definedName name="SLCL">#REF!</definedName>
    <definedName name="sll">#REF!</definedName>
    <definedName name="SlotsPerTerm">#REF!</definedName>
    <definedName name="sm">#REF!</definedName>
    <definedName name="Small_App_Test">#REF!</definedName>
    <definedName name="SMES">#REF!</definedName>
    <definedName name="SNS">#REF!</definedName>
    <definedName name="SNSH">#REF!</definedName>
    <definedName name="snvciqansdclwioefd" hidden="1">{"'Matrix'!$A$3:$J$47"}</definedName>
    <definedName name="SOAP">#N/A</definedName>
    <definedName name="Social">#REF!</definedName>
    <definedName name="Software">#REF!</definedName>
    <definedName name="SoldBy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ORT">#REF!</definedName>
    <definedName name="SORT2">#REF!</definedName>
    <definedName name="SORT3">#REF!</definedName>
    <definedName name="SOVCol">#REF!</definedName>
    <definedName name="Space">#REF!</definedName>
    <definedName name="Spain">#REF!</definedName>
    <definedName name="SPcpm">#REF!</definedName>
    <definedName name="Spd">#REF!</definedName>
    <definedName name="SpecialDiscount1">#REF!</definedName>
    <definedName name="SpecialDiscount2">#REF!</definedName>
    <definedName name="SpecialDiscount3">#REF!</definedName>
    <definedName name="SpecialFormat">#REF!</definedName>
    <definedName name="spg">#REF!</definedName>
    <definedName name="Sponsorship">#REF!</definedName>
    <definedName name="spot">#REF!</definedName>
    <definedName name="Spotmatch">#REF!</definedName>
    <definedName name="spotmatching">#REF!</definedName>
    <definedName name="spotplan2">#REF!</definedName>
    <definedName name="SPOTQ">#REF!</definedName>
    <definedName name="spots">#REF!</definedName>
    <definedName name="sqtr">#REF!</definedName>
    <definedName name="SRP">#REF!</definedName>
    <definedName name="SS">#REF!</definedName>
    <definedName name="ss、" hidden="1">{"'毛利比较'!$A$4:$P$26"}</definedName>
    <definedName name="ssdsadsada">#REF!</definedName>
    <definedName name="ssss" hidden="1">{"'毛利比较'!$A$4:$P$26"}</definedName>
    <definedName name="ssssd" hidden="1">{#N/A,#N/A,FALSE,"Exp Detail";#N/A,#N/A,FALSE,"Headcount";#N/A,#N/A,FALSE,"Travel";#N/A,#N/A,FALSE,"Summary";#N/A,#N/A,FALSE,"Cap Ex"}</definedName>
    <definedName name="ST">#REF!</definedName>
    <definedName name="stan">#REF!</definedName>
    <definedName name="STAR">#REF!</definedName>
    <definedName name="Start">#REF!</definedName>
    <definedName name="START_ADS">#REF!</definedName>
    <definedName name="Start_Date">#REF!</definedName>
    <definedName name="START_GRASS">#REF!</definedName>
    <definedName name="START_SEARCH">#REF!</definedName>
    <definedName name="StartDate">#REF!</definedName>
    <definedName name="StartInput">#REF!</definedName>
    <definedName name="StatAccountLookup">#REF!</definedName>
    <definedName name="StatCountTypeName">#REF!</definedName>
    <definedName name="state">#REF!</definedName>
    <definedName name="Static">#REF!</definedName>
    <definedName name="STATIONNAM">#REF!</definedName>
    <definedName name="Status">#REF!</definedName>
    <definedName name="Step2Infra">#REF!</definedName>
    <definedName name="Step4DotCom">#REF!</definedName>
    <definedName name="Step5TASD">#REF!</definedName>
    <definedName name="STitle">#REF!</definedName>
    <definedName name="StorageTotal">#REF!</definedName>
    <definedName name="StoreName">#REF!</definedName>
    <definedName name="Strat">#REF!</definedName>
    <definedName name="STREAM">#REF!</definedName>
    <definedName name="stu">#REF!</definedName>
    <definedName name="style">#REF!</definedName>
    <definedName name="styweeks">"Grafico 17"</definedName>
    <definedName name="SubcategoryName">#REF!</definedName>
    <definedName name="SUBS">#REF!</definedName>
    <definedName name="Subscribers">#REF!</definedName>
    <definedName name="Subtotal_at_Each_Level">#REF!</definedName>
    <definedName name="SUCL">#REF!</definedName>
    <definedName name="sum">#REF!</definedName>
    <definedName name="SumEstImpressions">#REF!</definedName>
    <definedName name="SUMMARIZE_EFT_DAILY">#REF!</definedName>
    <definedName name="summary">#REF!</definedName>
    <definedName name="Summary_adjust">#REF!</definedName>
    <definedName name="summaryvalue">#REF!</definedName>
    <definedName name="Summation0">#REF!</definedName>
    <definedName name="Summation1">#REF!</definedName>
    <definedName name="Summation11">#REF!</definedName>
    <definedName name="Summation2">#REF!</definedName>
    <definedName name="Summation3">#REF!</definedName>
    <definedName name="Summation4">#REF!</definedName>
    <definedName name="Summation5">#REF!</definedName>
    <definedName name="SumQuantity">#REF!</definedName>
    <definedName name="sun">#REF!</definedName>
    <definedName name="SUN.BW">#REF!</definedName>
    <definedName name="sup">#REF!</definedName>
    <definedName name="suz">#REF!</definedName>
    <definedName name="SV_DIMENSION">#REF!</definedName>
    <definedName name="sw">#REF!</definedName>
    <definedName name="sw_deprec">#REF!</definedName>
    <definedName name="sweeps">#REF!</definedName>
    <definedName name="switch">#REF!</definedName>
    <definedName name="switch.calc">#REF!</definedName>
    <definedName name="switching.toggle">#REF!</definedName>
    <definedName name="Switzerland">#REF!</definedName>
    <definedName name="SY">#REF!</definedName>
    <definedName name="SYA">#REF!</definedName>
    <definedName name="SYB">#REF!</definedName>
    <definedName name="SYC">#REF!</definedName>
    <definedName name="SYD">#REF!</definedName>
    <definedName name="sytem_cap">#REF!</definedName>
    <definedName name="sz">#REF!</definedName>
    <definedName name="SZOMD">#REF!</definedName>
    <definedName name="SZX">#REF!</definedName>
    <definedName name="t">#REF!</definedName>
    <definedName name="Tab.Pcp">29.25</definedName>
    <definedName name="Table">#REF!</definedName>
    <definedName name="Table.2">#REF!</definedName>
    <definedName name="Table.3">#REF!</definedName>
    <definedName name="Table.4">#REF!</definedName>
    <definedName name="table.bta">#REF!</definedName>
    <definedName name="TABLE_4">#REF!</definedName>
    <definedName name="TABLE_5">#REF!</definedName>
    <definedName name="TABLE1">#REF!</definedName>
    <definedName name="Table6">#REF!</definedName>
    <definedName name="Table7">#REF!</definedName>
    <definedName name="TableName">"Dummy"</definedName>
    <definedName name="TagList">#REF!</definedName>
    <definedName name="TAIWAN">#REF!</definedName>
    <definedName name="Take_Rate">#REF!</definedName>
    <definedName name="TandE">#REF!</definedName>
    <definedName name="taozhuang">#REF!</definedName>
    <definedName name="tape">#REF!</definedName>
    <definedName name="Target">#REF!</definedName>
    <definedName name="targetcap">#REF!</definedName>
    <definedName name="tarps">#REF!</definedName>
    <definedName name="tax">#REF!</definedName>
    <definedName name="TAX.RATE">#REF!</definedName>
    <definedName name="tax_production">#REF!</definedName>
    <definedName name="TaxableOtherCosts">#REF!</definedName>
    <definedName name="teat">#REF!</definedName>
    <definedName name="Tech">#REF!</definedName>
    <definedName name="Tech_Adressen_Kombiname">#REF!</definedName>
    <definedName name="Tech_Platforms">#REF!</definedName>
    <definedName name="Techno">#REF!</definedName>
    <definedName name="TemplateCommentedField">#REF!</definedName>
    <definedName name="TemplateHeader">#REF!</definedName>
    <definedName name="TemplateLocalisedCommentedField">#REF!</definedName>
    <definedName name="TemplateVersion">#REF!</definedName>
    <definedName name="Tenbrink_Roaming_DMS_Summary">#REF!</definedName>
    <definedName name="Tend">#REF!</definedName>
    <definedName name="TERM">#REF!</definedName>
    <definedName name="TermLength">#REF!</definedName>
    <definedName name="terms">#REF!</definedName>
    <definedName name="TermType">#REF!</definedName>
    <definedName name="test">#REF!</definedName>
    <definedName name="test...">#REF!</definedName>
    <definedName name="TEST0">#REF!</definedName>
    <definedName name="test1" hidden="1">{#N/A,#N/A,FALSE,"Umsatz";#N/A,#N/A,FALSE,"Base V.02";#N/A,#N/A,FALSE,"Charts"}</definedName>
    <definedName name="test2" hidden="1">{#N/A,#N/A,FALSE,"F_Plan";#N/A,#N/A,FALSE,"Parameter"}</definedName>
    <definedName name="TESTHKEY">#REF!</definedName>
    <definedName name="Testing">#REF!</definedName>
    <definedName name="TESTKEYS">#REF!</definedName>
    <definedName name="tests" hidden="1">{#N/A,#N/A,FALSE,"F_Plan";#N/A,#N/A,FALSE,"Parameter"}</definedName>
    <definedName name="TESTVKEY">#REF!</definedName>
    <definedName name="TextRefCopyRangeCount" hidden="1">3</definedName>
    <definedName name="TF" hidden="1">{#N/A,#N/A,FALSE,"elraw";#N/A,#N/A,FALSE,"clraw ";#N/A,#N/A,FALSE,"pxraw ";#N/A,#N/A,FALSE,"arraw ";#N/A,#N/A,FALSE,"orraw ";#N/A,#N/A,FALSE,"90raw  ";#N/A,#N/A,FALSE,"dcraw   "}</definedName>
    <definedName name="TG.OSSHARES">#REF!</definedName>
    <definedName name="TGNEW.OSSHARES">#REF!</definedName>
    <definedName name="TGRP">#REF!</definedName>
    <definedName name="TGRP1">#REF!</definedName>
    <definedName name="TGRP30">#REF!</definedName>
    <definedName name="TGTYEAR">#REF!</definedName>
    <definedName name="Th.cp_25">37.75</definedName>
    <definedName name="Th.cp150.499">24.6</definedName>
    <definedName name="Th.cp25.75">31.3</definedName>
    <definedName name="Th.cp500">22.3</definedName>
    <definedName name="Th.cp75.149">27.5</definedName>
    <definedName name="thailnew">#REF!</definedName>
    <definedName name="ThDcpm">#REF!</definedName>
    <definedName name="ThScpm">#REF!</definedName>
    <definedName name="ti">#REF!</definedName>
    <definedName name="TI_AMO">#N/A</definedName>
    <definedName name="tie" hidden="1">{"Value to Sprint PCS",#N/A,FALSE,"Value to Sprint PCS";"Value to Affiliate",#N/A,FALSE,"Value of 8% Royalty";#N/A,#N/A,FALSE,"Value Summary"}</definedName>
    <definedName name="TIER">#REF!</definedName>
    <definedName name="Tier_List">#REF!</definedName>
    <definedName name="Tier1">#REF!</definedName>
    <definedName name="Tier1_Add">#REF!</definedName>
    <definedName name="Tier2">#REF!</definedName>
    <definedName name="Tier2_Add">#REF!</definedName>
    <definedName name="Tier3">#REF!</definedName>
    <definedName name="Tier3_Add">#REF!</definedName>
    <definedName name="TIERA">#REF!</definedName>
    <definedName name="TIERB">#REF!</definedName>
    <definedName name="TIERC">#REF!</definedName>
    <definedName name="Tiers">#REF!</definedName>
    <definedName name="time">#REF!</definedName>
    <definedName name="time1">#REF!</definedName>
    <definedName name="time2">#REF!</definedName>
    <definedName name="time3">#REF!</definedName>
    <definedName name="timelist">#REF!</definedName>
    <definedName name="TIMEVIEW">#REF!</definedName>
    <definedName name="Tital">#REF!</definedName>
    <definedName name="TITLE">#REF!</definedName>
    <definedName name="title.act1">#REF!</definedName>
    <definedName name="title.act2">#REF!</definedName>
    <definedName name="title.est1">#REF!</definedName>
    <definedName name="title.est2">#REF!</definedName>
    <definedName name="TITLE.SEL">#REF!</definedName>
    <definedName name="TITLE1">#REF!</definedName>
    <definedName name="TitleEc">#REF!</definedName>
    <definedName name="TitleHc">#REF!</definedName>
    <definedName name="TitlePL">#REF!</definedName>
    <definedName name="TitleReg">#REF!</definedName>
    <definedName name="TITLES.AFFILDATA">#REF!</definedName>
    <definedName name="TITLES.AFFILENT">#REF!</definedName>
    <definedName name="TITLES.MANAFFIL">#REF!</definedName>
    <definedName name="TITLES.MANDATA">#REF!</definedName>
    <definedName name="TITLES.REGDATA">#REF!</definedName>
    <definedName name="TITLES.REGION">#REF!</definedName>
    <definedName name="TITOLO">#N/A</definedName>
    <definedName name="TJ">#REF!</definedName>
    <definedName name="TJA">#REF!</definedName>
    <definedName name="TJB">#REF!</definedName>
    <definedName name="TJC">#REF!</definedName>
    <definedName name="TJD">#REF!</definedName>
    <definedName name="tjetrkryi">[0]!tjetrkryi</definedName>
    <definedName name="TM">#REF!</definedName>
    <definedName name="TMD" hidden="1">{#N/A,#N/A,FALSE,"elraw";#N/A,#N/A,FALSE,"clraw ";#N/A,#N/A,FALSE,"pxraw ";#N/A,#N/A,FALSE,"arraw ";#N/A,#N/A,FALSE,"orraw ";#N/A,#N/A,FALSE,"90raw  ";#N/A,#N/A,FALSE,"dcraw   "}</definedName>
    <definedName name="tmga.xl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o">#REF!</definedName>
    <definedName name="To_Ops_Review">#REF!</definedName>
    <definedName name="toHdLan">#REF!</definedName>
    <definedName name="toMicPrOth">#REF!</definedName>
    <definedName name="Tools">#REF!</definedName>
    <definedName name="toopsreview">#REF!</definedName>
    <definedName name="top">#REF!</definedName>
    <definedName name="TopBuyersLastYear3">#REF!</definedName>
    <definedName name="TopProductsTotal">#REF!</definedName>
    <definedName name="TOPS">#REF!</definedName>
    <definedName name="total">#REF!</definedName>
    <definedName name="total_cost">#REF!</definedName>
    <definedName name="Total_Entities">#REF!</definedName>
    <definedName name="total_gross_cost">#REF!</definedName>
    <definedName name="TotalAOR">#REF!</definedName>
    <definedName name="TOTALUNIT">#REF!</definedName>
    <definedName name="total销售额">#REF!,#REF!,#REF!,#REF!,#REF!</definedName>
    <definedName name="ToTest">#REF!</definedName>
    <definedName name="TOTM">#REF!</definedName>
    <definedName name="Tower1">#REF!</definedName>
    <definedName name="Tower10">#REF!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r">#REF!</definedName>
    <definedName name="tracking">#REF!</definedName>
    <definedName name="TrackingCostGrandTotal">#REF!</definedName>
    <definedName name="TrackingTypeCol">#REF!</definedName>
    <definedName name="TrackingTypeList">#REF!</definedName>
    <definedName name="TrackingTypeRateCol">#REF!</definedName>
    <definedName name="Training">#REF!</definedName>
    <definedName name="TRAOR">#REF!</definedName>
    <definedName name="Travel_Retail">#REF!</definedName>
    <definedName name="treatment">#REF!</definedName>
    <definedName name="treatment2">#REF!</definedName>
    <definedName name="trend">#REF!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ENDS">#REF!</definedName>
    <definedName name="TRIPFREQ">#REF!</definedName>
    <definedName name="trnew">#REF!</definedName>
    <definedName name="Trouble">#REF!</definedName>
    <definedName name="TS">#REF!</definedName>
    <definedName name="Tspd">#REF!</definedName>
    <definedName name="TSPDD">#REF!</definedName>
    <definedName name="TSpots">#REF!</definedName>
    <definedName name="Tstart">#REF!</definedName>
    <definedName name="TT">#REF!</definedName>
    <definedName name="TTarps">#REF!</definedName>
    <definedName name="TTL_FINAL">#REF!</definedName>
    <definedName name="ttt">#REF!</definedName>
    <definedName name="TTTT">#REF!</definedName>
    <definedName name="TU.cp_25">50.3</definedName>
    <definedName name="TU.cp150.499">32.8</definedName>
    <definedName name="TU.cp25.75">43.85</definedName>
    <definedName name="TU.cp500">29.8</definedName>
    <definedName name="TU.cp75.149">37.5</definedName>
    <definedName name="TUDcpm">#REF!</definedName>
    <definedName name="Turkey">#REF!</definedName>
    <definedName name="TUScpm">#REF!</definedName>
    <definedName name="TV">#REF!</definedName>
    <definedName name="tv_group_range">#REF!</definedName>
    <definedName name="TV_NEW">#REF!</definedName>
    <definedName name="tv_range">#REF!</definedName>
    <definedName name="TVGRPS">"Grafico 16"</definedName>
    <definedName name="TwelveMonthValue">#REF!</definedName>
    <definedName name="twnew">#REF!</definedName>
    <definedName name="TY">#REF!</definedName>
    <definedName name="type">#REF!</definedName>
    <definedName name="typeh">#REF!</definedName>
    <definedName name="u">#REF!</definedName>
    <definedName name="UEJ">#REF!</definedName>
    <definedName name="UEY">#REF!</definedName>
    <definedName name="UFPrn20110221133850">#REF!</definedName>
    <definedName name="ui">#REF!</definedName>
    <definedName name="UIDCol">#REF!</definedName>
    <definedName name="uiiiiiiiiiiiiiiiiiiiiiiiii">#REF!</definedName>
    <definedName name="uknew">#REF!</definedName>
    <definedName name="UKReg">#REF!</definedName>
    <definedName name="unit">#REF!</definedName>
    <definedName name="Unit_Forecast">#REF!</definedName>
    <definedName name="United_States">#REF!</definedName>
    <definedName name="units">#REF!</definedName>
    <definedName name="unitsF10">#REF!</definedName>
    <definedName name="Unshaded">#REF!</definedName>
    <definedName name="Upload">#REF!</definedName>
    <definedName name="url">#REF!</definedName>
    <definedName name="URU">#REF!</definedName>
    <definedName name="US_GSE">"GSE.Entity"</definedName>
    <definedName name="USD_Frate">#REF!</definedName>
    <definedName name="uu" hidden="1">{"'毛利比较'!$A$4:$P$26"}</definedName>
    <definedName name="UY">#REF!</definedName>
    <definedName name="v">#REF!</definedName>
    <definedName name="v_address">#REF!</definedName>
    <definedName name="v_beizhu">#REF!</definedName>
    <definedName name="v_brand">#REF!</definedName>
    <definedName name="v_company">#REF!</definedName>
    <definedName name="v_discount_total">#REF!</definedName>
    <definedName name="v_dj">#REF!</definedName>
    <definedName name="v_dlyj">#REF!</definedName>
    <definedName name="v_edate">#REF!</definedName>
    <definedName name="v_fb_total">#REF!</definedName>
    <definedName name="v_fkbz">#REF!</definedName>
    <definedName name="v_hth">#REF!</definedName>
    <definedName name="v_Intzdw">#REF!</definedName>
    <definedName name="v_jedx">#REF!</definedName>
    <definedName name="v_jiahao">#REF!</definedName>
    <definedName name="v_page_head">#REF!</definedName>
    <definedName name="v_printdate">#REF!</definedName>
    <definedName name="v_product">#REF!</definedName>
    <definedName name="v_s">#REF!</definedName>
    <definedName name="v_sales">#REF!</definedName>
    <definedName name="v_sdate">#REF!</definedName>
    <definedName name="v_sign_addr">#REF!</definedName>
    <definedName name="v_sign_date">#REF!</definedName>
    <definedName name="v_sq">#REF!</definedName>
    <definedName name="v_yhsm">#REF!</definedName>
    <definedName name="VALUE">#REF!</definedName>
    <definedName name="Value_Add">#REF!</definedName>
    <definedName name="Value_Pricing_Table__2">#REF!</definedName>
    <definedName name="values">#REF!</definedName>
    <definedName name="VAT">#REF!</definedName>
    <definedName name="VENDOR.SET.1">#REF!</definedName>
    <definedName name="VER">#REF!</definedName>
    <definedName name="Version">#REF!</definedName>
    <definedName name="Version_Control">#REF!</definedName>
    <definedName name="Version1">#REF!</definedName>
    <definedName name="Version2">#REF!</definedName>
    <definedName name="vf">#REF!</definedName>
    <definedName name="Vichy">#REF!</definedName>
    <definedName name="VichyLaRochePosayPR">#REF!</definedName>
    <definedName name="vientnew">#REF!</definedName>
    <definedName name="VisibleRangeFirstColumn">#REF!</definedName>
    <definedName name="Vision">#REF!</definedName>
    <definedName name="Visits">#REF!</definedName>
    <definedName name="visuales">#REF!</definedName>
    <definedName name="vn">#REF!</definedName>
    <definedName name="VolumeDiscountCol">#REF!</definedName>
    <definedName name="Vorspalte_1">#REF!</definedName>
    <definedName name="Vorspalte_2">#REF!</definedName>
    <definedName name="Vorspalte_3">#REF!</definedName>
    <definedName name="VP_Bussing">#REF!</definedName>
    <definedName name="vvvv">#REF!</definedName>
    <definedName name="vvvvvvvvvvvvvvv">#REF!</definedName>
    <definedName name="vy">#REF!</definedName>
    <definedName name="w">#REF!</definedName>
    <definedName name="W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aec">#REF!</definedName>
    <definedName name="WanSW">#REF!</definedName>
    <definedName name="WB">#REF!</definedName>
    <definedName name="we">#REF!</definedName>
    <definedName name="web">#REF!</definedName>
    <definedName name="Web_Tools">#REF!</definedName>
    <definedName name="wedxc">#REF!</definedName>
    <definedName name="week3">#REF!</definedName>
    <definedName name="week4">#REF!</definedName>
    <definedName name="week5">#REF!</definedName>
    <definedName name="week6">#REF!</definedName>
    <definedName name="week7">#REF!</definedName>
    <definedName name="week8">#REF!</definedName>
    <definedName name="week9">#REF!</definedName>
    <definedName name="weekday">#REF!,#REF!,#REF!,#REF!,#REF!</definedName>
    <definedName name="wef">#REF!</definedName>
    <definedName name="Weight">#REF!</definedName>
    <definedName name="weizhi">#REF!</definedName>
    <definedName name="Welcome">#REF!</definedName>
    <definedName name="wewe">#REF!</definedName>
    <definedName name="WH">#REF!</definedName>
    <definedName name="WHA">#REF!</definedName>
    <definedName name="what">#REF!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HB">#REF!</definedName>
    <definedName name="WHC">#REF!</definedName>
    <definedName name="WHD">#REF!</definedName>
    <definedName name="whys">#REF!</definedName>
    <definedName name="Win">#REF!</definedName>
    <definedName name="wireless.national.results">#REF!</definedName>
    <definedName name="wireless.ratios">#REF!</definedName>
    <definedName name="wireless.ratios.2">#REF!</definedName>
    <definedName name="wo">#REF!</definedName>
    <definedName name="wonder">#REF!</definedName>
    <definedName name="woo">#REF!</definedName>
    <definedName name="woot">#REF!</definedName>
    <definedName name="word">#REF!</definedName>
    <definedName name="words">#REF!</definedName>
    <definedName name="wowo">#REF!</definedName>
    <definedName name="WQE" hidden="1">#REF!</definedName>
    <definedName name="wqef">#REF!</definedName>
    <definedName name="wrn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1." hidden="1">{#N/A,#N/A,FALSE,"Calc";#N/A,#N/A,FALSE,"Sensitivity";#N/A,#N/A,FALSE,"LT Earn.Dil.";#N/A,#N/A,FALSE,"Dil. AVP"}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min." hidden="1">{#N/A,#N/A,FALSE,"Exp Detail";#N/A,#N/A,FALSE,"Headcount";#N/A,#N/A,FALSE,"Travel";#N/A,#N/A,FALSE,"Summary";#N/A,#N/A,FALSE,"Cap Ex"}</definedName>
    <definedName name="wrn.Affiliate._.Financials." hidden="1">{"Income Statement",#N/A,TRUE,"Financials";"Balance Sheet and Cash Flow",#N/A,TRUE,"Financials";"Capital Schedule",#N/A,TRUE,"Financials"}</definedName>
    <definedName name="wrn.all." hidden="1">{#N/A,#N/A,FALSE,"W-Cons";#N/A,#N/A,FALSE,"MTAs";#N/A,#N/A,FALSE,"BTAs";#N/A,#N/A,FALSE,"D.C.";#N/A,#N/A,FALSE,"L.A."}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." hidden="1">{"Printall AP",#N/A,FALSE,"AP"}</definedName>
    <definedName name="wrn.Aramis." hidden="1">{"AR",#N/A,FALSE,"Post-Contingency";"AR",#N/A,FALSE,"Contingency";"AR",#N/A,FALSE,"Pre-Contingency";"AR",#N/A,FALSE,"EMA";"AR",#N/A,FALSE,"AP";"AR",#N/A,FALSE,"WH"}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uto._.Comp." hidden="1">{#N/A,#N/A,FALSE,"Sheet1"}</definedName>
    <definedName name="wrn.away." hidden="1">{"away stand alones",#N/A,FALSE,"Target"}</definedName>
    <definedName name="wrn.Bobbi._.Brown." hidden="1">{"BB",#N/A,FALSE,"Post-Contingency";"BB",#N/A,FALSE,"Contingency";"BB",#N/A,FALSE,"Pre-Contingency";"BB",#N/A,FALSE,"EMA";"BB",#N/A,FALSE,"AP";"BB",#N/A,FALSE,"WH"}</definedName>
    <definedName name="wrn.BPlan." hidden="1">{#N/A,#N/A,FALSE,"F_Plan";#N/A,#N/A,FALSE,"Parameter"}</definedName>
    <definedName name="wrn.BRAND_MAIN." hidden="1">{"NS_MAIN",#N/A,FALSE,"SALES";"MAIN",#N/A,FALSE,"COST OF GOODS";"MAIN",#N/A,FALSE,"NOP";"MAIN",#N/A,FALSE,"OPERATING EXP"}</definedName>
    <definedName name="wrn.BRAND_PERCENT." hidden="1">{"NS_MAIN",#N/A,FALSE,"SALES";"NS_PERCENT",#N/A,FALSE,"COST OF GOODS";"NS_PERCENT",#N/A,FALSE,"NOP";"NS_PERCENT",#N/A,FALSE,"OPERATING EXP"}</definedName>
    <definedName name="wrn.brian." hidden="1">{#N/A,#N/A,FALSE,"output";#N/A,#N/A,FALSE,"contrib";#N/A,#N/A,FALSE,"profile";#N/A,#N/A,FALSE,"comps"}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hidden="1">{"cash plan",#N/A,FALSE,"fccashflow"}</definedName>
    <definedName name="wrn.CB_MAIN." hidden="1">{"NS_MAIN",#N/A,FALSE,"SALES";"MAIN",#N/A,FALSE,"COST OF GOODS";"MAIN",#N/A,FALSE,"NOP";"MAIN",#N/A,FALSE,"OPERATING EXP";"MAIN",#N/A,FALSE,"NET INCOME"}</definedName>
    <definedName name="wrn.CB_PERCENT." hidden="1">{"NS_MAIN",#N/A,FALSE,"SALES";"NS_PERCENT",#N/A,FALSE,"COST OF GOODS";"NS_PERCENT",#N/A,FALSE,"NOP";"NS_PERCENT",#N/A,FALSE,"OPERATING EXP";"NS_PERCENT",#N/A,FALSE,"NET INCOME"}</definedName>
    <definedName name="wrn.check" hidden="1">{#N/A,#N/A,FALSE,"COMPWITH ";#N/A,#N/A,FALSE,"PROFORMA";#N/A,#N/A,FALSE,"COMPWO";#N/A,#N/A,FALSE,"LII";#N/A,#N/A,FALSE,"global";#N/A,#N/A,FALSE,"oio";#N/A,#N/A,FALSE,"dom comb";#N/A,#N/A,FALSE,"intl comb"}</definedName>
    <definedName name="wrn.Cider." hidden="1">{#N/A,#N/A,FALSE,"Cider Segment";#N/A,#N/A,FALSE,"Bulmers";#N/A,#N/A,FALSE,"Ritz";#N/A,#N/A,FALSE,"Stag";#N/A,#N/A,FALSE,"Cider Others"}</definedName>
    <definedName name="wrn.Clinique." hidden="1">{"CL",#N/A,FALSE,"Post-Contingency";"CL",#N/A,FALSE,"Contingency";"CL",#N/A,FALSE,"Pre-Contingency";"CL",#N/A,FALSE,"EMA";"CL",#N/A,FALSE,"WH";"CL",#N/A,FALSE,"AP"}</definedName>
    <definedName name="wrn.comps." hidden="1">{"comps",#N/A,FALSE,"comps";"notes",#N/A,FALSE,"comps"}</definedName>
    <definedName name="wrn.Consolidated._.Set." hidden="1">{"Consolidated IS w Ratios",#N/A,FALSE,"Consolidated";"Consolidated CF",#N/A,FALSE,"Consolidated";"Consolidated DCF",#N/A,FALSE,"Consolidated"}</definedName>
    <definedName name="wrn.Contingency." hidden="1">{"Printall Contingency",#N/A,FALSE,"Contingency"}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DOM." hidden="1">{#N/A,#N/A,FALSE,"dom comb";#N/A,#N/A,FALSE,"el usa";#N/A,#N/A,FALSE,"cl usa";#N/A,#N/A,FALSE,"px comb";#N/A,#N/A,FALSE,"ar usa";#N/A,#N/A,FALSE,"or consol";#N/A,#N/A,FALSE,"el mgmt";#N/A,#N/A,FALSE,"corp&amp;adj"}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A." hidden="1">{"Printall EMA",#N/A,FALSE,"EMA"}</definedName>
    <definedName name="wrn.Employee._.Efficiency." hidden="1">{"Employee Efficiency",#N/A,FALSE,"Benchmarking"}</definedName>
    <definedName name="wrn.equity._.comps." hidden="1">{"equity comps",#N/A,FALSE,"CS Comps";"equity comps",#N/A,FALSE,"PS Comps";"equity comps",#N/A,FALSE,"GIC_Comps";"equity comps",#N/A,FALSE,"GIC2_Comps"}</definedName>
    <definedName name="wrn.Estee._.Lauder." hidden="1">{"EL",#N/A,FALSE,"Post-Contingency";"EL",#N/A,FALSE,"Contingency";"EL",#N/A,FALSE,"Pre-Contingency";"EL",#N/A,FALSE,"EMA";"EL",#N/A,FALSE,"AP";"EL",#N/A,FALSE,"WH"}</definedName>
    <definedName name="wrn.EUR4_5_12." hidden="1">{"eur4",#N/A,FALSE,"EUR4-5";"eur5",#N/A,FALSE,"EUR4-5";"eur12",#N/A,FALSE,"EUR4-5"}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utive._.package.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E._.Sensitivity." hidden="1">{"Far East Top",#N/A,FALSE,"FE Model";"Far East Mid",#N/A,FALSE,"FE Model";"Far East Base",#N/A,FALSE,"FE Model"}</definedName>
    <definedName name="wrn.final.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_.Presentation." hidden="1">{#N/A,#N/A,FALSE,"Key Business Drivers";#N/A,#N/A,FALSE,"FY98 Headcount";#N/A,#N/A,FALSE,"FY98 Financial Overview";#N/A,#N/A,FALSE,"(OPTIONAL) Additional Requests"}</definedName>
    <definedName name="wrn.forecast." hidden="1">{#N/A,#N/A,FALSE,"forecast";#N/A,#N/A,FALSE,"Comm - vfb"}</definedName>
    <definedName name="wrn.FRONT." hidden="1">{"COVER_ALL",#N/A,FALSE,"COVER_INDEX"}</definedName>
    <definedName name="wrn.FULL.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_.model." hidden="1">{#N/A,#N/A,TRUE,"Cover sheet";#N/A,#N/A,TRUE,"DCF analysis";#N/A,#N/A,TRUE,"WACC calculation"}</definedName>
    <definedName name="wrn.Full._.Model._.Print._.Out.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imp." hidden="1">{"vue1",#N/A,FALSE,"synthese";"vue2",#N/A,FALSE,"synthese"}</definedName>
    <definedName name="wrn.Input_Adj." hidden="1">{"Input_Adjustments",#N/A,FALSE,"ARP200 EL"}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L." hidden="1">{#N/A,#N/A,FALSE,"intl comb";#N/A,#N/A,FALSE,"el intl";#N/A,#N/A,FALSE,"cl intl ";#N/A,#N/A,FALSE,"px intl ";#N/A,#N/A,FALSE,"ar intl ";#N/A,#N/A,FALSE,"or intl  ";#N/A,#N/A,FALSE,"adj intl  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hidden="1">{"Line Efficiency",#N/A,FALSE,"Benchmarking"}</definedName>
    <definedName name="wrn.MAC." hidden="1">{"MAC",#N/A,FALSE,"Post-Contingency";"MAC",#N/A,FALSE,"Contingency";"MAC",#N/A,FALSE,"Pre-Contingency";"MAC",#N/A,FALSE,"EMA";"MAC",#N/A,FALSE,"AP";"MAC",#N/A,FALSE,"WH"}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ONTHLY._.ESTIMATES." hidden="1">{"ELUSA",#N/A,FALSE,"EL"}</definedName>
    <definedName name="wrn.Monthly_Detail." hidden="1">{"monthly",#N/A,FALSE,"ARP200 EL"}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_.Set." hidden="1">{"NA Is w Ratios",#N/A,FALSE,"North America";"PF CFlow NA",#N/A,FALSE,"North America";"NA DCF Matrix",#N/A,FALSE,"North America"}</definedName>
    <definedName name="wrn.Origins." hidden="1">{"OR",#N/A,FALSE,"Post-Contingency";"OR",#N/A,FALSE,"Contingency";"OR",#N/A,FALSE,"Pre-Contingency";"OR",#N/A,FALSE,"EMA";"OR",#N/A,FALSE,"WH";"OR",#N/A,FALSE,"AP"}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 hidden="1">{"p_l",#N/A,FALSE,"Summary Accounts"}</definedName>
    <definedName name="wrn.Post_Contingency." hidden="1">{"Printall Post Contingency",#N/A,FALSE,"Post-Contingency"}</definedName>
    <definedName name="wrn.Pre_Contingency." hidden="1">{"Printall Pre Contingency",#N/A,FALSE,"Pre-Contingency"}</definedName>
    <definedName name="wrn.PRELIM." hidden="1">{#N/A,#N/A,FALSE,"EX_A";#N/A,#N/A,FALSE,"EX_A.1";#N/A,#N/A,FALSE,"EX_B"}</definedName>
    <definedName name="wrn.Prescriptives." hidden="1">{"PR",#N/A,FALSE,"Post-Contingency";"PR",#N/A,FALSE,"Contingency";"PR",#N/A,FALSE,"Pre-Contingency";"PR",#N/A,FALSE,"EMA";"PR",#N/A,FALSE,"AP";"PR",#N/A,FALSE,"WH"}</definedName>
    <definedName name="wrn.PRESENTATION." hidden="1">{#N/A,#N/A,TRUE,"PRODUCTION CAPEX OVERVIEW";#N/A,#N/A,TRUE,"Affiliate Detail";#N/A,#N/A,TRUE,"CAPEX PLANNING OVERVIEW"}</definedName>
    <definedName name="wrn.PrimeCo." hidden="1">{"print 1",#N/A,FALSE,"PrimeCo PCS";"print 2",#N/A,FALSE,"PrimeCo PCS";"valuation",#N/A,FALSE,"PrimeCo PCS"}</definedName>
    <definedName name="wrn.Principal." hidden="1">{#N/A,#N/A,FALSE,"Principal";#N/A,#N/A,FALSE,"Principal2"}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Europe._.TandB." hidden="1">{"Print Top",#N/A,FALSE,"Europe Model";"Print Bottom",#N/A,FALSE,"Europe Model"}</definedName>
    <definedName name="wrn.Print._.Everything.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FE._.T._.and._.B." hidden="1">{"Far East Top",#N/A,FALSE,"FE Model";"Far East Bottom",#N/A,FALSE,"FE Model"}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standalone." hidden="1">{"standalone1",#N/A,FALSE,"DCFBase";"standalone2",#N/A,FALSE,"DCFBase"}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1." hidden="1">{#N/A,#N/A,FALSE,"GLBBS";#N/A,#N/A,FALSE,"GLBIS ";#N/A,#N/A,FALSE,"GLBCF";#N/A,#N/A,FALSE,"assumptions"}</definedName>
    <definedName name="wrn.PrintAll.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Quarterly._.Reports.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aw." hidden="1">{#N/A,#N/A,FALSE,"elraw";#N/A,#N/A,FALSE,"clraw ";#N/A,#N/A,FALSE,"pxraw ";#N/A,#N/A,FALSE,"arraw ";#N/A,#N/A,FALSE,"orraw ";#N/A,#N/A,FALSE,"90raw  ";#N/A,#N/A,FALSE,"dcraw   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ensitivity." hidden="1">{"sensitivity",#N/A,FALSE,"Sensitivity"}</definedName>
    <definedName name="wrn.sensitivity._.analyses." hidden="1">{"general",#N/A,FALSE,"Assumptions"}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hidden="1">{#N/A,#N/A,FALSE,"Assumps";#N/A,#N/A,FALSE,"Owned";#N/A,#N/A,FALSE,"Manage";#N/A,#N/A,FALSE,"Manback";#N/A,#N/A,FALSE,"Invest";#N/A,#N/A,FALSE,"Commercial"}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_alone." hidden="1">{#N/A,#N/A,FALSE,"CBE";#N/A,#N/A,FALSE,"SWK"}</definedName>
    <definedName name="wrn.Standard." hidden="1">{"Financials",#N/A,FALSE,"Financials";"AVP",#N/A,FALSE,"AVP";"DCF",#N/A,FALSE,"DCF";"CSC",#N/A,FALSE,"CSC";"Deal_Comp",#N/A,FALSE,"DealComp"}</definedName>
    <definedName name="wrn.SUMMARY." hidden="1">{#N/A,#N/A,FALSE,"COMPWITH ";#N/A,#N/A,FALSE,"PROFORMA";#N/A,#N/A,FALSE,"COMPWO";#N/A,#N/A,FALSE,"LII";#N/A,#N/A,FALSE,"global";#N/A,#N/A,FALSE,"oio";#N/A,#N/A,FALSE,"dom comb";#N/A,#N/A,FALSE,"intl comb"}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2" hidden="1">{#N/A,#N/A,FALSE,"COMPWITH ";#N/A,#N/A,FALSE,"PROFORMA";#N/A,#N/A,FALSE,"COMPWO";#N/A,#N/A,FALSE,"LII";#N/A,#N/A,FALSE,"global";#N/A,#N/A,FALSE,"oio";#N/A,#N/A,FALSE,"dom comb";#N/A,#N/A,FALSE,"intl comb"}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est." hidden="1">{#N/A,#N/A,FALSE,"Software";#N/A,#N/A,FALSE,"Labor";#N/A,#N/A,FALSE,"Software"}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Tweety." hidden="1">{#N/A,#N/A,FALSE,"A&amp;E";#N/A,#N/A,FALSE,"HighTop";#N/A,#N/A,FALSE,"JG";#N/A,#N/A,FALSE,"RI";#N/A,#N/A,FALSE,"woHT";#N/A,#N/A,FALSE,"woHT&amp;JG"}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TL._.Position." hidden="1">{"UTL effect",#N/A,FALSE,"Sensitivity"}</definedName>
    <definedName name="wrn.valderrama." hidden="1">{"valderrama1",#N/A,FALSE,"Pro Forma";"valderrama",#N/A,FALSE,"Pro Forma"}</definedName>
    <definedName name="wrn.valuation." hidden="1">{#N/A,#N/A,FALSE,"Valuation";#N/A,#N/A,FALSE,"Valuation (5)";#N/A,#N/A,FALSE,"Valuation (2)";#N/A,#N/A,FALSE,"Valuation (3)"}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_.Summaries." hidden="1">{"Value to Sprint PCS",#N/A,FALSE,"Value to Sprint PCS";"Value to Affiliate",#N/A,FALSE,"Value of 8% Royalty";#N/A,#N/A,FALSE,"Value Summary"}</definedName>
    <definedName name="wrn.Water." hidden="1">{#N/A,#N/A,FALSE,"Water";#N/A,#N/A,FALSE,"Ballygowan";#N/A,#N/A,FALSE,"Volvic"}</definedName>
    <definedName name="wrn.WH." hidden="1">{"Printall WH",#N/A,FALSE,"WH"}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x" hidden="1">{#N/A,#N/A,FALSE,"COMPWITH ";#N/A,#N/A,FALSE,"PROFORMA";#N/A,#N/A,FALSE,"COMPWO";#N/A,#N/A,FALSE,"LII";#N/A,#N/A,FALSE,"global";#N/A,#N/A,FALSE,"oio";#N/A,#N/A,FALSE,"dom comb";#N/A,#N/A,FALSE,"intl comb"}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x" hidden="1">{#N/A,#N/A,FALSE,"COMPWITH ";#N/A,#N/A,FALSE,"PROFORMA";#N/A,#N/A,FALSE,"COMPWO";#N/A,#N/A,FALSE,"LII";#N/A,#N/A,FALSE,"global";#N/A,#N/A,FALSE,"oio";#N/A,#N/A,FALSE,"dom comb";#N/A,#N/A,FALSE,"intl comb"}</definedName>
    <definedName name="wrwet">#REF!</definedName>
    <definedName name="wsw" hidden="1">#REF!</definedName>
    <definedName name="WW">#REF!</definedName>
    <definedName name="www">OFFSET(#REF!,0,#REF!,9,136-#REF!)</definedName>
    <definedName name="wwwww">#REF!</definedName>
    <definedName name="WX">#REF!</definedName>
    <definedName name="WZ">#REF!</definedName>
    <definedName name="x">#REF!</definedName>
    <definedName name="x1x">[0]!x1x</definedName>
    <definedName name="XA">#REF!</definedName>
    <definedName name="XAA">#REF!</definedName>
    <definedName name="XAB">#REF!</definedName>
    <definedName name="XAC">#REF!</definedName>
    <definedName name="XAD">#REF!</definedName>
    <definedName name="xAxis1">#REF!</definedName>
    <definedName name="XC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in">#REF!</definedName>
    <definedName name="xin2">#REF!</definedName>
    <definedName name="xin3">#REF!</definedName>
    <definedName name="xin4">#REF!</definedName>
    <definedName name="xingshi">#REF!</definedName>
    <definedName name="XM">#REF!</definedName>
    <definedName name="XRefColumnsCount" hidden="1">5</definedName>
    <definedName name="XRefCopy1" hidden="1">#REF!</definedName>
    <definedName name="XRefCopy2" hidden="1">#REF!</definedName>
    <definedName name="XRefCopy3" hidden="1">#REF!</definedName>
    <definedName name="XRefCopy4" hidden="1">#REF!</definedName>
    <definedName name="XRefCopyRangeCount" hidden="1">10</definedName>
    <definedName name="XRefPasteRangeCount" hidden="1">3</definedName>
    <definedName name="xsdq" hidden="1">{"'Matrix'!$A$3:$J$47"}</definedName>
    <definedName name="xu">#REF!</definedName>
    <definedName name="XValCode">#REF!</definedName>
    <definedName name="xx">#REF!</definedName>
    <definedName name="xxx">#REF!</definedName>
    <definedName name="xxxx" hidden="1">{#N/A,#N/A,FALSE,"elraw";#N/A,#N/A,FALSE,"clraw ";#N/A,#N/A,FALSE,"pxraw ";#N/A,#N/A,FALSE,"arraw ";#N/A,#N/A,FALSE,"orraw ";#N/A,#N/A,FALSE,"90raw  ";#N/A,#N/A,FALSE,"dcraw   "}</definedName>
    <definedName name="xxxxx" hidden="1">{"10yp capex",#N/A,FALSE,"Celtel alternative 6"}</definedName>
    <definedName name="xxxxxx" hidden="1">{#N/A,#N/A,FALSE,"elraw";#N/A,#N/A,FALSE,"clraw ";#N/A,#N/A,FALSE,"pxraw ";#N/A,#N/A,FALSE,"arraw ";#N/A,#N/A,FALSE,"orraw ";#N/A,#N/A,FALSE,"90raw  ";#N/A,#N/A,FALSE,"dcraw   "}</definedName>
    <definedName name="xxxxxxx">#REF!</definedName>
    <definedName name="xxxxxxxxxxxxxxxxxxxxx">#REF!</definedName>
    <definedName name="xyz">#REF!</definedName>
    <definedName name="y">#REF!</definedName>
    <definedName name="Y_ED">#REF!</definedName>
    <definedName name="Y_N">#REF!</definedName>
    <definedName name="yaa">#REF!</definedName>
    <definedName name="yaaa">#REF!</definedName>
    <definedName name="yadelete">#REF!</definedName>
    <definedName name="yah">#REF!</definedName>
    <definedName name="yahoo">#REF!</definedName>
    <definedName name="yahoo2">#REF!</definedName>
    <definedName name="yahooo">#REF!</definedName>
    <definedName name="yahooun">#REF!</definedName>
    <definedName name="yap">#REF!</definedName>
    <definedName name="yaya">#REF!</definedName>
    <definedName name="ycume">#REF!</definedName>
    <definedName name="Year">#REF!</definedName>
    <definedName name="Year.Fiscal">#REF!</definedName>
    <definedName name="Year.Pr1">#REF!</definedName>
    <definedName name="Year.Pr2">#REF!</definedName>
    <definedName name="Year2">#REF!</definedName>
    <definedName name="years">#REF!</definedName>
    <definedName name="YEARS.NUM">#REF!</definedName>
    <definedName name="yellow">#REF!</definedName>
    <definedName name="yes">#REF!</definedName>
    <definedName name="YES.NO">#REF!</definedName>
    <definedName name="YesNo">#REF!</definedName>
    <definedName name="yfash">#REF!</definedName>
    <definedName name="yfj" hidden="1">{#N/A,#N/A,TRUE,"Cover sheet";#N/A,#N/A,TRUE,"INPUTS";#N/A,#N/A,TRUE,"OUTPUTS";#N/A,#N/A,TRUE,"VALUATION"}</definedName>
    <definedName name="yhome">#REF!</definedName>
    <definedName name="yoka">#REF!</definedName>
    <definedName name="yoyo">#REF!</definedName>
    <definedName name="YR">#REF!</definedName>
    <definedName name="YR.EST">#REF!</definedName>
    <definedName name="YR.PLAN">#REF!</definedName>
    <definedName name="YRT">#REF!</definedName>
    <definedName name="YS">#REF!</definedName>
    <definedName name="ysept">#REF!</definedName>
    <definedName name="ytd">#REF!</definedName>
    <definedName name="ytd2">#REF!</definedName>
    <definedName name="ytd3">#REF!</definedName>
    <definedName name="ytd4">#REF!</definedName>
    <definedName name="ytd6">#REF!</definedName>
    <definedName name="YTDACT">#REF!</definedName>
    <definedName name="YTDAVF">#REF!</definedName>
    <definedName name="YTDBud">#REF!</definedName>
    <definedName name="yu">#REF!</definedName>
    <definedName name="YueSai">#REF!</definedName>
    <definedName name="yuuuuuuu" hidden="1">{"ratios",#N/A,FALSE,"Summary Accounts"}</definedName>
    <definedName name="yy">#REF!</definedName>
    <definedName name="yyy">#REF!</definedName>
    <definedName name="yyyyyy" hidden="1">{"p_l",#N/A,FALSE,"Summary Accounts"}</definedName>
    <definedName name="z">#REF!</definedName>
    <definedName name="Z_06720266_7E26_11D2_ADE3_00805F95B375_.wvu.Cols" hidden="1">#REF!</definedName>
    <definedName name="Z_067203B3_7E26_11D2_ADE3_00805F95B375_.wvu.Cols" hidden="1">#REF!</definedName>
    <definedName name="Z_11C7DDC7_7B2F_11D2_ADE0_00805F95B375_.wvu.Cols" hidden="1">#REF!</definedName>
    <definedName name="Z_181FFD78_7D60_11D2_ADE2_00805F95B375_.wvu.Cols" hidden="1">#REF!</definedName>
    <definedName name="Z_1D7D5815_840D_4C0B_B6F4_45A75E234EF7_.wvu.Cols" hidden="1">#REF!,#REF!,#REF!</definedName>
    <definedName name="Z_1D7D5815_840D_4C0B_B6F4_45A75E234EF7_.wvu.FilterData" hidden="1">#REF!</definedName>
    <definedName name="Z_1D7D5815_840D_4C0B_B6F4_45A75E234EF7_.wvu.PrintArea" hidden="1">#REF!</definedName>
    <definedName name="Z_1D7D5815_840D_4C0B_B6F4_45A75E234EF7_.wvu.PrintTitles" hidden="1">#REF!</definedName>
    <definedName name="Z_27EB9F30_0081_11D2_9F28_00805F7F02C4_.wvu.Cols" hidden="1">#REF!</definedName>
    <definedName name="Z_2DCA8DA0_82FE_11D2_ADE8_00805F95B375_.wvu.Cols" hidden="1">#REF!</definedName>
    <definedName name="Z_332CA821_6D7A_11D5_B762_00A0C90CFCF0_.wvu.PrintArea" hidden="1">#REF!</definedName>
    <definedName name="Z_3B9EDB70_1369_43DF_AF9B_3C8AAED41F29_.wvu.Cols" hidden="1">#REF!,#REF!</definedName>
    <definedName name="Z_3B9EDB70_1369_43DF_AF9B_3C8AAED41F29_.wvu.FilterData" hidden="1">#REF!</definedName>
    <definedName name="Z_3B9EDB70_1369_43DF_AF9B_3C8AAED41F29_.wvu.PrintArea" hidden="1">#REF!</definedName>
    <definedName name="Z_3B9EDB70_1369_43DF_AF9B_3C8AAED41F29_.wvu.PrintTitles" hidden="1">#REF!</definedName>
    <definedName name="Z_3D5E9AAB_CEB2_44B9_A8DF_0A125FA98F8C_.wvu.Cols" hidden="1">#REF!,#REF!</definedName>
    <definedName name="Z_3D5E9AAB_CEB2_44B9_A8DF_0A125FA98F8C_.wvu.FilterData" hidden="1">#REF!</definedName>
    <definedName name="Z_3D5E9AAB_CEB2_44B9_A8DF_0A125FA98F8C_.wvu.PrintArea" hidden="1">#REF!</definedName>
    <definedName name="Z_3D5E9AAB_CEB2_44B9_A8DF_0A125FA98F8C_.wvu.PrintTitles" hidden="1">#REF!</definedName>
    <definedName name="Z_42F3BDF6_A7E5_4A54_9C06_2B472A7BF3B4_.wvu.Cols" hidden="1">#REF!,#REF!,#REF!</definedName>
    <definedName name="Z_42F3BDF6_A7E5_4A54_9C06_2B472A7BF3B4_.wvu.FilterData" hidden="1">#REF!</definedName>
    <definedName name="Z_42F3BDF6_A7E5_4A54_9C06_2B472A7BF3B4_.wvu.PrintArea" hidden="1">#REF!</definedName>
    <definedName name="Z_42F3BDF6_A7E5_4A54_9C06_2B472A7BF3B4_.wvu.PrintTitles" hidden="1">#REF!</definedName>
    <definedName name="Z_4B66AC98_5DCC_4F35_B494_61028EB1EB24_.wvu.FilterData" hidden="1">#REF!</definedName>
    <definedName name="Z_549D7716_AC65_430E_A665_36E4B342B66B_.wvu.FilterData" hidden="1">#REF!</definedName>
    <definedName name="Z_5FEF13CC_2715_4153_BE0C_8CAE8F1C7B42_.wvu.FilterData" hidden="1">#REF!</definedName>
    <definedName name="Z_61992FB7_5C94_47CA_90F5_A293717668B3_.wvu.Rows" hidden="1">#REF!</definedName>
    <definedName name="Z_6F55F008_920C_481D_957E_805A84AEE762_.wvu.FilterData" hidden="1">#REF!</definedName>
    <definedName name="Z_995F3848_6366_11D2_BB55_0008C7F43FB6_.wvu.Cols" hidden="1">#REF!</definedName>
    <definedName name="Z_B1BA2520_2444_44D8_946A_2F58E8758A53_.wvu.FilterData" hidden="1">#REF!</definedName>
    <definedName name="Z_B28E156B_4473_4078_A1A0_5C7F43C440EE_.wvu.FilterData" hidden="1">#REF!</definedName>
    <definedName name="Z_C8446067_629F_11D2_BB54_0008C7F43FB6_.wvu.Cols" hidden="1">#REF!</definedName>
    <definedName name="Z_C84460A2_629F_11D2_BB54_0008C7F43FB6_.wvu.Cols" hidden="1">#REF!</definedName>
    <definedName name="Z_C9C3E578_349C_4BFD_815D_7CC644BE7A3A_.wvu.PrintArea" hidden="1">#REF!</definedName>
    <definedName name="Z_D6C3FE80_8086_11D2_ADE6_00805F95B375_.wvu.Cols" hidden="1">#REF!</definedName>
    <definedName name="Z_D98FCB71_7FBA_11D2_ADE5_00805F95B375_.wvu.Cols" hidden="1">#REF!</definedName>
    <definedName name="Z_E5929A5F_6563_4666_9F66_C9B793B07544_.wvu.FilterData" hidden="1">#REF!</definedName>
    <definedName name="Z_EA5D69E0_7EF0_11D2_ADE4_00805F95B375_.wvu.Cols" hidden="1">#REF!</definedName>
    <definedName name="Z_EE999DA0_1A4E_4FB0_91E3_EEEAFDDB6F25_.wvu.PrintArea" hidden="1">#REF!</definedName>
    <definedName name="Z_FB1C70E8_04DE_4931_B6CA_01EAC5102205_.wvu.FilterData" hidden="1">#REF!</definedName>
    <definedName name="Z_FC84E37A_59C5_473A_A64E_A9503AE85BD8_.wvu.Cols" hidden="1">#REF!,#REF!</definedName>
    <definedName name="Z_FC84E37A_59C5_473A_A64E_A9503AE85BD8_.wvu.FilterData" hidden="1">#REF!</definedName>
    <definedName name="Z_FC84E37A_59C5_473A_A64E_A9503AE85BD8_.wvu.PrintArea" hidden="1">#REF!</definedName>
    <definedName name="Z_FC84E37A_59C5_473A_A64E_A9503AE85BD8_.wvu.PrintTitles" hidden="1">#REF!</definedName>
    <definedName name="ZA" hidden="1">{#N/A,#N/A,FALSE,"elraw";#N/A,#N/A,FALSE,"clraw ";#N/A,#N/A,FALSE,"pxraw ";#N/A,#N/A,FALSE,"arraw ";#N/A,#N/A,FALSE,"orraw ";#N/A,#N/A,FALSE,"90raw  ";#N/A,#N/A,FALSE,"dcraw   "}</definedName>
    <definedName name="zb">#REF!</definedName>
    <definedName name="ZC">#REF!</definedName>
    <definedName name="zer">#REF!</definedName>
    <definedName name="Zhangzhou7">#REF!</definedName>
    <definedName name="ZHZ">#REF!</definedName>
    <definedName name="ziggy">#REF!</definedName>
    <definedName name="Zip_Report_12_16_03">#REF!</definedName>
    <definedName name="zipcodes">#REF!</definedName>
    <definedName name="ziyuan">#REF!</definedName>
    <definedName name="zmye">#REF!</definedName>
    <definedName name="zx">#REF!</definedName>
    <definedName name="ZZ">#REF!</definedName>
    <definedName name="zzz" hidden="1">{#N/A,#N/A,FALSE,"P&amp;L"}</definedName>
    <definedName name="zzzzzzzzzzzzz">#REF!</definedName>
    <definedName name="阿打发地方">#REF!</definedName>
    <definedName name="阿迪锅">#REF!</definedName>
    <definedName name="阿思">#REF!</definedName>
    <definedName name="阿斯大声的">#REF!</definedName>
    <definedName name="阿斯蒂芬">#REF!</definedName>
    <definedName name="啊">#REF!</definedName>
    <definedName name="啊啊">#REF!</definedName>
    <definedName name="啊啊啊的">#REF!</definedName>
    <definedName name="哎">#REF!</definedName>
    <definedName name="愛經.對">#REF!</definedName>
    <definedName name="愛經成本">#REF!</definedName>
    <definedName name="愛經額">#REF!</definedName>
    <definedName name="愛經量">#REF!</definedName>
    <definedName name="愛軍額">#REF!</definedName>
    <definedName name="愛軍量">#REF!</definedName>
    <definedName name="愛量合">#REF!</definedName>
    <definedName name="愛蜜成本">#REF!</definedName>
    <definedName name="愛蜜麗價">#REF!</definedName>
    <definedName name="愛蜜麗量">#REF!</definedName>
    <definedName name="愛實成本">#REF!</definedName>
    <definedName name="愛實費用">#REF!</definedName>
    <definedName name="愛實淨額">#REF!</definedName>
    <definedName name="愛實利益">#REF!</definedName>
    <definedName name="愛實量">#REF!</definedName>
    <definedName name="愛市額">#REF!</definedName>
    <definedName name="愛市量">#REF!</definedName>
    <definedName name="愛團額">#REF!</definedName>
    <definedName name="愛團量">#REF!</definedName>
    <definedName name="愛學額">#REF!</definedName>
    <definedName name="愛學量">#REF!</definedName>
    <definedName name="愛預成本">#REF!</definedName>
    <definedName name="愛預費用">#REF!</definedName>
    <definedName name="愛預淨額">#REF!</definedName>
    <definedName name="愛預利益">#REF!</definedName>
    <definedName name="愛預量">#REF!</definedName>
    <definedName name="愛原額">#REF!</definedName>
    <definedName name="愛原額合">#REF!</definedName>
    <definedName name="暗访">[0]!暗访</definedName>
    <definedName name="宝宝树">#REF!</definedName>
    <definedName name="宝宝树硬广截屏">#REF!</definedName>
    <definedName name="건가new" hidden="1">{#N/A,#N/A,FALSE,"BS";#N/A,#N/A,FALSE,"PL";#N/A,#N/A,FALSE,"처분";#N/A,#N/A,FALSE,"현금";#N/A,#N/A,FALSE,"매출";#N/A,#N/A,FALSE,"원가";#N/A,#N/A,FALSE,"경영"}</definedName>
    <definedName name="报价">#REF!</definedName>
    <definedName name="报纸">#REF!</definedName>
    <definedName name="北京">#REF!</definedName>
    <definedName name="北京日报">#REF!</definedName>
    <definedName name="备案" hidden="1">{"'毛利比较'!$A$4:$P$26"}</definedName>
    <definedName name="备份">#REF!</definedName>
    <definedName name="本期差异区域别">#REF!</definedName>
    <definedName name="比较">#REF!</definedName>
    <definedName name="比较2">#REF!</definedName>
    <definedName name="결산공고" hidden="1">{#N/A,#N/A,FALSE,"BS";#N/A,#N/A,FALSE,"PL";#N/A,#N/A,FALSE,"처분";#N/A,#N/A,FALSE,"현금";#N/A,#N/A,FALSE,"매출";#N/A,#N/A,FALSE,"원가";#N/A,#N/A,FALSE,"경영"}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hidden="1">{#N/A,#N/A,FALSE,"BS";#N/A,#N/A,FALSE,"PL";#N/A,#N/A,FALSE,"처분";#N/A,#N/A,FALSE,"현금";#N/A,#N/A,FALSE,"매출";#N/A,#N/A,FALSE,"원가";#N/A,#N/A,FALSE,"경영"}</definedName>
    <definedName name="冰1">#REF!</definedName>
    <definedName name="冰10">#REF!</definedName>
    <definedName name="冰11">#REF!</definedName>
    <definedName name="冰12">#REF!</definedName>
    <definedName name="冰2">#REF!</definedName>
    <definedName name="冰3">#REF!</definedName>
    <definedName name="冰4">#REF!</definedName>
    <definedName name="冰5">#REF!</definedName>
    <definedName name="冰6">#REF!</definedName>
    <definedName name="冰7">#REF!</definedName>
    <definedName name="冰8">#REF!</definedName>
    <definedName name="冰9">#REF!</definedName>
    <definedName name="冰對.1">#REF!</definedName>
    <definedName name="冰品成本">#REF!</definedName>
    <definedName name="冰品價">#REF!</definedName>
    <definedName name="冰品量">#REF!</definedName>
    <definedName name="冰品實合">#REF!</definedName>
    <definedName name="冰品預合">#REF!</definedName>
    <definedName name="冰實成本">#REF!</definedName>
    <definedName name="冰實費用">#REF!</definedName>
    <definedName name="冰實合">#REF!</definedName>
    <definedName name="冰實淨額">#REF!</definedName>
    <definedName name="冰實累">#REF!</definedName>
    <definedName name="冰實利益">#REF!</definedName>
    <definedName name="冰實量">#REF!</definedName>
    <definedName name="冰預成本">#REF!</definedName>
    <definedName name="冰預費用">#REF!</definedName>
    <definedName name="冰預合">#REF!</definedName>
    <definedName name="冰預淨額">#REF!</definedName>
    <definedName name="冰預利益">#REF!</definedName>
    <definedName name="冰預量">#REF!</definedName>
    <definedName name="饼干外袋_10">#REF!</definedName>
    <definedName name="不">#REF!</definedName>
    <definedName name="布丁成本">#REF!</definedName>
    <definedName name="布丁價">#REF!</definedName>
    <definedName name="布丁量">#REF!</definedName>
    <definedName name="布經額">#REF!</definedName>
    <definedName name="布經量">#REF!</definedName>
    <definedName name="布軍額">#REF!</definedName>
    <definedName name="布軍量">#REF!</definedName>
    <definedName name="布實成本">#REF!</definedName>
    <definedName name="布實費用">#REF!</definedName>
    <definedName name="布實合">#REF!</definedName>
    <definedName name="布實淨額">#REF!</definedName>
    <definedName name="布實利益">#REF!</definedName>
    <definedName name="布實量">#REF!</definedName>
    <definedName name="布市額">#REF!</definedName>
    <definedName name="布市量">#REF!</definedName>
    <definedName name="布團額">#REF!</definedName>
    <definedName name="布團量">#REF!</definedName>
    <definedName name="布學額">#REF!</definedName>
    <definedName name="布學量">#REF!</definedName>
    <definedName name="布預成本">#REF!</definedName>
    <definedName name="布預費用">#REF!</definedName>
    <definedName name="布預合">#REF!</definedName>
    <definedName name="布預淨額">#REF!</definedName>
    <definedName name="布預利益">#REF!</definedName>
    <definedName name="布預量">#REF!</definedName>
    <definedName name="财务">#REF!</definedName>
    <definedName name="财务预算表">#REF!</definedName>
    <definedName name="財會">#REF!</definedName>
    <definedName name="测试" hidden="1">#REF!</definedName>
    <definedName name="策略说明" hidden="1">{"'毛利比较'!$A$4:$P$26"}</definedName>
    <definedName name="茶凍成本">#REF!</definedName>
    <definedName name="茶凍價">#REF!</definedName>
    <definedName name="茶凍量">#REF!</definedName>
    <definedName name="茶經量">#REF!</definedName>
    <definedName name="茶軍量">#REF!</definedName>
    <definedName name="茶實成本">#REF!</definedName>
    <definedName name="茶實費用">#REF!</definedName>
    <definedName name="茶實合">#REF!</definedName>
    <definedName name="茶實淨額">#REF!</definedName>
    <definedName name="茶實利益">#REF!</definedName>
    <definedName name="茶實量">#REF!</definedName>
    <definedName name="茶市量">#REF!</definedName>
    <definedName name="茶團量">#REF!</definedName>
    <definedName name="茶學量">#REF!</definedName>
    <definedName name="茶預成本">#REF!</definedName>
    <definedName name="茶預費用">#REF!</definedName>
    <definedName name="茶預合">#REF!</definedName>
    <definedName name="茶預淨額">#REF!</definedName>
    <definedName name="茶預利益">#REF!</definedName>
    <definedName name="茶預量">#REF!</definedName>
    <definedName name="拆解3" hidden="1">#REF!</definedName>
    <definedName name="产品别损益">#REF!</definedName>
    <definedName name="产品系列">#REF!</definedName>
    <definedName name="产销量值表">#REF!</definedName>
    <definedName name="常州">#REF!</definedName>
    <definedName name="场所类型">#REF!</definedName>
    <definedName name="成本">#REF!</definedName>
    <definedName name="成本差" hidden="1">#REF!</definedName>
    <definedName name="成都">#REF!</definedName>
    <definedName name="城市" hidden="1">{"'毛利比较'!$A$4:$P$26"}</definedName>
    <definedName name="崇明">#REF!</definedName>
    <definedName name="纯费用">#REF!</definedName>
    <definedName name="脆奇推广结案报">#REF!</definedName>
    <definedName name="错误">#REF!</definedName>
    <definedName name="大">#REF!</definedName>
    <definedName name="大类">#REF!</definedName>
    <definedName name="大连">#REF!</definedName>
    <definedName name="大连05.">#REF!</definedName>
    <definedName name="代店长">#REF!</definedName>
    <definedName name="待定" hidden="1">#REF!</definedName>
    <definedName name="袋香米饼_10">#REF!</definedName>
    <definedName name="袋香米饼_11">#REF!</definedName>
    <definedName name="袋雪">#REF!</definedName>
    <definedName name="袋雪米饼_10">#REF!</definedName>
    <definedName name="袋雪米饼_11">#REF!</definedName>
    <definedName name="袋雪米饼11">#REF!</definedName>
    <definedName name="單價">#REF!</definedName>
    <definedName name="但是">#REF!</definedName>
    <definedName name="地方" hidden="1">#REF!</definedName>
    <definedName name="的" hidden="1">{"'毛利比较'!$A$4:$P$26"}</definedName>
    <definedName name="的方法">#REF!</definedName>
    <definedName name="的放大">#REF!</definedName>
    <definedName name="點實累">#REF!</definedName>
    <definedName name="电台8月">#REF!</definedName>
    <definedName name="电台9月">#REF!</definedName>
    <definedName name="电影院">#REF!</definedName>
    <definedName name="店长">#REF!</definedName>
    <definedName name="豆成本">#REF!</definedName>
    <definedName name="豆價">#REF!</definedName>
    <definedName name="豆量">#REF!</definedName>
    <definedName name="短短的" hidden="1">{"'毛利比较'!$A$4:$P$26"}</definedName>
    <definedName name="多1">#REF!</definedName>
    <definedName name="多10">#REF!</definedName>
    <definedName name="多11">#REF!</definedName>
    <definedName name="多12">#REF!</definedName>
    <definedName name="多2">#REF!</definedName>
    <definedName name="多3">#REF!</definedName>
    <definedName name="多4">#REF!</definedName>
    <definedName name="多5">#REF!</definedName>
    <definedName name="多6">#REF!</definedName>
    <definedName name="多7">#REF!</definedName>
    <definedName name="多8">#REF!</definedName>
    <definedName name="多9">#REF!</definedName>
    <definedName name="多對.1">#REF!</definedName>
    <definedName name="多多">#REF!</definedName>
    <definedName name="多經額">#REF!</definedName>
    <definedName name="多經量">#REF!</definedName>
    <definedName name="多軍額">#REF!</definedName>
    <definedName name="多軍量">#REF!</definedName>
    <definedName name="多媒体事业部">#REF!</definedName>
    <definedName name="多實成本">#REF!</definedName>
    <definedName name="多實費用">#REF!</definedName>
    <definedName name="多實合">#REF!</definedName>
    <definedName name="多實淨額">#REF!</definedName>
    <definedName name="多實累">#REF!</definedName>
    <definedName name="多實利益">#REF!</definedName>
    <definedName name="多實量">#REF!</definedName>
    <definedName name="多市額">#REF!</definedName>
    <definedName name="多市量">#REF!</definedName>
    <definedName name="多團額">#REF!</definedName>
    <definedName name="多團量">#REF!</definedName>
    <definedName name="多學額">#REF!</definedName>
    <definedName name="多學量">#REF!</definedName>
    <definedName name="多預成本">#REF!</definedName>
    <definedName name="多預費用">#REF!</definedName>
    <definedName name="多預合">#REF!</definedName>
    <definedName name="多預淨額">#REF!</definedName>
    <definedName name="多預利益">#REF!</definedName>
    <definedName name="多預量">#REF!</definedName>
    <definedName name="额">#REF!</definedName>
    <definedName name="呃呃呃呃呃" hidden="1">{"'毛利比较'!$A$4:$P$26"}</definedName>
    <definedName name="二.">#REF!</definedName>
    <definedName name="发的">#REF!</definedName>
    <definedName name="非标流程" hidden="1">#REF!</definedName>
    <definedName name="分类">#REF!</definedName>
    <definedName name="粉包">#REF!</definedName>
    <definedName name="粉包_106">#REF!</definedName>
    <definedName name="粉包_120">#REF!</definedName>
    <definedName name="粉包10">#REF!</definedName>
    <definedName name="粉包106">#REF!</definedName>
    <definedName name="粉包106_10">#REF!</definedName>
    <definedName name="粉包106_11">#REF!</definedName>
    <definedName name="粉包120">#REF!</definedName>
    <definedName name="粉包120_10">#REF!</definedName>
    <definedName name="粉包120_11">#REF!</definedName>
    <definedName name="粉包137_10">#REF!</definedName>
    <definedName name="粉包137_11">#REF!</definedName>
    <definedName name="粉包87_10">#REF!</definedName>
    <definedName name="粉包87_11">#REF!</definedName>
    <definedName name="粉包人工及费用">#REF!</definedName>
    <definedName name="福州" hidden="1">{"'毛利比较'!$A$4:$P$26"}</definedName>
    <definedName name="福州第一波增加部分" hidden="1">{"'毛利比较'!$A$4:$P$26"}</definedName>
    <definedName name="腐經成本">#REF!</definedName>
    <definedName name="腐軍成本">#REF!</definedName>
    <definedName name="腐市成本">#REF!</definedName>
    <definedName name="腐學成本">#REF!</definedName>
    <definedName name="干脆袋220_10">#REF!</definedName>
    <definedName name="干脆面">#REF!</definedName>
    <definedName name="干脆面_10">#REF!</definedName>
    <definedName name="干脆面220_11">#REF!</definedName>
    <definedName name="干脆面280_11">#REF!</definedName>
    <definedName name="高屏冷藏">#REF!</definedName>
    <definedName name="高雄">#REF!</definedName>
    <definedName name="个香米饼">#REF!</definedName>
    <definedName name="个香米饼_10">#REF!</definedName>
    <definedName name="个香米饼_11">#REF!</definedName>
    <definedName name="个雪米饼">#REF!</definedName>
    <definedName name="个雪米饼_10">#REF!</definedName>
    <definedName name="个雪米饼_11">#REF!</definedName>
    <definedName name="工">#N/A</definedName>
    <definedName name="公交集">#REF!</definedName>
    <definedName name="姑苏晚报">#REF!</definedName>
    <definedName name="挂面190_11">#REF!</definedName>
    <definedName name="挂面265_11">#REF!</definedName>
    <definedName name="挂面290_11">#REF!</definedName>
    <definedName name="挂面340_11">#REF!</definedName>
    <definedName name="挂面袋190_10">#REF!</definedName>
    <definedName name="挂面袋220_11">#REF!</definedName>
    <definedName name="挂面袋265_10">#REF!</definedName>
    <definedName name="挂面袋340_10">#REF!</definedName>
    <definedName name="ㄴ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广深">#REF!</definedName>
    <definedName name="广州">#REF!</definedName>
    <definedName name="规格型号">#REF!</definedName>
    <definedName name="贵阳">#REF!</definedName>
    <definedName name="国">#REF!</definedName>
    <definedName name="果1023">#REF!</definedName>
    <definedName name="哈尔滨">#REF!</definedName>
    <definedName name="哈哈">#REF!</definedName>
    <definedName name="哈哈哈" hidden="1">#REF!</definedName>
    <definedName name="杭州">#REF!</definedName>
    <definedName name="呵呵呵">#REF!</definedName>
    <definedName name="合肥">#REF!</definedName>
    <definedName name="合计">SUM(#REF!)</definedName>
    <definedName name="何去我回去">#REF!</definedName>
    <definedName name="后天" hidden="1">{"'毛利比较'!$A$4:$P$26"}</definedName>
    <definedName name="呼和浩特" hidden="1">{"'毛利比较'!$A$4:$P$26"}</definedName>
    <definedName name="湖南卫视">#REF!</definedName>
    <definedName name="回畫面">#N/A</definedName>
    <definedName name="活1">#REF!</definedName>
    <definedName name="活10">#REF!</definedName>
    <definedName name="活11">#REF!</definedName>
    <definedName name="活12">#REF!</definedName>
    <definedName name="活2">#REF!</definedName>
    <definedName name="活3">#REF!</definedName>
    <definedName name="活4">#REF!</definedName>
    <definedName name="活5">#REF!</definedName>
    <definedName name="活6">#REF!</definedName>
    <definedName name="活7">#REF!</definedName>
    <definedName name="活8">#REF!</definedName>
    <definedName name="活9">#REF!</definedName>
    <definedName name="活成本">#REF!</definedName>
    <definedName name="活动总结" hidden="1">#REF!</definedName>
    <definedName name="活动总结1">#REF!</definedName>
    <definedName name="活價">#REF!</definedName>
    <definedName name="活經額">#REF!</definedName>
    <definedName name="活經量">#REF!</definedName>
    <definedName name="活軍額">#REF!</definedName>
    <definedName name="活軍量">#REF!</definedName>
    <definedName name="活量">#REF!</definedName>
    <definedName name="活實成本">#REF!</definedName>
    <definedName name="活實費用">#REF!</definedName>
    <definedName name="活實合">#REF!</definedName>
    <definedName name="活實淨額">#REF!</definedName>
    <definedName name="活實累">#REF!</definedName>
    <definedName name="活實利益">#REF!</definedName>
    <definedName name="活實量">#REF!</definedName>
    <definedName name="活市額">#REF!</definedName>
    <definedName name="活市量">#REF!</definedName>
    <definedName name="活團額">#REF!</definedName>
    <definedName name="活團量">#REF!</definedName>
    <definedName name="活學額">#REF!</definedName>
    <definedName name="活學量">#REF!</definedName>
    <definedName name="活預成本">#REF!</definedName>
    <definedName name="活預費用">#REF!</definedName>
    <definedName name="活預合">#REF!</definedName>
    <definedName name="活預淨額">#REF!</definedName>
    <definedName name="活預利益">#REF!</definedName>
    <definedName name="活預量">#REF!</definedName>
    <definedName name="货">#REF!</definedName>
    <definedName name="货品策略">#REF!</definedName>
    <definedName name="货品主推色">#REF!</definedName>
    <definedName name="级别">#REF!</definedName>
    <definedName name="集团外_10">#REF!</definedName>
    <definedName name="集团外_11">#REF!</definedName>
    <definedName name="集装袋295_11">#REF!</definedName>
    <definedName name="济南">#REF!</definedName>
    <definedName name="济南1">[0]!济南1</definedName>
    <definedName name="酱包106_10">#REF!</definedName>
    <definedName name="酱包106_11">#REF!</definedName>
    <definedName name="酱包120_10">#REF!</definedName>
    <definedName name="酱包120_11">#REF!</definedName>
    <definedName name="酱包137_10">#REF!</definedName>
    <definedName name="酱包137_11">#REF!</definedName>
    <definedName name="缴款明细">#REF!</definedName>
    <definedName name="阶段拆解">#REF!</definedName>
    <definedName name="今年銷售資料">#REF!</definedName>
    <definedName name="竞品动态汇总">#REF!</definedName>
    <definedName name="竟品" hidden="1">#REF!</definedName>
    <definedName name="淨額差" hidden="1">#REF!</definedName>
    <definedName name="囧">#REF!</definedName>
    <definedName name="蒟預合">#REF!</definedName>
    <definedName name="巨集3">#N/A</definedName>
    <definedName name="具体画面">#REF!</definedName>
    <definedName name="据需">#REF!</definedName>
    <definedName name="咔滋脆_">#REF!</definedName>
    <definedName name="咔滋脆185_11">#REF!</definedName>
    <definedName name="咔滋脆225_11">#REF!</definedName>
    <definedName name="客服号" hidden="1">#REF!</definedName>
    <definedName name="客戶數資料">#REF!</definedName>
    <definedName name="枯" hidden="1">#REF!</definedName>
    <definedName name="庫存成" hidden="1">#REF!</definedName>
    <definedName name="昆明">#REF!</definedName>
    <definedName name="酪額合">#REF!</definedName>
    <definedName name="酪計合">#REF!</definedName>
    <definedName name="酪經.對">#REF!</definedName>
    <definedName name="酪經成本">#REF!</definedName>
    <definedName name="酪經額">#REF!</definedName>
    <definedName name="酪經量">#REF!</definedName>
    <definedName name="酪軍.對">#REF!</definedName>
    <definedName name="酪軍成本">#REF!</definedName>
    <definedName name="酪軍額">#REF!</definedName>
    <definedName name="酪軍量">#REF!</definedName>
    <definedName name="酪量合">#REF!</definedName>
    <definedName name="酪莓本150">#REF!</definedName>
    <definedName name="酪莓額150">#REF!</definedName>
    <definedName name="酪莓量150">#REF!</definedName>
    <definedName name="酪實成本">#REF!</definedName>
    <definedName name="酪實費用">#REF!</definedName>
    <definedName name="酪實合">#REF!</definedName>
    <definedName name="酪實淨額">#REF!</definedName>
    <definedName name="酪實利益">#REF!</definedName>
    <definedName name="酪實量">#REF!</definedName>
    <definedName name="酪市.對">#REF!</definedName>
    <definedName name="酪市成本">#REF!</definedName>
    <definedName name="酪市額">#REF!</definedName>
    <definedName name="酪市量">#REF!</definedName>
    <definedName name="酪團.對">#REF!</definedName>
    <definedName name="酪團成本">#REF!</definedName>
    <definedName name="酪團額">#REF!</definedName>
    <definedName name="酪團量">#REF!</definedName>
    <definedName name="酪學.對">#REF!</definedName>
    <definedName name="酪學成本">#REF!</definedName>
    <definedName name="酪學額">#REF!</definedName>
    <definedName name="酪學量">#REF!</definedName>
    <definedName name="酪預成本">#REF!</definedName>
    <definedName name="酪預費用">#REF!</definedName>
    <definedName name="酪預淨額">#REF!</definedName>
    <definedName name="酪預利益">#REF!</definedName>
    <definedName name="酪預量">#REF!</definedName>
    <definedName name="乐">#N/A</definedName>
    <definedName name="链接">#REF!</definedName>
    <definedName name="流量">#REF!</definedName>
    <definedName name="流量5">#REF!</definedName>
    <definedName name="楼盘性质">#REF!</definedName>
    <definedName name="陆娅婷">#REF!</definedName>
    <definedName name="_xlnm.Recorder">#REF!</definedName>
    <definedName name="露1">#REF!</definedName>
    <definedName name="露10">#REF!</definedName>
    <definedName name="露11">#REF!</definedName>
    <definedName name="露12">#REF!</definedName>
    <definedName name="露2">#REF!</definedName>
    <definedName name="露260實累">#REF!</definedName>
    <definedName name="露3">#REF!</definedName>
    <definedName name="露4">#REF!</definedName>
    <definedName name="露5">#REF!</definedName>
    <definedName name="露6">#REF!</definedName>
    <definedName name="露7">#REF!</definedName>
    <definedName name="露8">#REF!</definedName>
    <definedName name="露9">#REF!</definedName>
    <definedName name="露CAN實合">#REF!</definedName>
    <definedName name="露對.1">#REF!</definedName>
    <definedName name="露額合">#REF!</definedName>
    <definedName name="露經.對">#REF!</definedName>
    <definedName name="露經成本">#REF!</definedName>
    <definedName name="露經額">#REF!</definedName>
    <definedName name="露經量">#REF!</definedName>
    <definedName name="露軍.對">#REF!</definedName>
    <definedName name="露軍成本">#REF!</definedName>
    <definedName name="露軍額">#REF!</definedName>
    <definedName name="露軍量">#REF!</definedName>
    <definedName name="露冷實合">#REF!</definedName>
    <definedName name="露量合">#REF!</definedName>
    <definedName name="露綠本200">#REF!</definedName>
    <definedName name="露綠額200">#REF!</definedName>
    <definedName name="露綠量200">#REF!</definedName>
    <definedName name="露實260合">#REF!</definedName>
    <definedName name="露實成本">#REF!</definedName>
    <definedName name="露實費用">#REF!</definedName>
    <definedName name="露實合">#REF!</definedName>
    <definedName name="露實淨額">#REF!</definedName>
    <definedName name="露實累">#REF!</definedName>
    <definedName name="露實利益">#REF!</definedName>
    <definedName name="露實量">#REF!</definedName>
    <definedName name="露市.對">#REF!</definedName>
    <definedName name="露市成本">#REF!</definedName>
    <definedName name="露市額">#REF!</definedName>
    <definedName name="露市量">#REF!</definedName>
    <definedName name="露團.對">#REF!</definedName>
    <definedName name="露團成本">#REF!</definedName>
    <definedName name="露團額">#REF!</definedName>
    <definedName name="露團量">#REF!</definedName>
    <definedName name="露學.對">#REF!</definedName>
    <definedName name="露學成本">#REF!</definedName>
    <definedName name="露學額">#REF!</definedName>
    <definedName name="露學量">#REF!</definedName>
    <definedName name="露椰本200">#REF!</definedName>
    <definedName name="露椰額200">#REF!</definedName>
    <definedName name="露椰量200">#REF!</definedName>
    <definedName name="露芋本200">#REF!</definedName>
    <definedName name="露芋額200">#REF!</definedName>
    <definedName name="露芋量200">#REF!</definedName>
    <definedName name="露預260合">#REF!</definedName>
    <definedName name="露預成本">#REF!</definedName>
    <definedName name="露預費用">#REF!</definedName>
    <definedName name="露預合">#REF!</definedName>
    <definedName name="露預淨額">#REF!</definedName>
    <definedName name="露預利益">#REF!</definedName>
    <definedName name="露預量">#REF!</definedName>
    <definedName name="羅">#REF!</definedName>
    <definedName name="羅惠">#REF!</definedName>
    <definedName name="绿茶">#N/A</definedName>
    <definedName name="綠茶成本">#REF!</definedName>
    <definedName name="綠茶額合">#REF!</definedName>
    <definedName name="綠茶量合">#REF!</definedName>
    <definedName name="綠經額">#REF!</definedName>
    <definedName name="綠經量">#REF!</definedName>
    <definedName name="綠軍額">#REF!</definedName>
    <definedName name="綠軍量">#REF!</definedName>
    <definedName name="綠市額">#REF!</definedName>
    <definedName name="綠市量">#REF!</definedName>
    <definedName name="綠團額">#REF!</definedName>
    <definedName name="綠團量">#REF!</definedName>
    <definedName name="綠學額">#REF!</definedName>
    <definedName name="綠學量">#REF!</definedName>
    <definedName name="没错">#REF!</definedName>
    <definedName name="媒体">#REF!</definedName>
    <definedName name="美食料包_10">#REF!</definedName>
    <definedName name="美食料包_11">#REF!</definedName>
    <definedName name="门户">#REF!</definedName>
    <definedName name="米果_140">#REF!</definedName>
    <definedName name="米果_200">#REF!</definedName>
    <definedName name="米果140_10">#REF!</definedName>
    <definedName name="米果140_11">#REF!</definedName>
    <definedName name="米果200_10">#REF!</definedName>
    <definedName name="米果200_11">#REF!</definedName>
    <definedName name="面体人工及费用分配表">#REF!</definedName>
    <definedName name="名">#REF!</definedName>
    <definedName name="模板" hidden="1">{"'毛利比较'!$A$4:$P$26"}</definedName>
    <definedName name="目" hidden="1">{"'毛利比较'!$A$4:$P$26"}</definedName>
    <definedName name="男">#REF!</definedName>
    <definedName name="南CAN對.1">#REF!</definedName>
    <definedName name="南京">#REF!</definedName>
    <definedName name="南冷對.1">#REF!</definedName>
    <definedName name="南宁">#REF!</definedName>
    <definedName name="南洋實合">#REF!</definedName>
    <definedName name="南洋預合">#REF!</definedName>
    <definedName name="宁波">#REF!</definedName>
    <definedName name="女一号guyhyjh">#REF!</definedName>
    <definedName name="噢噢噢噢">#REF!</definedName>
    <definedName name="哦哦哦">#REF!</definedName>
    <definedName name="排期">#REF!</definedName>
    <definedName name="潘1">#REF!</definedName>
    <definedName name="潘10">#REF!</definedName>
    <definedName name="潘11">#REF!</definedName>
    <definedName name="潘12">#REF!</definedName>
    <definedName name="潘2">#REF!</definedName>
    <definedName name="潘3">#REF!</definedName>
    <definedName name="潘4">#REF!</definedName>
    <definedName name="潘5">#REF!</definedName>
    <definedName name="潘6">#REF!</definedName>
    <definedName name="潘7">#REF!</definedName>
    <definedName name="潘8">#REF!</definedName>
    <definedName name="潘9">#REF!</definedName>
    <definedName name="潘成本">#REF!</definedName>
    <definedName name="潘價">#REF!</definedName>
    <definedName name="潘經.對">#REF!</definedName>
    <definedName name="潘經本">#REF!</definedName>
    <definedName name="潘經量">#REF!</definedName>
    <definedName name="潘軍.對">#REF!</definedName>
    <definedName name="潘軍本">#REF!</definedName>
    <definedName name="潘軍額">#REF!</definedName>
    <definedName name="潘軍量">#REF!</definedName>
    <definedName name="潘量">#REF!</definedName>
    <definedName name="潘娜額合">#REF!</definedName>
    <definedName name="潘巧額合">#REF!</definedName>
    <definedName name="潘巧克本">#REF!</definedName>
    <definedName name="潘巧克額">#REF!</definedName>
    <definedName name="潘巧克量">#REF!</definedName>
    <definedName name="潘巧量合">#REF!</definedName>
    <definedName name="潘實成本">#REF!</definedName>
    <definedName name="潘實費用">#REF!</definedName>
    <definedName name="潘實合">#REF!</definedName>
    <definedName name="潘實淨額">#REF!</definedName>
    <definedName name="潘實累">#REF!</definedName>
    <definedName name="潘實利益">#REF!</definedName>
    <definedName name="潘實量">#REF!</definedName>
    <definedName name="潘市.對">#REF!</definedName>
    <definedName name="潘市本">#REF!</definedName>
    <definedName name="潘市額">#REF!</definedName>
    <definedName name="潘市量">#REF!</definedName>
    <definedName name="潘團.對">#REF!</definedName>
    <definedName name="潘團本">#REF!</definedName>
    <definedName name="潘團額">#REF!</definedName>
    <definedName name="潘團量">#REF!</definedName>
    <definedName name="潘學.對">#REF!</definedName>
    <definedName name="潘學本">#REF!</definedName>
    <definedName name="潘學額">#REF!</definedName>
    <definedName name="潘學量">#REF!</definedName>
    <definedName name="潘佣金">#REF!</definedName>
    <definedName name="潘玉額合">#REF!</definedName>
    <definedName name="潘玉量合">#REF!</definedName>
    <definedName name="潘玉米本">#REF!</definedName>
    <definedName name="潘玉米額">#REF!</definedName>
    <definedName name="潘玉米量">#REF!</definedName>
    <definedName name="潘預成本">#REF!</definedName>
    <definedName name="潘預費用">#REF!</definedName>
    <definedName name="潘預合">#REF!</definedName>
    <definedName name="潘預淨額">#REF!</definedName>
    <definedName name="潘預利益">#REF!</definedName>
    <definedName name="潘預量">#REF!</definedName>
    <definedName name="潘折讓">#REF!</definedName>
    <definedName name="品保">#REF!</definedName>
    <definedName name="品保3">#REF!</definedName>
    <definedName name="品名">#REF!</definedName>
    <definedName name="品种_粉包_137">#REF!</definedName>
    <definedName name="品种_粉包_87">#REF!</definedName>
    <definedName name="品种_酱包_106">#REF!</definedName>
    <definedName name="品种_酱包_120">#REF!</definedName>
    <definedName name="品种_酱包_137">#REF!</definedName>
    <definedName name="品种_正大">#REF!</definedName>
    <definedName name="品种毛利">#REF!</definedName>
    <definedName name="品种损益">#REF!</definedName>
    <definedName name="葡夏成本">#REF!</definedName>
    <definedName name="葡夏額">#REF!</definedName>
    <definedName name="葡夏額合">#REF!</definedName>
    <definedName name="葡夏量">#REF!</definedName>
    <definedName name="葡夏量合">#REF!</definedName>
    <definedName name="七夕预售" hidden="1">#REF!</definedName>
    <definedName name="凄凄切切">#REF!</definedName>
    <definedName name="其他">#REF!</definedName>
    <definedName name="巧1">#REF!</definedName>
    <definedName name="巧10">#REF!</definedName>
    <definedName name="巧11">#REF!</definedName>
    <definedName name="巧12">#REF!</definedName>
    <definedName name="巧2">#REF!</definedName>
    <definedName name="巧3">#REF!</definedName>
    <definedName name="巧4">#REF!</definedName>
    <definedName name="巧5">#REF!</definedName>
    <definedName name="巧6">#REF!</definedName>
    <definedName name="巧7">#REF!</definedName>
    <definedName name="巧8">#REF!</definedName>
    <definedName name="巧9">#REF!</definedName>
    <definedName name="巧對.1">#REF!</definedName>
    <definedName name="巧經額">#REF!</definedName>
    <definedName name="巧經量">#REF!</definedName>
    <definedName name="巧軍額">#REF!</definedName>
    <definedName name="巧軍量">#REF!</definedName>
    <definedName name="巧蜜實合">#REF!</definedName>
    <definedName name="巧蜜預合">#REF!</definedName>
    <definedName name="巧實成本">#REF!</definedName>
    <definedName name="巧實費用">#REF!</definedName>
    <definedName name="巧實合">#REF!</definedName>
    <definedName name="巧實淨額">#REF!</definedName>
    <definedName name="巧實累">#REF!</definedName>
    <definedName name="巧實利益">#REF!</definedName>
    <definedName name="巧實量">#REF!</definedName>
    <definedName name="巧市額">#REF!</definedName>
    <definedName name="巧市量">#REF!</definedName>
    <definedName name="巧團額">#REF!</definedName>
    <definedName name="巧團量">#REF!</definedName>
    <definedName name="巧學額">#REF!</definedName>
    <definedName name="巧學量">#REF!</definedName>
    <definedName name="巧預成本">#REF!</definedName>
    <definedName name="巧預費用">#REF!</definedName>
    <definedName name="巧預合">#REF!</definedName>
    <definedName name="巧預淨額">#REF!</definedName>
    <definedName name="巧預利益">#REF!</definedName>
    <definedName name="巧預量">#REF!</definedName>
    <definedName name="切片器_标签筛选">#N/A</definedName>
    <definedName name="切片器_标签筛选1">#N/A</definedName>
    <definedName name="切片器_列1">#N/A</definedName>
    <definedName name="切片器_日期">#N/A</definedName>
    <definedName name="切片器_日期1">#N/A</definedName>
    <definedName name="青岛" hidden="1">#REF!</definedName>
    <definedName name="区域">#REF!</definedName>
    <definedName name="区域结构试算" hidden="1">{"'毛利比较'!$A$4:$P$26"}</definedName>
    <definedName name="区域市场潜力分析" hidden="1">{"'毛利比较'!$A$4:$P$26"}</definedName>
    <definedName name="趨勢" hidden="1">#REF!</definedName>
    <definedName name="去年銷售資料">#REF!</definedName>
    <definedName name="全国">#REF!</definedName>
    <definedName name="软文">#REF!</definedName>
    <definedName name="软性" hidden="1">{"'毛利比较'!$A$4:$P$26"}</definedName>
    <definedName name="撒旦法" hidden="1">#REF!</definedName>
    <definedName name="厦门">#REF!</definedName>
    <definedName name="山东">#REF!</definedName>
    <definedName name="上海">#REF!</definedName>
    <definedName name="上海车展" hidden="1">{"'毛利比较'!$A$4:$P$26"}</definedName>
    <definedName name="上期" hidden="1">#REF!</definedName>
    <definedName name="上期2" hidden="1">#REF!</definedName>
    <definedName name="设备型号">#REF!</definedName>
    <definedName name="深圳">#REF!</definedName>
    <definedName name="深圳1">#REF!</definedName>
    <definedName name="沈阳">[0]!沈阳</definedName>
    <definedName name="瀋經額">#REF!</definedName>
    <definedName name="石家庄">#REF!</definedName>
    <definedName name="实际金额">#REF!</definedName>
    <definedName name="使用指南">#REF!</definedName>
    <definedName name="是" hidden="1">{"'毛利比较'!$A$4:$P$26"}</definedName>
    <definedName name="是否">#REF!</definedName>
    <definedName name="是否连锁">#REF!</definedName>
    <definedName name="收到伐asdfsd">#REF!</definedName>
    <definedName name="刷到过">#REF!</definedName>
    <definedName name="说明">#REF!</definedName>
    <definedName name="四大四大">#REF!</definedName>
    <definedName name="苏州">#REF!</definedName>
    <definedName name="酸額合">#REF!</definedName>
    <definedName name="酸經本">#REF!</definedName>
    <definedName name="酸經量">#REF!</definedName>
    <definedName name="酸軍本">#REF!</definedName>
    <definedName name="酸軍量">#REF!</definedName>
    <definedName name="酸山楂本">#REF!</definedName>
    <definedName name="酸山楂額">#REF!</definedName>
    <definedName name="酸山楂量">#REF!</definedName>
    <definedName name="酸市本">#REF!</definedName>
    <definedName name="酸市量">#REF!</definedName>
    <definedName name="酸團本">#REF!</definedName>
    <definedName name="酸團量">#REF!</definedName>
    <definedName name="酸學本">#REF!</definedName>
    <definedName name="酸學量">#REF!</definedName>
    <definedName name="酸原味本">#REF!</definedName>
    <definedName name="酸原味額">#REF!</definedName>
    <definedName name="酸原味量">#REF!</definedName>
    <definedName name="太原">#REF!</definedName>
    <definedName name="太原1">#REF!</definedName>
    <definedName name="太原2">#REF!</definedName>
    <definedName name="糖漿成本">#REF!</definedName>
    <definedName name="糖漿經額">#REF!</definedName>
    <definedName name="糖漿經量">#REF!</definedName>
    <definedName name="糖漿市額">#REF!</definedName>
    <definedName name="糖漿市量">#REF!</definedName>
    <definedName name="特供货品">#REF!</definedName>
    <definedName name="特殊形式">#REF!</definedName>
    <definedName name="_xlnm.Extract">#REF!</definedName>
    <definedName name="天津">#N/A</definedName>
    <definedName name="田23">#REF!</definedName>
    <definedName name="田24">#N/A</definedName>
    <definedName name="甜1">#REF!</definedName>
    <definedName name="甜10">#REF!</definedName>
    <definedName name="甜11">#REF!</definedName>
    <definedName name="甜12">#REF!</definedName>
    <definedName name="甜2">#REF!</definedName>
    <definedName name="甜3">#REF!</definedName>
    <definedName name="甜4">#REF!</definedName>
    <definedName name="甜5">#REF!</definedName>
    <definedName name="甜6">#REF!</definedName>
    <definedName name="甜7">#REF!</definedName>
    <definedName name="甜8">#REF!</definedName>
    <definedName name="甜9">#REF!</definedName>
    <definedName name="甜對.1">#REF!</definedName>
    <definedName name="甜鳳成本">#REF!</definedName>
    <definedName name="甜鳳梨額">#REF!</definedName>
    <definedName name="甜鳳梨量">#REF!</definedName>
    <definedName name="甜經成本">#REF!</definedName>
    <definedName name="甜經額">#REF!</definedName>
    <definedName name="甜經量">#REF!</definedName>
    <definedName name="甜橘成本">#REF!</definedName>
    <definedName name="甜橘子額">#REF!</definedName>
    <definedName name="甜橘子量">#REF!</definedName>
    <definedName name="甜軍成本">#REF!</definedName>
    <definedName name="甜軍額">#REF!</definedName>
    <definedName name="甜軍量">#REF!</definedName>
    <definedName name="甜奇成本">#REF!</definedName>
    <definedName name="甜奇異額">#REF!</definedName>
    <definedName name="甜奇異量">#REF!</definedName>
    <definedName name="甜實成本">#N/A</definedName>
    <definedName name="甜實費用">#N/A</definedName>
    <definedName name="甜實合">#REF!</definedName>
    <definedName name="甜實淨額">#N/A</definedName>
    <definedName name="甜實累">#REF!</definedName>
    <definedName name="甜實利益">#N/A</definedName>
    <definedName name="甜實量">#N/A</definedName>
    <definedName name="甜市成本">#REF!</definedName>
    <definedName name="甜市額">#REF!</definedName>
    <definedName name="甜市量">#REF!</definedName>
    <definedName name="甜團成本">#REF!</definedName>
    <definedName name="甜團額">#REF!</definedName>
    <definedName name="甜團量">#REF!</definedName>
    <definedName name="甜心額合">#REF!</definedName>
    <definedName name="甜心量合">#REF!</definedName>
    <definedName name="甜心實合">#REF!</definedName>
    <definedName name="甜心預合">#REF!</definedName>
    <definedName name="甜學成本">#REF!</definedName>
    <definedName name="甜學額">#REF!</definedName>
    <definedName name="甜學量">#REF!</definedName>
    <definedName name="甜預成本">#N/A</definedName>
    <definedName name="甜預費用">#N/A</definedName>
    <definedName name="甜預合">#REF!</definedName>
    <definedName name="甜預淨額">#N/A</definedName>
    <definedName name="甜預利益">#N/A</definedName>
    <definedName name="甜預量">#N/A</definedName>
    <definedName name="贴片">#REF!</definedName>
    <definedName name="听">#N/A</definedName>
    <definedName name="通信科技">#REF!</definedName>
    <definedName name="土">#REF!</definedName>
    <definedName name="土土">#REF!</definedName>
    <definedName name="推广计划">#REF!</definedName>
    <definedName name="推荐活动">#REF!</definedName>
    <definedName name="外袋370_10">#REF!</definedName>
    <definedName name="外袋370_11">#REF!</definedName>
    <definedName name="外膜_290">#REF!</definedName>
    <definedName name="外膜290_10">#REF!</definedName>
    <definedName name="外膜290_11">#REF!</definedName>
    <definedName name="碗成本">#REF!</definedName>
    <definedName name="碗額合">#REF!</definedName>
    <definedName name="碗盖_145">#REF!</definedName>
    <definedName name="碗盖145_10">#REF!</definedName>
    <definedName name="碗盖145_11">#REF!</definedName>
    <definedName name="碗盖170">#REF!</definedName>
    <definedName name="碗盖170_10">#REF!</definedName>
    <definedName name="碗盖170_11">#REF!</definedName>
    <definedName name="碗價">#REF!</definedName>
    <definedName name="碗經額">#REF!</definedName>
    <definedName name="碗經量">#REF!</definedName>
    <definedName name="碗軍額">#REF!</definedName>
    <definedName name="碗軍量">#REF!</definedName>
    <definedName name="碗量">#REF!</definedName>
    <definedName name="碗實成本">#REF!</definedName>
    <definedName name="碗實費用">#REF!</definedName>
    <definedName name="碗實合">#REF!</definedName>
    <definedName name="碗實淨額">#REF!</definedName>
    <definedName name="碗實利益">#REF!</definedName>
    <definedName name="碗實量">#REF!</definedName>
    <definedName name="碗市額">#REF!</definedName>
    <definedName name="碗市量">#REF!</definedName>
    <definedName name="碗團本">#REF!</definedName>
    <definedName name="碗團額">#REF!</definedName>
    <definedName name="碗團量">#REF!</definedName>
    <definedName name="碗學本">#REF!</definedName>
    <definedName name="碗學額">#REF!</definedName>
    <definedName name="碗學量">#REF!</definedName>
    <definedName name="碗預成本">#REF!</definedName>
    <definedName name="碗預費用">#REF!</definedName>
    <definedName name="碗預合">#REF!</definedName>
    <definedName name="碗預淨額">#REF!</definedName>
    <definedName name="碗預利益">#REF!</definedName>
    <definedName name="碗預量">#REF!</definedName>
    <definedName name="网络4">#REF!</definedName>
    <definedName name="微博奖励资源2" hidden="1">#REF!</definedName>
    <definedName name="为">#REF!</definedName>
    <definedName name="温州">#REF!</definedName>
    <definedName name="我">#REF!</definedName>
    <definedName name="我国">#REF!</definedName>
    <definedName name="我们">#REF!</definedName>
    <definedName name="乌鲁木齐">#REF!</definedName>
    <definedName name="无锡">#REF!</definedName>
    <definedName name="武汉">#REF!</definedName>
    <definedName name="西安">#REF!</definedName>
    <definedName name="西安1" hidden="1">#REF!</definedName>
    <definedName name="西安2" hidden="1">#REF!</definedName>
    <definedName name="西米成本">#REF!</definedName>
    <definedName name="西米露價">#REF!</definedName>
    <definedName name="西米露量">#REF!</definedName>
    <definedName name="夏1">#REF!</definedName>
    <definedName name="夏10">#REF!</definedName>
    <definedName name="夏11">#REF!</definedName>
    <definedName name="夏12">#REF!</definedName>
    <definedName name="夏2">#REF!</definedName>
    <definedName name="夏3">#REF!</definedName>
    <definedName name="夏4">#REF!</definedName>
    <definedName name="夏5">#REF!</definedName>
    <definedName name="夏6">#REF!</definedName>
    <definedName name="夏7">#REF!</definedName>
    <definedName name="夏8">#REF!</definedName>
    <definedName name="夏9">#REF!</definedName>
    <definedName name="夏對.1">#REF!</definedName>
    <definedName name="夏經量">#REF!</definedName>
    <definedName name="夏軍額">#REF!</definedName>
    <definedName name="夏軍量">#REF!</definedName>
    <definedName name="夏實成本">#REF!</definedName>
    <definedName name="夏實費用">#REF!</definedName>
    <definedName name="夏實合">#REF!</definedName>
    <definedName name="夏實淨額">#REF!</definedName>
    <definedName name="夏實累">#REF!</definedName>
    <definedName name="夏實利益">#REF!</definedName>
    <definedName name="夏實量">#REF!</definedName>
    <definedName name="夏市量">#REF!</definedName>
    <definedName name="夏團量">#REF!</definedName>
    <definedName name="夏娃成本">#REF!</definedName>
    <definedName name="夏娃價">#REF!</definedName>
    <definedName name="夏娃量">#REF!</definedName>
    <definedName name="夏娃實合">#REF!</definedName>
    <definedName name="夏娃預合">#REF!</definedName>
    <definedName name="夏學量">#REF!</definedName>
    <definedName name="夏預成本">#REF!</definedName>
    <definedName name="夏預費用">#REF!</definedName>
    <definedName name="夏預合">#REF!</definedName>
    <definedName name="夏預淨額">#REF!</definedName>
    <definedName name="夏預利益">#REF!</definedName>
    <definedName name="夏預量">#REF!</definedName>
    <definedName name="纖1">#REF!</definedName>
    <definedName name="纖10">#REF!</definedName>
    <definedName name="纖11">#REF!</definedName>
    <definedName name="纖12">#REF!</definedName>
    <definedName name="纖2">#REF!</definedName>
    <definedName name="纖3">#REF!</definedName>
    <definedName name="纖4">#REF!</definedName>
    <definedName name="纖5">#REF!</definedName>
    <definedName name="纖6">#REF!</definedName>
    <definedName name="纖7">#REF!</definedName>
    <definedName name="纖8">#REF!</definedName>
    <definedName name="纖9">#REF!</definedName>
    <definedName name="纖百成本">#REF!</definedName>
    <definedName name="纖百額">#REF!</definedName>
    <definedName name="纖百量">#REF!</definedName>
    <definedName name="纖百香額">#REF!</definedName>
    <definedName name="纖百香量">#REF!</definedName>
    <definedName name="纖額合">#REF!</definedName>
    <definedName name="纖經.對">#REF!</definedName>
    <definedName name="纖經成本">#REF!</definedName>
    <definedName name="纖經額">#REF!</definedName>
    <definedName name="纖經量">#REF!</definedName>
    <definedName name="纖軍.對">#REF!</definedName>
    <definedName name="纖軍成本">#REF!</definedName>
    <definedName name="纖軍額">#REF!</definedName>
    <definedName name="纖軍量">#REF!</definedName>
    <definedName name="纖荔成本">#REF!</definedName>
    <definedName name="纖荔額">#REF!</definedName>
    <definedName name="纖荔量">#REF!</definedName>
    <definedName name="纖荔枝額">#REF!</definedName>
    <definedName name="纖荔枝量">#REF!</definedName>
    <definedName name="纖量合">#REF!</definedName>
    <definedName name="纖檸成本">#REF!</definedName>
    <definedName name="纖檸額">#REF!</definedName>
    <definedName name="纖檸量">#REF!</definedName>
    <definedName name="纖檸檬額">#REF!</definedName>
    <definedName name="纖檸檬量">#REF!</definedName>
    <definedName name="纖實合">#REF!</definedName>
    <definedName name="纖實累">#REF!</definedName>
    <definedName name="纖市.對">#REF!</definedName>
    <definedName name="纖市成本">#REF!</definedName>
    <definedName name="纖市額">#REF!</definedName>
    <definedName name="纖市量">#REF!</definedName>
    <definedName name="纖團.對">#REF!</definedName>
    <definedName name="纖團成本">#REF!</definedName>
    <definedName name="纖團額">#REF!</definedName>
    <definedName name="纖團量">#REF!</definedName>
    <definedName name="纖學.對">#REF!</definedName>
    <definedName name="纖學成本">#REF!</definedName>
    <definedName name="纖學額">#REF!</definedName>
    <definedName name="纖學量">#REF!</definedName>
    <definedName name="纖預合">#REF!</definedName>
    <definedName name="现金流量10">#REF!</definedName>
    <definedName name="现我">#REF!</definedName>
    <definedName name="线路">#REF!</definedName>
    <definedName name="销售达成">#REF!</definedName>
    <definedName name="销售达成3">#REF!</definedName>
    <definedName name="销售费用预算">#REF!</definedName>
    <definedName name="銷額">#REF!</definedName>
    <definedName name="小干脆成本计算表">#REF!</definedName>
    <definedName name="小三">#REF!</definedName>
    <definedName name="新">#REF!</definedName>
    <definedName name="新1">#REF!</definedName>
    <definedName name="新3">#REF!</definedName>
    <definedName name="新表">#REF!</definedName>
    <definedName name="新表格" hidden="1">#REF!</definedName>
    <definedName name="新节奏">#REF!</definedName>
    <definedName name="行业分类">#REF!</definedName>
    <definedName name="需要或不需要">#REF!</definedName>
    <definedName name="亞當成本">#REF!</definedName>
    <definedName name="亞當價">#REF!</definedName>
    <definedName name="亞當量">#REF!</definedName>
    <definedName name="亞經額">#REF!</definedName>
    <definedName name="亞經量">#REF!</definedName>
    <definedName name="亞軍額">#REF!</definedName>
    <definedName name="亞軍量">#REF!</definedName>
    <definedName name="亞實成本">#REF!</definedName>
    <definedName name="亞實費用">#REF!</definedName>
    <definedName name="亞實淨額">#REF!</definedName>
    <definedName name="亞實利益">#REF!</definedName>
    <definedName name="亞實量">#REF!</definedName>
    <definedName name="亞市額">#REF!</definedName>
    <definedName name="亞市量">#REF!</definedName>
    <definedName name="亞團成本">#REF!</definedName>
    <definedName name="亞團額">#REF!</definedName>
    <definedName name="亞團量">#REF!</definedName>
    <definedName name="亞學額">#REF!</definedName>
    <definedName name="亞學量">#REF!</definedName>
    <definedName name="亞預成本">#REF!</definedName>
    <definedName name="亞預費用">#REF!</definedName>
    <definedName name="亞預淨額">#REF!</definedName>
    <definedName name="亞預利益">#REF!</definedName>
    <definedName name="亞預量">#REF!</definedName>
    <definedName name="椰對.1">#REF!</definedName>
    <definedName name="椰實成本">#REF!</definedName>
    <definedName name="椰實費用">#REF!</definedName>
    <definedName name="椰實淨額">#REF!</definedName>
    <definedName name="椰實利益">#REF!</definedName>
    <definedName name="椰實量">#REF!</definedName>
    <definedName name="椰纖實合">#REF!</definedName>
    <definedName name="椰纖預合">#REF!</definedName>
    <definedName name="椰預成本">#REF!</definedName>
    <definedName name="椰預費用">#REF!</definedName>
    <definedName name="椰預淨額">#REF!</definedName>
    <definedName name="椰預利益">#REF!</definedName>
    <definedName name="椰預量">#REF!</definedName>
    <definedName name="一">#REF!</definedName>
    <definedName name="银联">#REF!</definedName>
    <definedName name="影院">#REF!</definedName>
    <definedName name="影院2">#REF!</definedName>
    <definedName name="影院show">#REF!</definedName>
    <definedName name="影院资料">#REF!</definedName>
    <definedName name="硬广">#REF!</definedName>
    <definedName name="優額合">#REF!</definedName>
    <definedName name="優格成本">#REF!</definedName>
    <definedName name="優格價">#REF!</definedName>
    <definedName name="優格量">#REF!</definedName>
    <definedName name="優格折讓">#REF!</definedName>
    <definedName name="優經.對">#REF!</definedName>
    <definedName name="優經成本">#REF!</definedName>
    <definedName name="優經額">#REF!</definedName>
    <definedName name="優經量">#REF!</definedName>
    <definedName name="優軍.對">#REF!</definedName>
    <definedName name="優軍成本">#REF!</definedName>
    <definedName name="優軍額">#REF!</definedName>
    <definedName name="優軍量">#REF!</definedName>
    <definedName name="優酪成本">#REF!</definedName>
    <definedName name="優酪乳價">#REF!</definedName>
    <definedName name="優酪乳量">#REF!</definedName>
    <definedName name="優酪折讓">#REF!</definedName>
    <definedName name="優量合">#REF!</definedName>
    <definedName name="優實成本">#REF!</definedName>
    <definedName name="優實費用">#REF!</definedName>
    <definedName name="優實合">#REF!</definedName>
    <definedName name="優實淨額">#REF!</definedName>
    <definedName name="優實利益">#REF!</definedName>
    <definedName name="優實量">#REF!</definedName>
    <definedName name="優市.對">#REF!</definedName>
    <definedName name="優市成本">#REF!</definedName>
    <definedName name="優市額">#REF!</definedName>
    <definedName name="優市量">#REF!</definedName>
    <definedName name="優團.對">#REF!</definedName>
    <definedName name="優團成本">#REF!</definedName>
    <definedName name="優團額">#REF!</definedName>
    <definedName name="優團量">#REF!</definedName>
    <definedName name="優學.對">#REF!</definedName>
    <definedName name="優學成本">#REF!</definedName>
    <definedName name="優學額">#REF!</definedName>
    <definedName name="優學量">#REF!</definedName>
    <definedName name="優預成本">#REF!</definedName>
    <definedName name="優預費用">#REF!</definedName>
    <definedName name="優預淨額">#REF!</definedName>
    <definedName name="優預利益">#REF!</definedName>
    <definedName name="優預量">#REF!</definedName>
    <definedName name="有道">#REF!</definedName>
    <definedName name="与去年分析3">#REF!</definedName>
    <definedName name="与预算分析1">#REF!</definedName>
    <definedName name="玉">#REF!</definedName>
    <definedName name="预售" hidden="1">#REF!</definedName>
    <definedName name="预提费用">#REF!</definedName>
    <definedName name="預算目標金額">#REF!</definedName>
    <definedName name="預算目標數量">#REF!</definedName>
    <definedName name="原材料">#REF!</definedName>
    <definedName name="原料JLC">#REF!</definedName>
    <definedName name="赞那度Yhouse">#REF!</definedName>
    <definedName name="长春">#REF!</definedName>
    <definedName name="长沙">#REF!</definedName>
    <definedName name="这些">#REF!</definedName>
    <definedName name="阵地类别">#REF!</definedName>
    <definedName name="郑州">#REF!</definedName>
    <definedName name="指标">#REF!</definedName>
    <definedName name="指標">#REF!</definedName>
    <definedName name="中国新闻周刊">#REF!</definedName>
    <definedName name="中央台">#REF!</definedName>
    <definedName name="中央五套">#REF!</definedName>
    <definedName name="重覆">#REF!</definedName>
    <definedName name="重庆" hidden="1">{"'毛利比较'!$A$4:$P$26"}</definedName>
    <definedName name="周报">#REF!</definedName>
    <definedName name="主计划">#REF!</definedName>
    <definedName name="主计划明细表">#REF!</definedName>
    <definedName name="资产负债表">#REF!</definedName>
    <definedName name="资产明细">#REF!</definedName>
    <definedName name="资负债表">#REF!</definedName>
    <definedName name="资源">#REF!</definedName>
    <definedName name="綜夏成本">#REF!</definedName>
    <definedName name="綜夏額">#REF!</definedName>
    <definedName name="綜夏額合">#REF!</definedName>
    <definedName name="綜夏量">#REF!</definedName>
    <definedName name="綜夏量合">#REF!</definedName>
    <definedName name="总表">#REF!</definedName>
    <definedName name="总表10">#REF!</definedName>
    <definedName name="总表11">#REF!</definedName>
    <definedName name="钻展1111">#REF!</definedName>
    <definedName name="钻展资源位1">#REF!</definedName>
    <definedName name="座位数">#REF!</definedName>
    <definedName name="상품" hidden="1">#REF!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원1" hidden="1">#REF!</definedName>
    <definedName name="원2" hidden="1">#REF!</definedName>
    <definedName name="원3" hidden="1">#REF!</definedName>
    <definedName name="원가1" hidden="1">#REF!</definedName>
    <definedName name="전">#REF!</definedName>
    <definedName name="주택사업본부">#REF!</definedName>
    <definedName name="철구사업본부">#REF!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2" l="1"/>
  <c r="AP71" i="22"/>
  <c r="AP70" i="22"/>
  <c r="AS69" i="22"/>
  <c r="AP69" i="22"/>
  <c r="AH79" i="22"/>
  <c r="AB15" i="22"/>
  <c r="H15" i="22"/>
  <c r="I27" i="3"/>
  <c r="J26" i="3"/>
  <c r="I26" i="3"/>
  <c r="AB24" i="24"/>
  <c r="AA24" i="24"/>
  <c r="AB18" i="24"/>
  <c r="Y18" i="24"/>
  <c r="Z18" i="24" s="1"/>
  <c r="X18" i="24"/>
  <c r="T18" i="24"/>
  <c r="S18" i="24"/>
  <c r="Q18" i="24"/>
  <c r="U18" i="24" s="1"/>
  <c r="V18" i="24" s="1"/>
  <c r="P18" i="24"/>
  <c r="O18" i="24"/>
  <c r="M18" i="24"/>
  <c r="K18" i="24"/>
  <c r="L18" i="24" s="1"/>
  <c r="J18" i="24"/>
  <c r="I18" i="24"/>
  <c r="H18" i="24"/>
  <c r="AA18" i="24" s="1"/>
  <c r="AC17" i="24"/>
  <c r="AD17" i="24" s="1"/>
  <c r="AB17" i="24"/>
  <c r="AA17" i="24"/>
  <c r="Z17" i="24"/>
  <c r="U17" i="24"/>
  <c r="V17" i="24" s="1"/>
  <c r="T17" i="24"/>
  <c r="S17" i="24"/>
  <c r="R17" i="24"/>
  <c r="O17" i="24"/>
  <c r="N17" i="24"/>
  <c r="L17" i="24"/>
  <c r="H17" i="24"/>
  <c r="AC16" i="24"/>
  <c r="AD16" i="24" s="1"/>
  <c r="AB16" i="24"/>
  <c r="AA16" i="24"/>
  <c r="Z16" i="24"/>
  <c r="U16" i="24"/>
  <c r="V16" i="24" s="1"/>
  <c r="R16" i="24"/>
  <c r="O16" i="24"/>
  <c r="N16" i="24"/>
  <c r="H16" i="24"/>
  <c r="L16" i="24" s="1"/>
  <c r="S16" i="24" l="1"/>
  <c r="N18" i="24"/>
  <c r="T16" i="24"/>
  <c r="R18" i="24"/>
  <c r="AC18" i="24"/>
  <c r="AE18" i="24" l="1"/>
  <c r="AD18" i="24"/>
  <c r="AB83" i="23" l="1"/>
  <c r="V83" i="23"/>
  <c r="Z83" i="23" s="1"/>
  <c r="AA83" i="23" s="1"/>
  <c r="U83" i="23"/>
  <c r="R83" i="23"/>
  <c r="S83" i="23" s="1"/>
  <c r="N83" i="23"/>
  <c r="O83" i="23" s="1"/>
  <c r="M83" i="23"/>
  <c r="J83" i="23"/>
  <c r="L83" i="23" s="1"/>
  <c r="H83" i="23"/>
  <c r="G83" i="23"/>
  <c r="F83" i="23"/>
  <c r="E83" i="23"/>
  <c r="Q83" i="23" s="1"/>
  <c r="Z82" i="23"/>
  <c r="AA82" i="23" s="1"/>
  <c r="Y82" i="23"/>
  <c r="W82" i="23"/>
  <c r="R82" i="23"/>
  <c r="S82" i="23" s="1"/>
  <c r="Q82" i="23"/>
  <c r="P82" i="23"/>
  <c r="O82" i="23"/>
  <c r="L82" i="23"/>
  <c r="K82" i="23"/>
  <c r="I82" i="23"/>
  <c r="E82" i="23"/>
  <c r="X82" i="23" s="1"/>
  <c r="Z76" i="23"/>
  <c r="AA76" i="23" s="1"/>
  <c r="W76" i="23"/>
  <c r="R76" i="23"/>
  <c r="O76" i="23"/>
  <c r="L76" i="23"/>
  <c r="K76" i="23"/>
  <c r="G76" i="23"/>
  <c r="F76" i="23"/>
  <c r="AB75" i="23"/>
  <c r="Z75" i="23"/>
  <c r="AA75" i="23" s="1"/>
  <c r="V75" i="23"/>
  <c r="W75" i="23" s="1"/>
  <c r="U75" i="23"/>
  <c r="R75" i="23"/>
  <c r="S75" i="23" s="1"/>
  <c r="O75" i="23"/>
  <c r="N75" i="23"/>
  <c r="M75" i="23"/>
  <c r="L75" i="23" s="1"/>
  <c r="J75" i="23"/>
  <c r="K75" i="23" s="1"/>
  <c r="H75" i="23"/>
  <c r="G75" i="23"/>
  <c r="E75" i="23" s="1"/>
  <c r="F75" i="23"/>
  <c r="E76" i="23" s="1"/>
  <c r="Z74" i="23"/>
  <c r="AA74" i="23" s="1"/>
  <c r="W74" i="23"/>
  <c r="R74" i="23"/>
  <c r="O74" i="23"/>
  <c r="L74" i="23"/>
  <c r="K74" i="23"/>
  <c r="E74" i="23"/>
  <c r="Q74" i="23" s="1"/>
  <c r="Z73" i="23"/>
  <c r="AA73" i="23" s="1"/>
  <c r="W73" i="23"/>
  <c r="R73" i="23"/>
  <c r="S73" i="23" s="1"/>
  <c r="Q73" i="23"/>
  <c r="O73" i="23"/>
  <c r="L73" i="23"/>
  <c r="K73" i="23"/>
  <c r="E73" i="23"/>
  <c r="P73" i="23" s="1"/>
  <c r="Z66" i="23"/>
  <c r="AA66" i="23" s="1"/>
  <c r="W66" i="23"/>
  <c r="R66" i="23"/>
  <c r="S66" i="23" s="1"/>
  <c r="P66" i="23"/>
  <c r="O66" i="23"/>
  <c r="L66" i="23"/>
  <c r="K66" i="23"/>
  <c r="G66" i="23"/>
  <c r="F66" i="23"/>
  <c r="E66" i="23"/>
  <c r="Y66" i="23" s="1"/>
  <c r="AB65" i="23"/>
  <c r="V65" i="23"/>
  <c r="Z65" i="23" s="1"/>
  <c r="AA65" i="23" s="1"/>
  <c r="U65" i="23"/>
  <c r="R65" i="23"/>
  <c r="S65" i="23" s="1"/>
  <c r="N65" i="23"/>
  <c r="O65" i="23" s="1"/>
  <c r="M65" i="23"/>
  <c r="J65" i="23"/>
  <c r="L65" i="23" s="1"/>
  <c r="H65" i="23"/>
  <c r="G65" i="23"/>
  <c r="F65" i="23"/>
  <c r="E65" i="23"/>
  <c r="Q65" i="23" s="1"/>
  <c r="Z64" i="23"/>
  <c r="AA64" i="23" s="1"/>
  <c r="Y64" i="23"/>
  <c r="X64" i="23"/>
  <c r="W64" i="23"/>
  <c r="R64" i="23"/>
  <c r="S64" i="23" s="1"/>
  <c r="Q64" i="23"/>
  <c r="P64" i="23"/>
  <c r="O64" i="23"/>
  <c r="L64" i="23"/>
  <c r="K64" i="23"/>
  <c r="I64" i="23"/>
  <c r="E64" i="23"/>
  <c r="Z63" i="23"/>
  <c r="AA63" i="23" s="1"/>
  <c r="Y63" i="23"/>
  <c r="X63" i="23"/>
  <c r="W63" i="23"/>
  <c r="R63" i="23"/>
  <c r="S63" i="23" s="1"/>
  <c r="P63" i="23"/>
  <c r="O63" i="23"/>
  <c r="L63" i="23"/>
  <c r="K63" i="23"/>
  <c r="I63" i="23"/>
  <c r="E63" i="23"/>
  <c r="Q63" i="23" s="1"/>
  <c r="G56" i="23"/>
  <c r="F56" i="23"/>
  <c r="E55" i="23"/>
  <c r="R54" i="23"/>
  <c r="S54" i="23" s="1"/>
  <c r="Q54" i="23"/>
  <c r="O54" i="23"/>
  <c r="L54" i="23"/>
  <c r="K54" i="23"/>
  <c r="E54" i="23"/>
  <c r="P54" i="23" s="1"/>
  <c r="G45" i="23"/>
  <c r="F45" i="23"/>
  <c r="E44" i="23"/>
  <c r="E45" i="23" s="1"/>
  <c r="R43" i="23"/>
  <c r="S43" i="23" s="1"/>
  <c r="Q43" i="23"/>
  <c r="P43" i="23"/>
  <c r="O43" i="23"/>
  <c r="L43" i="23"/>
  <c r="K43" i="23"/>
  <c r="I43" i="23"/>
  <c r="E43" i="23"/>
  <c r="G35" i="23"/>
  <c r="F35" i="23"/>
  <c r="E34" i="23"/>
  <c r="R33" i="23"/>
  <c r="O33" i="23"/>
  <c r="L33" i="23"/>
  <c r="K33" i="23"/>
  <c r="E33" i="23"/>
  <c r="Q33" i="23" s="1"/>
  <c r="G25" i="23"/>
  <c r="F25" i="23"/>
  <c r="E24" i="23"/>
  <c r="R23" i="23"/>
  <c r="S23" i="23" s="1"/>
  <c r="Q23" i="23"/>
  <c r="P23" i="23"/>
  <c r="O23" i="23"/>
  <c r="L23" i="23"/>
  <c r="K23" i="23"/>
  <c r="E23" i="23"/>
  <c r="I23" i="23" s="1"/>
  <c r="AC16" i="23"/>
  <c r="AD16" i="23" s="1"/>
  <c r="AB16" i="23"/>
  <c r="Y16" i="23"/>
  <c r="Z16" i="23" s="1"/>
  <c r="X16" i="23"/>
  <c r="U16" i="23"/>
  <c r="V16" i="23" s="1"/>
  <c r="T16" i="23"/>
  <c r="S16" i="23"/>
  <c r="Q16" i="23"/>
  <c r="R16" i="23" s="1"/>
  <c r="P16" i="23"/>
  <c r="M16" i="23"/>
  <c r="O16" i="23" s="1"/>
  <c r="K16" i="23"/>
  <c r="L16" i="23" s="1"/>
  <c r="J16" i="23"/>
  <c r="I16" i="23"/>
  <c r="H16" i="23"/>
  <c r="AA16" i="23" s="1"/>
  <c r="AC15" i="23"/>
  <c r="AD15" i="23" s="1"/>
  <c r="AB15" i="23"/>
  <c r="AA15" i="23"/>
  <c r="Z15" i="23"/>
  <c r="U15" i="23"/>
  <c r="V15" i="23" s="1"/>
  <c r="T15" i="23"/>
  <c r="S15" i="23"/>
  <c r="R15" i="23"/>
  <c r="O15" i="23"/>
  <c r="N15" i="23"/>
  <c r="L15" i="23"/>
  <c r="H15" i="23"/>
  <c r="X76" i="23" l="1"/>
  <c r="Q76" i="23"/>
  <c r="P76" i="23"/>
  <c r="Y76" i="23"/>
  <c r="I76" i="23"/>
  <c r="Y75" i="23"/>
  <c r="P75" i="23"/>
  <c r="Q75" i="23"/>
  <c r="I75" i="23"/>
  <c r="X75" i="23"/>
  <c r="S76" i="23"/>
  <c r="S33" i="23"/>
  <c r="S74" i="23"/>
  <c r="I33" i="23"/>
  <c r="K65" i="23"/>
  <c r="I74" i="23"/>
  <c r="E35" i="23"/>
  <c r="Q66" i="23"/>
  <c r="X74" i="23"/>
  <c r="N16" i="23"/>
  <c r="I54" i="23"/>
  <c r="I73" i="23"/>
  <c r="Y74" i="23"/>
  <c r="W65" i="23"/>
  <c r="X73" i="23"/>
  <c r="E25" i="23"/>
  <c r="P33" i="23"/>
  <c r="X65" i="23"/>
  <c r="I66" i="23"/>
  <c r="Y73" i="23"/>
  <c r="P74" i="23"/>
  <c r="X83" i="23"/>
  <c r="P83" i="23"/>
  <c r="Y83" i="23"/>
  <c r="K83" i="23"/>
  <c r="E56" i="23"/>
  <c r="W83" i="23"/>
  <c r="P65" i="23"/>
  <c r="Y65" i="23"/>
  <c r="X66" i="23"/>
  <c r="I65" i="23"/>
  <c r="I83" i="23"/>
  <c r="O28" i="3" l="1"/>
  <c r="J28" i="3"/>
  <c r="I28" i="3"/>
  <c r="I25" i="3"/>
  <c r="AB179" i="21"/>
  <c r="V179" i="21"/>
  <c r="Z179" i="21" s="1"/>
  <c r="U179" i="21"/>
  <c r="N179" i="21"/>
  <c r="R179" i="21" s="1"/>
  <c r="S179" i="21" s="1"/>
  <c r="M179" i="21"/>
  <c r="L179" i="21" s="1"/>
  <c r="J179" i="21"/>
  <c r="K179" i="21" s="1"/>
  <c r="H179" i="21"/>
  <c r="G179" i="21"/>
  <c r="F179" i="21"/>
  <c r="E179" i="21" s="1"/>
  <c r="Z178" i="21"/>
  <c r="W178" i="21"/>
  <c r="R178" i="21"/>
  <c r="S178" i="21" s="1"/>
  <c r="O178" i="21"/>
  <c r="L178" i="21"/>
  <c r="K178" i="21"/>
  <c r="E178" i="21"/>
  <c r="AB170" i="21"/>
  <c r="V170" i="21"/>
  <c r="W170" i="21" s="1"/>
  <c r="U170" i="21"/>
  <c r="R170" i="21"/>
  <c r="S170" i="21" s="1"/>
  <c r="N170" i="21"/>
  <c r="M170" i="21"/>
  <c r="O170" i="21" s="1"/>
  <c r="K170" i="21"/>
  <c r="J170" i="21"/>
  <c r="L170" i="21" s="1"/>
  <c r="H170" i="21"/>
  <c r="G170" i="21"/>
  <c r="E170" i="21" s="1"/>
  <c r="F170" i="21"/>
  <c r="Z169" i="21"/>
  <c r="W169" i="21"/>
  <c r="R169" i="21"/>
  <c r="O169" i="21"/>
  <c r="L169" i="21"/>
  <c r="K169" i="21"/>
  <c r="E169" i="21"/>
  <c r="I169" i="21" s="1"/>
  <c r="AB161" i="21"/>
  <c r="Z161" i="21" s="1"/>
  <c r="W161" i="21"/>
  <c r="V161" i="21"/>
  <c r="U161" i="21"/>
  <c r="N161" i="21"/>
  <c r="R161" i="21" s="1"/>
  <c r="M161" i="21"/>
  <c r="J161" i="21"/>
  <c r="H161" i="21"/>
  <c r="G161" i="21"/>
  <c r="F161" i="21"/>
  <c r="Z160" i="21"/>
  <c r="X160" i="21"/>
  <c r="W160" i="21"/>
  <c r="R160" i="21"/>
  <c r="S160" i="21" s="1"/>
  <c r="O160" i="21"/>
  <c r="L160" i="21"/>
  <c r="K160" i="21"/>
  <c r="E160" i="21"/>
  <c r="Q160" i="21" s="1"/>
  <c r="AB152" i="21"/>
  <c r="V152" i="21"/>
  <c r="Z152" i="21" s="1"/>
  <c r="U152" i="21"/>
  <c r="N152" i="21"/>
  <c r="M152" i="21"/>
  <c r="L152" i="21" s="1"/>
  <c r="J152" i="21"/>
  <c r="K152" i="21" s="1"/>
  <c r="H152" i="21"/>
  <c r="G152" i="21"/>
  <c r="F152" i="21"/>
  <c r="E152" i="21" s="1"/>
  <c r="Z151" i="21"/>
  <c r="W151" i="21"/>
  <c r="R151" i="21"/>
  <c r="O151" i="21"/>
  <c r="L151" i="21"/>
  <c r="K151" i="21"/>
  <c r="E151" i="21"/>
  <c r="Y151" i="21" s="1"/>
  <c r="AB143" i="21"/>
  <c r="Z143" i="21" s="1"/>
  <c r="V143" i="21"/>
  <c r="U143" i="21"/>
  <c r="N143" i="21"/>
  <c r="R143" i="21" s="1"/>
  <c r="M143" i="21"/>
  <c r="J143" i="21"/>
  <c r="L143" i="21" s="1"/>
  <c r="H143" i="21"/>
  <c r="G143" i="21"/>
  <c r="F143" i="21"/>
  <c r="Z142" i="21"/>
  <c r="W142" i="21"/>
  <c r="R142" i="21"/>
  <c r="P142" i="21"/>
  <c r="O142" i="21"/>
  <c r="L142" i="21"/>
  <c r="K142" i="21"/>
  <c r="E142" i="21"/>
  <c r="W134" i="21"/>
  <c r="V134" i="21"/>
  <c r="Z134" i="21" s="1"/>
  <c r="U134" i="21"/>
  <c r="N134" i="21"/>
  <c r="R134" i="21" s="1"/>
  <c r="M134" i="21"/>
  <c r="J134" i="21"/>
  <c r="H134" i="21"/>
  <c r="G134" i="21"/>
  <c r="F134" i="21"/>
  <c r="Z133" i="21"/>
  <c r="W133" i="21"/>
  <c r="R133" i="21"/>
  <c r="O133" i="21"/>
  <c r="L133" i="21"/>
  <c r="K133" i="21"/>
  <c r="G133" i="21"/>
  <c r="F133" i="21"/>
  <c r="AA132" i="21"/>
  <c r="Z132" i="21"/>
  <c r="Y132" i="21"/>
  <c r="X132" i="21"/>
  <c r="W132" i="21"/>
  <c r="R132" i="21"/>
  <c r="S132" i="21" s="1"/>
  <c r="Q132" i="21"/>
  <c r="P132" i="21"/>
  <c r="O132" i="21"/>
  <c r="L132" i="21"/>
  <c r="K132" i="21"/>
  <c r="I132" i="21"/>
  <c r="R131" i="21"/>
  <c r="S131" i="21" s="1"/>
  <c r="Q131" i="21"/>
  <c r="P131" i="21"/>
  <c r="O131" i="21"/>
  <c r="L131" i="21"/>
  <c r="K131" i="21"/>
  <c r="I131" i="21"/>
  <c r="Z122" i="21"/>
  <c r="AA122" i="21" s="1"/>
  <c r="Y122" i="21"/>
  <c r="X122" i="21"/>
  <c r="W122" i="21"/>
  <c r="S122" i="21"/>
  <c r="R122" i="21"/>
  <c r="Q122" i="21"/>
  <c r="P122" i="21"/>
  <c r="O122" i="21"/>
  <c r="L122" i="21"/>
  <c r="K122" i="21"/>
  <c r="I122" i="21"/>
  <c r="Z113" i="21"/>
  <c r="W113" i="21"/>
  <c r="R113" i="21"/>
  <c r="O113" i="21"/>
  <c r="L113" i="21"/>
  <c r="K113" i="21"/>
  <c r="F113" i="21"/>
  <c r="E113" i="21" s="1"/>
  <c r="E104" i="21"/>
  <c r="W103" i="21"/>
  <c r="T103" i="21"/>
  <c r="AB103" i="21" s="1"/>
  <c r="Z103" i="21" s="1"/>
  <c r="R103" i="21"/>
  <c r="O103" i="21"/>
  <c r="L103" i="21"/>
  <c r="K103" i="21"/>
  <c r="V102" i="21"/>
  <c r="T102" i="21"/>
  <c r="AB102" i="21" s="1"/>
  <c r="N102" i="21"/>
  <c r="M102" i="21"/>
  <c r="K102" i="21"/>
  <c r="J102" i="21"/>
  <c r="H102" i="21"/>
  <c r="G102" i="21"/>
  <c r="G105" i="21" s="1"/>
  <c r="F102" i="21"/>
  <c r="F105" i="21" s="1"/>
  <c r="V101" i="21"/>
  <c r="U101" i="21"/>
  <c r="U102" i="21" s="1"/>
  <c r="R101" i="21"/>
  <c r="O101" i="21"/>
  <c r="L101" i="21"/>
  <c r="K101" i="21"/>
  <c r="E101" i="21"/>
  <c r="Z100" i="21"/>
  <c r="W100" i="21"/>
  <c r="R100" i="21"/>
  <c r="S100" i="21" s="1"/>
  <c r="Q100" i="21"/>
  <c r="O100" i="21"/>
  <c r="L100" i="21"/>
  <c r="K100" i="21"/>
  <c r="E100" i="21"/>
  <c r="Y100" i="21" s="1"/>
  <c r="F92" i="21"/>
  <c r="W90" i="21"/>
  <c r="T90" i="21"/>
  <c r="O90" i="21"/>
  <c r="L90" i="21"/>
  <c r="K90" i="21"/>
  <c r="V89" i="21"/>
  <c r="U89" i="21"/>
  <c r="T89" i="21"/>
  <c r="AB89" i="21" s="1"/>
  <c r="N89" i="21"/>
  <c r="R89" i="21" s="1"/>
  <c r="M89" i="21"/>
  <c r="J89" i="21"/>
  <c r="H89" i="21"/>
  <c r="G89" i="21"/>
  <c r="G90" i="21" s="1"/>
  <c r="F89" i="21"/>
  <c r="Z88" i="21"/>
  <c r="X88" i="21"/>
  <c r="W88" i="21"/>
  <c r="R88" i="21"/>
  <c r="S88" i="21" s="1"/>
  <c r="O88" i="21"/>
  <c r="L88" i="21"/>
  <c r="K88" i="21"/>
  <c r="E88" i="21"/>
  <c r="Q88" i="21" s="1"/>
  <c r="Z87" i="21"/>
  <c r="W87" i="21"/>
  <c r="R87" i="21"/>
  <c r="S87" i="21" s="1"/>
  <c r="O87" i="21"/>
  <c r="L87" i="21"/>
  <c r="K87" i="21"/>
  <c r="E87" i="21"/>
  <c r="Z86" i="21"/>
  <c r="AA86" i="21" s="1"/>
  <c r="Y86" i="21"/>
  <c r="W86" i="21"/>
  <c r="R86" i="21"/>
  <c r="O86" i="21"/>
  <c r="L86" i="21"/>
  <c r="K86" i="21"/>
  <c r="I86" i="21"/>
  <c r="E86" i="21"/>
  <c r="X86" i="21" s="1"/>
  <c r="F78" i="21"/>
  <c r="W76" i="21"/>
  <c r="T76" i="21"/>
  <c r="O76" i="21"/>
  <c r="L76" i="21"/>
  <c r="K76" i="21"/>
  <c r="G76" i="21"/>
  <c r="W75" i="21"/>
  <c r="V75" i="21"/>
  <c r="U75" i="21"/>
  <c r="T75" i="21"/>
  <c r="AB75" i="21" s="1"/>
  <c r="N75" i="21"/>
  <c r="R75" i="21" s="1"/>
  <c r="M75" i="21"/>
  <c r="J75" i="21"/>
  <c r="H75" i="21"/>
  <c r="K75" i="21" s="1"/>
  <c r="G75" i="21"/>
  <c r="F75" i="21"/>
  <c r="F76" i="21" s="1"/>
  <c r="Z74" i="21"/>
  <c r="W74" i="21"/>
  <c r="R74" i="21"/>
  <c r="S74" i="21" s="1"/>
  <c r="O74" i="21"/>
  <c r="L74" i="21"/>
  <c r="K74" i="21"/>
  <c r="E74" i="21"/>
  <c r="Z73" i="21"/>
  <c r="W73" i="21"/>
  <c r="R73" i="21"/>
  <c r="Q73" i="21"/>
  <c r="O73" i="21"/>
  <c r="L73" i="21"/>
  <c r="K73" i="21"/>
  <c r="E73" i="21"/>
  <c r="Y73" i="21" s="1"/>
  <c r="Z72" i="21"/>
  <c r="W72" i="21"/>
  <c r="R72" i="21"/>
  <c r="S72" i="21" s="1"/>
  <c r="Q72" i="21"/>
  <c r="P72" i="21"/>
  <c r="O72" i="21"/>
  <c r="L72" i="21"/>
  <c r="K72" i="21"/>
  <c r="E72" i="21"/>
  <c r="I72" i="21" s="1"/>
  <c r="T62" i="21"/>
  <c r="R62" i="21" s="1"/>
  <c r="O62" i="21"/>
  <c r="L62" i="21"/>
  <c r="K62" i="21"/>
  <c r="I62" i="21"/>
  <c r="V61" i="21"/>
  <c r="U61" i="21"/>
  <c r="T61" i="21"/>
  <c r="AB61" i="21" s="1"/>
  <c r="P61" i="21"/>
  <c r="N61" i="21"/>
  <c r="R61" i="21" s="1"/>
  <c r="S61" i="21" s="1"/>
  <c r="M61" i="21"/>
  <c r="J61" i="21"/>
  <c r="H61" i="21"/>
  <c r="G61" i="21"/>
  <c r="G64" i="21" s="1"/>
  <c r="F61" i="21"/>
  <c r="E61" i="21" s="1"/>
  <c r="E62" i="21" s="1"/>
  <c r="Z60" i="21"/>
  <c r="X60" i="21"/>
  <c r="W60" i="21"/>
  <c r="R60" i="21"/>
  <c r="O60" i="21"/>
  <c r="L60" i="21"/>
  <c r="K60" i="21"/>
  <c r="E60" i="21"/>
  <c r="Q60" i="21" s="1"/>
  <c r="Z59" i="21"/>
  <c r="W59" i="21"/>
  <c r="R59" i="21"/>
  <c r="O59" i="21"/>
  <c r="L59" i="21"/>
  <c r="K59" i="21"/>
  <c r="E59" i="21"/>
  <c r="Z58" i="21"/>
  <c r="AA58" i="21" s="1"/>
  <c r="Y58" i="21"/>
  <c r="W58" i="21"/>
  <c r="R58" i="21"/>
  <c r="O58" i="21"/>
  <c r="L58" i="21"/>
  <c r="K58" i="21"/>
  <c r="I58" i="21"/>
  <c r="E58" i="21"/>
  <c r="X58" i="21" s="1"/>
  <c r="T48" i="21"/>
  <c r="R48" i="21" s="1"/>
  <c r="O48" i="21"/>
  <c r="L48" i="21"/>
  <c r="K48" i="21"/>
  <c r="W47" i="21"/>
  <c r="V47" i="21"/>
  <c r="U47" i="21"/>
  <c r="T47" i="21"/>
  <c r="AB47" i="21" s="1"/>
  <c r="N47" i="21"/>
  <c r="R47" i="21" s="1"/>
  <c r="M47" i="21"/>
  <c r="J47" i="21"/>
  <c r="K47" i="21" s="1"/>
  <c r="H47" i="21"/>
  <c r="G47" i="21"/>
  <c r="G50" i="21" s="1"/>
  <c r="F47" i="21"/>
  <c r="F48" i="21" s="1"/>
  <c r="Z46" i="21"/>
  <c r="Y46" i="21"/>
  <c r="X46" i="21"/>
  <c r="W46" i="21"/>
  <c r="R46" i="21"/>
  <c r="O46" i="21"/>
  <c r="L46" i="21"/>
  <c r="K46" i="21"/>
  <c r="E46" i="21"/>
  <c r="Q46" i="21" s="1"/>
  <c r="Z45" i="21"/>
  <c r="W45" i="21"/>
  <c r="R45" i="21"/>
  <c r="S45" i="21" s="1"/>
  <c r="O45" i="21"/>
  <c r="L45" i="21"/>
  <c r="K45" i="21"/>
  <c r="E45" i="21"/>
  <c r="Z44" i="21"/>
  <c r="W44" i="21"/>
  <c r="R44" i="21"/>
  <c r="S44" i="21" s="1"/>
  <c r="Q44" i="21"/>
  <c r="O44" i="21"/>
  <c r="L44" i="21"/>
  <c r="K44" i="21"/>
  <c r="E44" i="21"/>
  <c r="Y44" i="21" s="1"/>
  <c r="V36" i="21"/>
  <c r="Z36" i="21" s="1"/>
  <c r="AA36" i="21" s="1"/>
  <c r="U36" i="21"/>
  <c r="R36" i="21"/>
  <c r="O36" i="21"/>
  <c r="N36" i="21"/>
  <c r="M36" i="21"/>
  <c r="J36" i="21"/>
  <c r="H36" i="21"/>
  <c r="G36" i="21"/>
  <c r="E36" i="21" s="1"/>
  <c r="I36" i="21" s="1"/>
  <c r="F36" i="21"/>
  <c r="Z35" i="21"/>
  <c r="W35" i="21"/>
  <c r="R35" i="21"/>
  <c r="O35" i="21"/>
  <c r="L35" i="21"/>
  <c r="K35" i="21"/>
  <c r="E35" i="21"/>
  <c r="Y35" i="21" s="1"/>
  <c r="Y15" i="21"/>
  <c r="AC15" i="21" s="1"/>
  <c r="X15" i="21"/>
  <c r="Q15" i="21"/>
  <c r="P15" i="21"/>
  <c r="M15" i="21"/>
  <c r="N15" i="21" s="1"/>
  <c r="K15" i="21"/>
  <c r="J15" i="21"/>
  <c r="H15" i="21" s="1"/>
  <c r="I15" i="21"/>
  <c r="AC14" i="21"/>
  <c r="Z14" i="21"/>
  <c r="U14" i="21"/>
  <c r="V14" i="21" s="1"/>
  <c r="T14" i="21"/>
  <c r="R14" i="21"/>
  <c r="O14" i="21"/>
  <c r="N14" i="21"/>
  <c r="H14" i="21"/>
  <c r="AB14" i="21" s="1"/>
  <c r="V116" i="20"/>
  <c r="Z116" i="20" s="1"/>
  <c r="U116" i="20"/>
  <c r="W116" i="20" s="1"/>
  <c r="O116" i="20"/>
  <c r="N116" i="20"/>
  <c r="R116" i="20" s="1"/>
  <c r="S116" i="20" s="1"/>
  <c r="M116" i="20"/>
  <c r="L116" i="20"/>
  <c r="K116" i="20"/>
  <c r="J116" i="20"/>
  <c r="H116" i="20"/>
  <c r="G116" i="20"/>
  <c r="F116" i="20"/>
  <c r="E116" i="20" s="1"/>
  <c r="Z115" i="20"/>
  <c r="AA115" i="20" s="1"/>
  <c r="W115" i="20"/>
  <c r="R115" i="20"/>
  <c r="O115" i="20"/>
  <c r="L115" i="20"/>
  <c r="K115" i="20"/>
  <c r="G115" i="20"/>
  <c r="E115" i="20" s="1"/>
  <c r="AB107" i="20"/>
  <c r="Z107" i="20"/>
  <c r="W107" i="20"/>
  <c r="R107" i="20"/>
  <c r="O107" i="20"/>
  <c r="L107" i="20"/>
  <c r="K107" i="20"/>
  <c r="G107" i="20"/>
  <c r="AB106" i="20"/>
  <c r="W106" i="20"/>
  <c r="V106" i="20"/>
  <c r="Z106" i="20" s="1"/>
  <c r="U106" i="20"/>
  <c r="N106" i="20"/>
  <c r="O106" i="20" s="1"/>
  <c r="M106" i="20"/>
  <c r="L106" i="20" s="1"/>
  <c r="J106" i="20"/>
  <c r="K106" i="20" s="1"/>
  <c r="H106" i="20"/>
  <c r="G106" i="20"/>
  <c r="F106" i="20"/>
  <c r="F107" i="20" s="1"/>
  <c r="Z105" i="20"/>
  <c r="AA105" i="20" s="1"/>
  <c r="Y105" i="20"/>
  <c r="W105" i="20"/>
  <c r="R105" i="20"/>
  <c r="S105" i="20" s="1"/>
  <c r="Q105" i="20"/>
  <c r="P105" i="20"/>
  <c r="O105" i="20"/>
  <c r="L105" i="20"/>
  <c r="K105" i="20"/>
  <c r="E105" i="20"/>
  <c r="X105" i="20" s="1"/>
  <c r="AA104" i="20"/>
  <c r="Z104" i="20"/>
  <c r="Y104" i="20"/>
  <c r="X104" i="20"/>
  <c r="W104" i="20"/>
  <c r="R104" i="20"/>
  <c r="S104" i="20" s="1"/>
  <c r="Q104" i="20"/>
  <c r="P104" i="20"/>
  <c r="O104" i="20"/>
  <c r="L104" i="20"/>
  <c r="K104" i="20"/>
  <c r="I104" i="20"/>
  <c r="E104" i="20"/>
  <c r="AB96" i="20"/>
  <c r="Z96" i="20"/>
  <c r="W96" i="20"/>
  <c r="R96" i="20"/>
  <c r="O96" i="20"/>
  <c r="L96" i="20"/>
  <c r="K96" i="20"/>
  <c r="G96" i="20"/>
  <c r="AB95" i="20"/>
  <c r="Z95" i="20"/>
  <c r="W95" i="20"/>
  <c r="V95" i="20"/>
  <c r="U95" i="20"/>
  <c r="R95" i="20"/>
  <c r="N95" i="20"/>
  <c r="O95" i="20" s="1"/>
  <c r="M95" i="20"/>
  <c r="L95" i="20" s="1"/>
  <c r="J95" i="20"/>
  <c r="K95" i="20" s="1"/>
  <c r="H95" i="20"/>
  <c r="G95" i="20"/>
  <c r="F95" i="20"/>
  <c r="F96" i="20" s="1"/>
  <c r="Z94" i="20"/>
  <c r="AA94" i="20" s="1"/>
  <c r="Y94" i="20"/>
  <c r="X94" i="20"/>
  <c r="W94" i="20"/>
  <c r="R94" i="20"/>
  <c r="S94" i="20" s="1"/>
  <c r="O94" i="20"/>
  <c r="L94" i="20"/>
  <c r="K94" i="20"/>
  <c r="E94" i="20"/>
  <c r="Q94" i="20" s="1"/>
  <c r="Z93" i="20"/>
  <c r="W93" i="20"/>
  <c r="R93" i="20"/>
  <c r="O93" i="20"/>
  <c r="L93" i="20"/>
  <c r="K93" i="20"/>
  <c r="I93" i="20"/>
  <c r="E93" i="20"/>
  <c r="Y93" i="20" s="1"/>
  <c r="AB85" i="20"/>
  <c r="Z85" i="20"/>
  <c r="W85" i="20"/>
  <c r="T85" i="20"/>
  <c r="R85" i="20" s="1"/>
  <c r="O85" i="20"/>
  <c r="L85" i="20"/>
  <c r="K85" i="20"/>
  <c r="AB84" i="20"/>
  <c r="W84" i="20"/>
  <c r="V84" i="20"/>
  <c r="Z84" i="20" s="1"/>
  <c r="U84" i="20"/>
  <c r="T84" i="20"/>
  <c r="O84" i="20"/>
  <c r="N84" i="20"/>
  <c r="R84" i="20" s="1"/>
  <c r="M84" i="20"/>
  <c r="L84" i="20"/>
  <c r="J84" i="20"/>
  <c r="H84" i="20"/>
  <c r="K84" i="20" s="1"/>
  <c r="G84" i="20"/>
  <c r="G85" i="20" s="1"/>
  <c r="F84" i="20"/>
  <c r="F85" i="20" s="1"/>
  <c r="Z83" i="20"/>
  <c r="W83" i="20"/>
  <c r="R83" i="20"/>
  <c r="O83" i="20"/>
  <c r="L83" i="20"/>
  <c r="K83" i="20"/>
  <c r="I83" i="20"/>
  <c r="E83" i="20"/>
  <c r="Y83" i="20" s="1"/>
  <c r="Z82" i="20"/>
  <c r="AA82" i="20" s="1"/>
  <c r="Y82" i="20"/>
  <c r="X82" i="20"/>
  <c r="W82" i="20"/>
  <c r="R82" i="20"/>
  <c r="S82" i="20" s="1"/>
  <c r="Q82" i="20"/>
  <c r="P82" i="20"/>
  <c r="O82" i="20"/>
  <c r="L82" i="20"/>
  <c r="K82" i="20"/>
  <c r="E82" i="20"/>
  <c r="I82" i="20" s="1"/>
  <c r="G74" i="20"/>
  <c r="Z72" i="20"/>
  <c r="W72" i="20"/>
  <c r="V72" i="20"/>
  <c r="R72" i="20"/>
  <c r="S72" i="20" s="1"/>
  <c r="Q72" i="20"/>
  <c r="N72" i="20"/>
  <c r="O72" i="20" s="1"/>
  <c r="L72" i="20"/>
  <c r="K72" i="20"/>
  <c r="E72" i="20"/>
  <c r="I72" i="20" s="1"/>
  <c r="G64" i="20"/>
  <c r="Z62" i="20"/>
  <c r="AA62" i="20" s="1"/>
  <c r="V62" i="20"/>
  <c r="W62" i="20" s="1"/>
  <c r="U62" i="20"/>
  <c r="R62" i="20"/>
  <c r="O62" i="20"/>
  <c r="L62" i="20"/>
  <c r="K62" i="20"/>
  <c r="E62" i="20"/>
  <c r="X62" i="20" s="1"/>
  <c r="G54" i="20"/>
  <c r="F54" i="20"/>
  <c r="E54" i="20"/>
  <c r="Z52" i="20"/>
  <c r="X52" i="20"/>
  <c r="W52" i="20"/>
  <c r="R52" i="20"/>
  <c r="S52" i="20" s="1"/>
  <c r="Q52" i="20"/>
  <c r="O52" i="20"/>
  <c r="L52" i="20"/>
  <c r="K52" i="20"/>
  <c r="I52" i="20"/>
  <c r="E52" i="20"/>
  <c r="AA52" i="20" s="1"/>
  <c r="G44" i="20"/>
  <c r="F44" i="20"/>
  <c r="Y42" i="20"/>
  <c r="X42" i="20"/>
  <c r="V42" i="20"/>
  <c r="Z42" i="20" s="1"/>
  <c r="AA42" i="20" s="1"/>
  <c r="U42" i="20"/>
  <c r="R42" i="20"/>
  <c r="P42" i="20"/>
  <c r="O42" i="20"/>
  <c r="L42" i="20"/>
  <c r="K42" i="20"/>
  <c r="I42" i="20"/>
  <c r="E42" i="20"/>
  <c r="E44" i="20" s="1"/>
  <c r="G34" i="20"/>
  <c r="F34" i="20"/>
  <c r="E33" i="20"/>
  <c r="E34" i="20" s="1"/>
  <c r="Z32" i="20"/>
  <c r="AA32" i="20" s="1"/>
  <c r="Y32" i="20"/>
  <c r="X32" i="20"/>
  <c r="W32" i="20"/>
  <c r="R32" i="20"/>
  <c r="S32" i="20" s="1"/>
  <c r="Q32" i="20"/>
  <c r="P32" i="20"/>
  <c r="O32" i="20"/>
  <c r="L32" i="20"/>
  <c r="K32" i="20"/>
  <c r="E32" i="20"/>
  <c r="I32" i="20" s="1"/>
  <c r="Z24" i="20"/>
  <c r="V24" i="20"/>
  <c r="J24" i="20"/>
  <c r="K24" i="20" s="1"/>
  <c r="H24" i="20"/>
  <c r="G24" i="20"/>
  <c r="F24" i="20"/>
  <c r="E24" i="20" s="1"/>
  <c r="Z23" i="20"/>
  <c r="AA23" i="20" s="1"/>
  <c r="Y23" i="20"/>
  <c r="X23" i="20"/>
  <c r="U23" i="20"/>
  <c r="U24" i="20" s="1"/>
  <c r="W24" i="20" s="1"/>
  <c r="P23" i="20"/>
  <c r="N23" i="20"/>
  <c r="R23" i="20" s="1"/>
  <c r="S23" i="20" s="1"/>
  <c r="M23" i="20"/>
  <c r="M24" i="20" s="1"/>
  <c r="L24" i="20" s="1"/>
  <c r="L23" i="20"/>
  <c r="K23" i="20"/>
  <c r="I23" i="20"/>
  <c r="E23" i="20"/>
  <c r="Q23" i="20" s="1"/>
  <c r="Y15" i="20"/>
  <c r="AC15" i="20" s="1"/>
  <c r="AD15" i="20" s="1"/>
  <c r="X15" i="20"/>
  <c r="Q15" i="20"/>
  <c r="U15" i="20" s="1"/>
  <c r="V15" i="20" s="1"/>
  <c r="P15" i="20"/>
  <c r="O15" i="20" s="1"/>
  <c r="M15" i="20"/>
  <c r="N15" i="20" s="1"/>
  <c r="K15" i="20"/>
  <c r="J15" i="20"/>
  <c r="I15" i="20"/>
  <c r="H15" i="20"/>
  <c r="T15" i="20" s="1"/>
  <c r="AC14" i="20"/>
  <c r="AB14" i="20"/>
  <c r="AA14" i="20"/>
  <c r="Z14" i="20"/>
  <c r="U14" i="20"/>
  <c r="V14" i="20" s="1"/>
  <c r="T14" i="20"/>
  <c r="R14" i="20"/>
  <c r="O14" i="20"/>
  <c r="N14" i="20"/>
  <c r="L14" i="20"/>
  <c r="H14" i="20"/>
  <c r="AD14" i="20" s="1"/>
  <c r="I17" i="3"/>
  <c r="Q542" i="22"/>
  <c r="P542" i="22"/>
  <c r="M542" i="22"/>
  <c r="K542" i="22"/>
  <c r="J542" i="22"/>
  <c r="I542" i="22"/>
  <c r="T539" i="22"/>
  <c r="R539" i="22"/>
  <c r="O539" i="22"/>
  <c r="N539" i="22"/>
  <c r="H539" i="22"/>
  <c r="L539" i="22" s="1"/>
  <c r="T538" i="22"/>
  <c r="S538" i="22"/>
  <c r="R538" i="22"/>
  <c r="O538" i="22"/>
  <c r="N538" i="22"/>
  <c r="L538" i="22"/>
  <c r="H538" i="22"/>
  <c r="T537" i="22"/>
  <c r="S537" i="22"/>
  <c r="R537" i="22"/>
  <c r="O537" i="22"/>
  <c r="N537" i="22"/>
  <c r="L537" i="22"/>
  <c r="H537" i="22"/>
  <c r="R536" i="22"/>
  <c r="O536" i="22"/>
  <c r="N536" i="22"/>
  <c r="L536" i="22"/>
  <c r="H536" i="22"/>
  <c r="R535" i="22"/>
  <c r="O535" i="22"/>
  <c r="N535" i="22"/>
  <c r="H535" i="22"/>
  <c r="T534" i="22"/>
  <c r="R534" i="22"/>
  <c r="O534" i="22"/>
  <c r="N534" i="22"/>
  <c r="L534" i="22"/>
  <c r="H534" i="22"/>
  <c r="S534" i="22" s="1"/>
  <c r="T533" i="22"/>
  <c r="S533" i="22"/>
  <c r="R533" i="22"/>
  <c r="O533" i="22"/>
  <c r="N533" i="22"/>
  <c r="H533" i="22"/>
  <c r="L533" i="22" s="1"/>
  <c r="R532" i="22"/>
  <c r="O532" i="22"/>
  <c r="N532" i="22"/>
  <c r="H532" i="22"/>
  <c r="T531" i="22"/>
  <c r="R531" i="22"/>
  <c r="O531" i="22"/>
  <c r="N531" i="22"/>
  <c r="H531" i="22"/>
  <c r="L531" i="22" s="1"/>
  <c r="T530" i="22"/>
  <c r="S530" i="22"/>
  <c r="R530" i="22"/>
  <c r="O530" i="22"/>
  <c r="N530" i="22"/>
  <c r="H530" i="22"/>
  <c r="L530" i="22" s="1"/>
  <c r="W517" i="22"/>
  <c r="Q517" i="22"/>
  <c r="P517" i="22"/>
  <c r="O517" i="22" s="1"/>
  <c r="M517" i="22"/>
  <c r="N517" i="22" s="1"/>
  <c r="K517" i="22"/>
  <c r="J517" i="22"/>
  <c r="I517" i="22"/>
  <c r="H517" i="22" s="1"/>
  <c r="R516" i="22"/>
  <c r="O516" i="22"/>
  <c r="N516" i="22"/>
  <c r="T515" i="22"/>
  <c r="S515" i="22"/>
  <c r="R515" i="22"/>
  <c r="O515" i="22"/>
  <c r="N515" i="22"/>
  <c r="L515" i="22"/>
  <c r="T514" i="22"/>
  <c r="S514" i="22"/>
  <c r="R514" i="22"/>
  <c r="O514" i="22"/>
  <c r="N514" i="22"/>
  <c r="L514" i="22"/>
  <c r="T513" i="22"/>
  <c r="S513" i="22"/>
  <c r="R513" i="22"/>
  <c r="O513" i="22"/>
  <c r="N513" i="22"/>
  <c r="L513" i="22"/>
  <c r="AD498" i="22"/>
  <c r="Z498" i="22"/>
  <c r="AA498" i="22" s="1"/>
  <c r="Y498" i="22"/>
  <c r="W498" i="22"/>
  <c r="R498" i="22"/>
  <c r="Q498" i="22"/>
  <c r="P498" i="22"/>
  <c r="M498" i="22"/>
  <c r="O498" i="22" s="1"/>
  <c r="K498" i="22"/>
  <c r="J498" i="22"/>
  <c r="AD497" i="22"/>
  <c r="AE497" i="22" s="1"/>
  <c r="AA497" i="22"/>
  <c r="R497" i="22"/>
  <c r="O497" i="22"/>
  <c r="N497" i="22"/>
  <c r="L497" i="22"/>
  <c r="J497" i="22"/>
  <c r="I497" i="22"/>
  <c r="H497" i="22"/>
  <c r="T497" i="22" s="1"/>
  <c r="AD496" i="22"/>
  <c r="AB496" i="22"/>
  <c r="AA496" i="22"/>
  <c r="S496" i="22"/>
  <c r="R496" i="22"/>
  <c r="O496" i="22"/>
  <c r="N496" i="22"/>
  <c r="J496" i="22"/>
  <c r="I496" i="22"/>
  <c r="H496" i="22" s="1"/>
  <c r="AD495" i="22"/>
  <c r="AE495" i="22" s="1"/>
  <c r="AA495" i="22"/>
  <c r="R495" i="22"/>
  <c r="O495" i="22"/>
  <c r="N495" i="22"/>
  <c r="J495" i="22"/>
  <c r="I495" i="22"/>
  <c r="H495" i="22"/>
  <c r="AE494" i="22"/>
  <c r="AD494" i="22"/>
  <c r="AA494" i="22"/>
  <c r="S494" i="22"/>
  <c r="R494" i="22"/>
  <c r="O494" i="22"/>
  <c r="N494" i="22"/>
  <c r="J494" i="22"/>
  <c r="H494" i="22" s="1"/>
  <c r="T494" i="22" s="1"/>
  <c r="I494" i="22"/>
  <c r="AD493" i="22"/>
  <c r="AE493" i="22" s="1"/>
  <c r="AC493" i="22"/>
  <c r="AB493" i="22"/>
  <c r="AA493" i="22"/>
  <c r="T493" i="22"/>
  <c r="S493" i="22"/>
  <c r="R493" i="22"/>
  <c r="O493" i="22"/>
  <c r="N493" i="22"/>
  <c r="L493" i="22"/>
  <c r="AD492" i="22"/>
  <c r="AE492" i="22" s="1"/>
  <c r="AC492" i="22"/>
  <c r="AB492" i="22"/>
  <c r="AA492" i="22"/>
  <c r="T492" i="22"/>
  <c r="S492" i="22"/>
  <c r="R492" i="22"/>
  <c r="O492" i="22"/>
  <c r="N492" i="22"/>
  <c r="L492" i="22"/>
  <c r="AD491" i="22"/>
  <c r="AE491" i="22" s="1"/>
  <c r="AC491" i="22"/>
  <c r="AB491" i="22"/>
  <c r="AA491" i="22"/>
  <c r="T491" i="22"/>
  <c r="S491" i="22"/>
  <c r="R491" i="22"/>
  <c r="O491" i="22"/>
  <c r="N491" i="22"/>
  <c r="L491" i="22"/>
  <c r="M478" i="22"/>
  <c r="N478" i="22" s="1"/>
  <c r="K478" i="22"/>
  <c r="J478" i="22"/>
  <c r="I478" i="22"/>
  <c r="N477" i="22"/>
  <c r="L477" i="22"/>
  <c r="N476" i="22"/>
  <c r="L476" i="22"/>
  <c r="N475" i="22"/>
  <c r="L475" i="22"/>
  <c r="N474" i="22"/>
  <c r="L474" i="22"/>
  <c r="N473" i="22"/>
  <c r="L473" i="22"/>
  <c r="N472" i="22"/>
  <c r="L472" i="22"/>
  <c r="N471" i="22"/>
  <c r="L471" i="22"/>
  <c r="AC455" i="22"/>
  <c r="Z455" i="22"/>
  <c r="AD455" i="22" s="1"/>
  <c r="Y455" i="22"/>
  <c r="AA455" i="22" s="1"/>
  <c r="W455" i="22"/>
  <c r="Q455" i="22"/>
  <c r="R455" i="22" s="1"/>
  <c r="P455" i="22"/>
  <c r="O455" i="22" s="1"/>
  <c r="N455" i="22"/>
  <c r="M455" i="22"/>
  <c r="K455" i="22"/>
  <c r="J455" i="22"/>
  <c r="I455" i="22"/>
  <c r="H455" i="22"/>
  <c r="AB455" i="22" s="1"/>
  <c r="AD454" i="22"/>
  <c r="AE454" i="22" s="1"/>
  <c r="AC454" i="22"/>
  <c r="AA454" i="22"/>
  <c r="T454" i="22"/>
  <c r="S454" i="22"/>
  <c r="R454" i="22"/>
  <c r="O454" i="22"/>
  <c r="N454" i="22"/>
  <c r="L454" i="22"/>
  <c r="H454" i="22"/>
  <c r="AB454" i="22" s="1"/>
  <c r="AD453" i="22"/>
  <c r="AE453" i="22" s="1"/>
  <c r="AC453" i="22"/>
  <c r="AA453" i="22"/>
  <c r="T453" i="22"/>
  <c r="S453" i="22"/>
  <c r="R453" i="22"/>
  <c r="O453" i="22"/>
  <c r="N453" i="22"/>
  <c r="L453" i="22"/>
  <c r="H453" i="22"/>
  <c r="AB453" i="22" s="1"/>
  <c r="AD452" i="22"/>
  <c r="AE452" i="22" s="1"/>
  <c r="AC452" i="22"/>
  <c r="AA452" i="22"/>
  <c r="T452" i="22"/>
  <c r="S452" i="22"/>
  <c r="R452" i="22"/>
  <c r="O452" i="22"/>
  <c r="N452" i="22"/>
  <c r="L452" i="22"/>
  <c r="H452" i="22"/>
  <c r="AB452" i="22" s="1"/>
  <c r="AJ451" i="22"/>
  <c r="AD451" i="22"/>
  <c r="AE451" i="22" s="1"/>
  <c r="AC451" i="22"/>
  <c r="AA451" i="22"/>
  <c r="T451" i="22"/>
  <c r="R451" i="22"/>
  <c r="O451" i="22"/>
  <c r="N451" i="22"/>
  <c r="L451" i="22"/>
  <c r="H451" i="22"/>
  <c r="S451" i="22" s="1"/>
  <c r="AE450" i="22"/>
  <c r="AD450" i="22"/>
  <c r="AA450" i="22"/>
  <c r="T450" i="22"/>
  <c r="S450" i="22"/>
  <c r="R450" i="22"/>
  <c r="O450" i="22"/>
  <c r="N450" i="22"/>
  <c r="H450" i="22"/>
  <c r="AC450" i="22" s="1"/>
  <c r="AJ449" i="22"/>
  <c r="AD449" i="22"/>
  <c r="AE449" i="22" s="1"/>
  <c r="AA449" i="22"/>
  <c r="R449" i="22"/>
  <c r="O449" i="22"/>
  <c r="N449" i="22"/>
  <c r="H449" i="22"/>
  <c r="AJ448" i="22"/>
  <c r="AD448" i="22"/>
  <c r="AE448" i="22" s="1"/>
  <c r="AB448" i="22"/>
  <c r="AA448" i="22"/>
  <c r="S448" i="22"/>
  <c r="R448" i="22"/>
  <c r="O448" i="22"/>
  <c r="N448" i="22"/>
  <c r="L448" i="22"/>
  <c r="H448" i="22"/>
  <c r="T448" i="22" s="1"/>
  <c r="W435" i="22"/>
  <c r="R435" i="22"/>
  <c r="O435" i="22"/>
  <c r="N435" i="22"/>
  <c r="AD434" i="22"/>
  <c r="AA434" i="22"/>
  <c r="Z434" i="22"/>
  <c r="Y434" i="22"/>
  <c r="W434" i="22"/>
  <c r="Q434" i="22"/>
  <c r="P434" i="22"/>
  <c r="M434" i="22"/>
  <c r="N434" i="22" s="1"/>
  <c r="K434" i="22"/>
  <c r="AJ433" i="22"/>
  <c r="AD433" i="22"/>
  <c r="AA433" i="22"/>
  <c r="T433" i="22"/>
  <c r="R433" i="22"/>
  <c r="O433" i="22"/>
  <c r="N433" i="22"/>
  <c r="J433" i="22"/>
  <c r="I433" i="22"/>
  <c r="H433" i="22"/>
  <c r="S433" i="22" s="1"/>
  <c r="AD432" i="22"/>
  <c r="AA432" i="22"/>
  <c r="T432" i="22"/>
  <c r="R432" i="22"/>
  <c r="O432" i="22"/>
  <c r="N432" i="22"/>
  <c r="J432" i="22"/>
  <c r="H432" i="22" s="1"/>
  <c r="I432" i="22"/>
  <c r="AD431" i="22"/>
  <c r="AC431" i="22"/>
  <c r="AA431" i="22"/>
  <c r="R431" i="22"/>
  <c r="O431" i="22"/>
  <c r="N431" i="22"/>
  <c r="J431" i="22"/>
  <c r="I431" i="22"/>
  <c r="H431" i="22"/>
  <c r="T431" i="22" s="1"/>
  <c r="AD430" i="22"/>
  <c r="AA430" i="22"/>
  <c r="R430" i="22"/>
  <c r="O430" i="22"/>
  <c r="N430" i="22"/>
  <c r="J430" i="22"/>
  <c r="I430" i="22"/>
  <c r="AD429" i="22"/>
  <c r="AA429" i="22"/>
  <c r="T429" i="22"/>
  <c r="S429" i="22"/>
  <c r="R429" i="22"/>
  <c r="O429" i="22"/>
  <c r="N429" i="22"/>
  <c r="J429" i="22"/>
  <c r="I429" i="22"/>
  <c r="H429" i="22"/>
  <c r="AJ428" i="22"/>
  <c r="I428" i="22" s="1"/>
  <c r="AD428" i="22"/>
  <c r="AA428" i="22"/>
  <c r="R428" i="22"/>
  <c r="O428" i="22"/>
  <c r="N428" i="22"/>
  <c r="J428" i="22"/>
  <c r="AJ427" i="22"/>
  <c r="AD427" i="22"/>
  <c r="AA427" i="22"/>
  <c r="R427" i="22"/>
  <c r="O427" i="22"/>
  <c r="N427" i="22"/>
  <c r="J427" i="22"/>
  <c r="I427" i="22"/>
  <c r="I434" i="22" s="1"/>
  <c r="H427" i="22"/>
  <c r="T427" i="22" s="1"/>
  <c r="R414" i="22"/>
  <c r="O414" i="22"/>
  <c r="N414" i="22"/>
  <c r="Z413" i="22"/>
  <c r="Y413" i="22"/>
  <c r="W413" i="22"/>
  <c r="W414" i="22" s="1"/>
  <c r="R413" i="22"/>
  <c r="Q413" i="22"/>
  <c r="P413" i="22"/>
  <c r="M413" i="22"/>
  <c r="O413" i="22" s="1"/>
  <c r="K413" i="22"/>
  <c r="AJ412" i="22"/>
  <c r="AE412" i="22"/>
  <c r="AD412" i="22"/>
  <c r="AA412" i="22"/>
  <c r="R412" i="22"/>
  <c r="O412" i="22"/>
  <c r="N412" i="22"/>
  <c r="L412" i="22"/>
  <c r="J412" i="22"/>
  <c r="I412" i="22"/>
  <c r="H412" i="22"/>
  <c r="AJ411" i="22"/>
  <c r="AD411" i="22"/>
  <c r="AA411" i="22"/>
  <c r="T411" i="22"/>
  <c r="R411" i="22"/>
  <c r="O411" i="22"/>
  <c r="N411" i="22"/>
  <c r="J411" i="22"/>
  <c r="I411" i="22"/>
  <c r="H411" i="22"/>
  <c r="S411" i="22" s="1"/>
  <c r="AD410" i="22"/>
  <c r="AA410" i="22"/>
  <c r="R410" i="22"/>
  <c r="O410" i="22"/>
  <c r="N410" i="22"/>
  <c r="J410" i="22"/>
  <c r="I410" i="22"/>
  <c r="H410" i="22" s="1"/>
  <c r="AE410" i="22" s="1"/>
  <c r="AD409" i="22"/>
  <c r="AA409" i="22"/>
  <c r="R409" i="22"/>
  <c r="O409" i="22"/>
  <c r="N409" i="22"/>
  <c r="J409" i="22"/>
  <c r="I409" i="22"/>
  <c r="H409" i="22"/>
  <c r="T409" i="22" s="1"/>
  <c r="AJ408" i="22"/>
  <c r="I408" i="22" s="1"/>
  <c r="H408" i="22" s="1"/>
  <c r="AH408" i="22"/>
  <c r="J408" i="22" s="1"/>
  <c r="AD408" i="22"/>
  <c r="AA408" i="22"/>
  <c r="R408" i="22"/>
  <c r="O408" i="22"/>
  <c r="N408" i="22"/>
  <c r="L408" i="22"/>
  <c r="AJ407" i="22"/>
  <c r="I407" i="22" s="1"/>
  <c r="AD407" i="22"/>
  <c r="AA407" i="22"/>
  <c r="R407" i="22"/>
  <c r="O407" i="22"/>
  <c r="N407" i="22"/>
  <c r="J407" i="22"/>
  <c r="AJ406" i="22"/>
  <c r="AI406" i="22"/>
  <c r="I406" i="22" s="1"/>
  <c r="AD406" i="22"/>
  <c r="AA406" i="22"/>
  <c r="R406" i="22"/>
  <c r="O406" i="22"/>
  <c r="N406" i="22"/>
  <c r="J406" i="22"/>
  <c r="W393" i="22"/>
  <c r="R393" i="22"/>
  <c r="O393" i="22"/>
  <c r="N393" i="22"/>
  <c r="AD392" i="22"/>
  <c r="Z392" i="22"/>
  <c r="Y392" i="22"/>
  <c r="W392" i="22"/>
  <c r="R392" i="22"/>
  <c r="Q392" i="22"/>
  <c r="P392" i="22"/>
  <c r="O392" i="22"/>
  <c r="M392" i="22"/>
  <c r="K392" i="22"/>
  <c r="N392" i="22" s="1"/>
  <c r="AD391" i="22"/>
  <c r="AA391" i="22"/>
  <c r="S391" i="22"/>
  <c r="R391" i="22"/>
  <c r="O391" i="22"/>
  <c r="N391" i="22"/>
  <c r="J391" i="22"/>
  <c r="I391" i="22"/>
  <c r="H391" i="22"/>
  <c r="T391" i="22" s="1"/>
  <c r="AD390" i="22"/>
  <c r="AA390" i="22"/>
  <c r="R390" i="22"/>
  <c r="O390" i="22"/>
  <c r="N390" i="22"/>
  <c r="L390" i="22"/>
  <c r="J390" i="22"/>
  <c r="H390" i="22" s="1"/>
  <c r="AC390" i="22" s="1"/>
  <c r="I390" i="22"/>
  <c r="AH389" i="22"/>
  <c r="AD389" i="22"/>
  <c r="AA389" i="22"/>
  <c r="R389" i="22"/>
  <c r="O389" i="22"/>
  <c r="N389" i="22"/>
  <c r="J389" i="22"/>
  <c r="I389" i="22"/>
  <c r="AD388" i="22"/>
  <c r="AA388" i="22"/>
  <c r="T388" i="22"/>
  <c r="S388" i="22"/>
  <c r="R388" i="22"/>
  <c r="O388" i="22"/>
  <c r="N388" i="22"/>
  <c r="J388" i="22"/>
  <c r="I388" i="22"/>
  <c r="H388" i="22"/>
  <c r="AE387" i="22"/>
  <c r="AD387" i="22"/>
  <c r="AA387" i="22"/>
  <c r="R387" i="22"/>
  <c r="O387" i="22"/>
  <c r="N387" i="22"/>
  <c r="J387" i="22"/>
  <c r="I387" i="22"/>
  <c r="H387" i="22" s="1"/>
  <c r="AD386" i="22"/>
  <c r="AA386" i="22"/>
  <c r="R386" i="22"/>
  <c r="O386" i="22"/>
  <c r="N386" i="22"/>
  <c r="J386" i="22"/>
  <c r="I386" i="22"/>
  <c r="H386" i="22"/>
  <c r="T386" i="22" s="1"/>
  <c r="AD385" i="22"/>
  <c r="AE385" i="22" s="1"/>
  <c r="AA385" i="22"/>
  <c r="R385" i="22"/>
  <c r="O385" i="22"/>
  <c r="N385" i="22"/>
  <c r="J385" i="22"/>
  <c r="J392" i="22" s="1"/>
  <c r="I385" i="22"/>
  <c r="H385" i="22" s="1"/>
  <c r="U369" i="22"/>
  <c r="R369" i="22"/>
  <c r="O369" i="22"/>
  <c r="N369" i="22"/>
  <c r="AD368" i="22"/>
  <c r="AA368" i="22"/>
  <c r="Z368" i="22"/>
  <c r="Y368" i="22"/>
  <c r="W368" i="22"/>
  <c r="W369" i="22" s="1"/>
  <c r="Q368" i="22"/>
  <c r="U368" i="22" s="1"/>
  <c r="P368" i="22"/>
  <c r="M368" i="22"/>
  <c r="O368" i="22" s="1"/>
  <c r="K368" i="22"/>
  <c r="AD367" i="22"/>
  <c r="AA367" i="22"/>
  <c r="U367" i="22"/>
  <c r="R367" i="22"/>
  <c r="O367" i="22"/>
  <c r="N367" i="22"/>
  <c r="J367" i="22"/>
  <c r="I367" i="22"/>
  <c r="AD366" i="22"/>
  <c r="AA366" i="22"/>
  <c r="U366" i="22"/>
  <c r="V366" i="22" s="1"/>
  <c r="R366" i="22"/>
  <c r="O366" i="22"/>
  <c r="N366" i="22"/>
  <c r="J366" i="22"/>
  <c r="I366" i="22"/>
  <c r="H366" i="22" s="1"/>
  <c r="AJ365" i="22"/>
  <c r="AI365" i="22"/>
  <c r="I365" i="22" s="1"/>
  <c r="AH365" i="22"/>
  <c r="J365" i="22" s="1"/>
  <c r="J368" i="22" s="1"/>
  <c r="AD365" i="22"/>
  <c r="AA365" i="22"/>
  <c r="U365" i="22"/>
  <c r="R365" i="22"/>
  <c r="O365" i="22"/>
  <c r="N365" i="22"/>
  <c r="U348" i="22"/>
  <c r="R348" i="22"/>
  <c r="O348" i="22"/>
  <c r="N348" i="22"/>
  <c r="AD347" i="22"/>
  <c r="Z347" i="22"/>
  <c r="AA347" i="22" s="1"/>
  <c r="Y347" i="22"/>
  <c r="W347" i="22"/>
  <c r="W348" i="22" s="1"/>
  <c r="U347" i="22"/>
  <c r="Q347" i="22"/>
  <c r="R347" i="22" s="1"/>
  <c r="P347" i="22"/>
  <c r="M347" i="22"/>
  <c r="K347" i="22"/>
  <c r="AD346" i="22"/>
  <c r="AE346" i="22" s="1"/>
  <c r="AA346" i="22"/>
  <c r="U346" i="22"/>
  <c r="R346" i="22"/>
  <c r="O346" i="22"/>
  <c r="N346" i="22"/>
  <c r="J346" i="22"/>
  <c r="I346" i="22"/>
  <c r="H346" i="22" s="1"/>
  <c r="AJ345" i="22"/>
  <c r="AD345" i="22"/>
  <c r="AE345" i="22" s="1"/>
  <c r="AB345" i="22"/>
  <c r="U345" i="22"/>
  <c r="R345" i="22"/>
  <c r="O345" i="22"/>
  <c r="N345" i="22"/>
  <c r="L345" i="22"/>
  <c r="J345" i="22"/>
  <c r="I345" i="22"/>
  <c r="H345" i="22" s="1"/>
  <c r="AJ344" i="22"/>
  <c r="AD344" i="22"/>
  <c r="AA344" i="22"/>
  <c r="U344" i="22"/>
  <c r="V344" i="22" s="1"/>
  <c r="R344" i="22"/>
  <c r="O344" i="22"/>
  <c r="N344" i="22"/>
  <c r="J344" i="22"/>
  <c r="I344" i="22"/>
  <c r="H344" i="22" s="1"/>
  <c r="AJ343" i="22"/>
  <c r="AD343" i="22"/>
  <c r="AA343" i="22"/>
  <c r="U343" i="22"/>
  <c r="R343" i="22"/>
  <c r="O343" i="22"/>
  <c r="N343" i="22"/>
  <c r="J343" i="22"/>
  <c r="I343" i="22"/>
  <c r="W328" i="22"/>
  <c r="U328" i="22"/>
  <c r="R328" i="22"/>
  <c r="O328" i="22"/>
  <c r="N328" i="22"/>
  <c r="AD327" i="22"/>
  <c r="AA327" i="22"/>
  <c r="Z327" i="22"/>
  <c r="Y327" i="22"/>
  <c r="W327" i="22"/>
  <c r="U327" i="22"/>
  <c r="R327" i="22"/>
  <c r="Q327" i="22"/>
  <c r="P327" i="22"/>
  <c r="M327" i="22"/>
  <c r="N327" i="22" s="1"/>
  <c r="K327" i="22"/>
  <c r="J327" i="22"/>
  <c r="AD326" i="22"/>
  <c r="AA326" i="22"/>
  <c r="U326" i="22"/>
  <c r="R326" i="22"/>
  <c r="O326" i="22"/>
  <c r="N326" i="22"/>
  <c r="J326" i="22"/>
  <c r="I326" i="22"/>
  <c r="AI325" i="22"/>
  <c r="I325" i="22" s="1"/>
  <c r="AD325" i="22"/>
  <c r="AA325" i="22"/>
  <c r="U325" i="22"/>
  <c r="V325" i="22" s="1"/>
  <c r="R325" i="22"/>
  <c r="O325" i="22"/>
  <c r="N325" i="22"/>
  <c r="J325" i="22"/>
  <c r="H325" i="22"/>
  <c r="L325" i="22" s="1"/>
  <c r="AD324" i="22"/>
  <c r="AA324" i="22"/>
  <c r="U324" i="22"/>
  <c r="T324" i="22"/>
  <c r="S324" i="22"/>
  <c r="R324" i="22"/>
  <c r="O324" i="22"/>
  <c r="N324" i="22"/>
  <c r="J324" i="22"/>
  <c r="I324" i="22"/>
  <c r="H324" i="22"/>
  <c r="AD323" i="22"/>
  <c r="AE323" i="22" s="1"/>
  <c r="AB323" i="22"/>
  <c r="AA323" i="22"/>
  <c r="U323" i="22"/>
  <c r="S323" i="22"/>
  <c r="R323" i="22"/>
  <c r="O323" i="22"/>
  <c r="N323" i="22"/>
  <c r="L323" i="22"/>
  <c r="J323" i="22"/>
  <c r="I323" i="22"/>
  <c r="I327" i="22" s="1"/>
  <c r="H323" i="22"/>
  <c r="W308" i="22"/>
  <c r="U308" i="22"/>
  <c r="R308" i="22"/>
  <c r="O308" i="22"/>
  <c r="N308" i="22"/>
  <c r="AD307" i="22"/>
  <c r="Z307" i="22"/>
  <c r="Y307" i="22"/>
  <c r="W307" i="22"/>
  <c r="U307" i="22"/>
  <c r="Q307" i="22"/>
  <c r="R307" i="22" s="1"/>
  <c r="P307" i="22"/>
  <c r="O307" i="22"/>
  <c r="M307" i="22"/>
  <c r="K307" i="22"/>
  <c r="N307" i="22" s="1"/>
  <c r="AD306" i="22"/>
  <c r="AA306" i="22"/>
  <c r="U306" i="22"/>
  <c r="V306" i="22" s="1"/>
  <c r="T306" i="22"/>
  <c r="R306" i="22"/>
  <c r="O306" i="22"/>
  <c r="N306" i="22"/>
  <c r="J306" i="22"/>
  <c r="I306" i="22"/>
  <c r="H306" i="22"/>
  <c r="AI305" i="22"/>
  <c r="I305" i="22" s="1"/>
  <c r="H305" i="22" s="1"/>
  <c r="AD305" i="22"/>
  <c r="AA305" i="22"/>
  <c r="U305" i="22"/>
  <c r="R305" i="22"/>
  <c r="O305" i="22"/>
  <c r="N305" i="22"/>
  <c r="J305" i="22"/>
  <c r="AE304" i="22"/>
  <c r="AD304" i="22"/>
  <c r="AC304" i="22"/>
  <c r="AA304" i="22"/>
  <c r="U304" i="22"/>
  <c r="S304" i="22"/>
  <c r="R304" i="22"/>
  <c r="O304" i="22"/>
  <c r="N304" i="22"/>
  <c r="J304" i="22"/>
  <c r="I304" i="22"/>
  <c r="H304" i="22"/>
  <c r="L304" i="22" s="1"/>
  <c r="AD303" i="22"/>
  <c r="AA303" i="22"/>
  <c r="U303" i="22"/>
  <c r="R303" i="22"/>
  <c r="O303" i="22"/>
  <c r="N303" i="22"/>
  <c r="J303" i="22"/>
  <c r="J307" i="22" s="1"/>
  <c r="I303" i="22"/>
  <c r="U284" i="22"/>
  <c r="R284" i="22"/>
  <c r="O284" i="22"/>
  <c r="N284" i="22"/>
  <c r="Z283" i="22"/>
  <c r="AA283" i="22" s="1"/>
  <c r="Y283" i="22"/>
  <c r="W283" i="22"/>
  <c r="W284" i="22" s="1"/>
  <c r="Q283" i="22"/>
  <c r="R283" i="22" s="1"/>
  <c r="P283" i="22"/>
  <c r="O283" i="22" s="1"/>
  <c r="M283" i="22"/>
  <c r="N283" i="22" s="1"/>
  <c r="K283" i="22"/>
  <c r="I283" i="22"/>
  <c r="AD282" i="22"/>
  <c r="AA282" i="22"/>
  <c r="U282" i="22"/>
  <c r="T282" i="22"/>
  <c r="S282" i="22"/>
  <c r="R282" i="22"/>
  <c r="O282" i="22"/>
  <c r="N282" i="22"/>
  <c r="J282" i="22"/>
  <c r="I282" i="22"/>
  <c r="H282" i="22"/>
  <c r="AE281" i="22"/>
  <c r="AD281" i="22"/>
  <c r="AC281" i="22"/>
  <c r="AA281" i="22"/>
  <c r="U281" i="22"/>
  <c r="S281" i="22"/>
  <c r="R281" i="22"/>
  <c r="O281" i="22"/>
  <c r="N281" i="22"/>
  <c r="J281" i="22"/>
  <c r="I281" i="22"/>
  <c r="H281" i="22"/>
  <c r="L281" i="22" s="1"/>
  <c r="AD280" i="22"/>
  <c r="AB280" i="22"/>
  <c r="AA280" i="22"/>
  <c r="U280" i="22"/>
  <c r="R280" i="22"/>
  <c r="O280" i="22"/>
  <c r="N280" i="22"/>
  <c r="J280" i="22"/>
  <c r="I280" i="22"/>
  <c r="H280" i="22" s="1"/>
  <c r="AI279" i="22"/>
  <c r="AD279" i="22"/>
  <c r="AA279" i="22"/>
  <c r="U279" i="22"/>
  <c r="V279" i="22" s="1"/>
  <c r="R279" i="22"/>
  <c r="O279" i="22"/>
  <c r="N279" i="22"/>
  <c r="J279" i="22"/>
  <c r="I279" i="22"/>
  <c r="H279" i="22"/>
  <c r="AD278" i="22"/>
  <c r="AE278" i="22" s="1"/>
  <c r="AA278" i="22"/>
  <c r="U278" i="22"/>
  <c r="R278" i="22"/>
  <c r="O278" i="22"/>
  <c r="N278" i="22"/>
  <c r="J278" i="22"/>
  <c r="I278" i="22"/>
  <c r="H278" i="22" s="1"/>
  <c r="AD277" i="22"/>
  <c r="AA277" i="22"/>
  <c r="U277" i="22"/>
  <c r="V277" i="22" s="1"/>
  <c r="T277" i="22"/>
  <c r="R277" i="22"/>
  <c r="O277" i="22"/>
  <c r="N277" i="22"/>
  <c r="J277" i="22"/>
  <c r="I277" i="22"/>
  <c r="H277" i="22"/>
  <c r="U262" i="22"/>
  <c r="R262" i="22"/>
  <c r="O262" i="22"/>
  <c r="N262" i="22"/>
  <c r="Z261" i="22"/>
  <c r="AA261" i="22" s="1"/>
  <c r="Y261" i="22"/>
  <c r="W261" i="22"/>
  <c r="W262" i="22" s="1"/>
  <c r="Q261" i="22"/>
  <c r="P261" i="22"/>
  <c r="O261" i="22" s="1"/>
  <c r="N261" i="22"/>
  <c r="M261" i="22"/>
  <c r="K261" i="22"/>
  <c r="AF260" i="22"/>
  <c r="AD260" i="22"/>
  <c r="AA260" i="22"/>
  <c r="U260" i="22"/>
  <c r="R260" i="22"/>
  <c r="O260" i="22"/>
  <c r="N260" i="22"/>
  <c r="J260" i="22"/>
  <c r="I260" i="22"/>
  <c r="AF259" i="22"/>
  <c r="AD259" i="22" s="1"/>
  <c r="AA259" i="22"/>
  <c r="V259" i="22"/>
  <c r="U259" i="22"/>
  <c r="R259" i="22"/>
  <c r="O259" i="22"/>
  <c r="N259" i="22"/>
  <c r="J259" i="22"/>
  <c r="H259" i="22" s="1"/>
  <c r="I259" i="22"/>
  <c r="AF258" i="22"/>
  <c r="AD258" i="22" s="1"/>
  <c r="AA258" i="22"/>
  <c r="U258" i="22"/>
  <c r="V258" i="22" s="1"/>
  <c r="R258" i="22"/>
  <c r="O258" i="22"/>
  <c r="N258" i="22"/>
  <c r="J258" i="22"/>
  <c r="I258" i="22"/>
  <c r="I261" i="22" s="1"/>
  <c r="H258" i="22"/>
  <c r="T258" i="22" s="1"/>
  <c r="U242" i="22"/>
  <c r="R242" i="22"/>
  <c r="O242" i="22"/>
  <c r="N242" i="22"/>
  <c r="Z241" i="22"/>
  <c r="Y241" i="22"/>
  <c r="W241" i="22"/>
  <c r="W242" i="22" s="1"/>
  <c r="Q241" i="22"/>
  <c r="U241" i="22" s="1"/>
  <c r="P241" i="22"/>
  <c r="O241" i="22" s="1"/>
  <c r="M241" i="22"/>
  <c r="K241" i="22"/>
  <c r="J241" i="22"/>
  <c r="AF240" i="22"/>
  <c r="Z240" i="22"/>
  <c r="Y240" i="22"/>
  <c r="AB240" i="22" s="1"/>
  <c r="V240" i="22"/>
  <c r="U240" i="22"/>
  <c r="T240" i="22"/>
  <c r="S240" i="22"/>
  <c r="R240" i="22"/>
  <c r="O240" i="22"/>
  <c r="N240" i="22"/>
  <c r="L240" i="22"/>
  <c r="AF239" i="22"/>
  <c r="AA239" i="22"/>
  <c r="Z239" i="22"/>
  <c r="AD239" i="22" s="1"/>
  <c r="U239" i="22"/>
  <c r="R239" i="22"/>
  <c r="O239" i="22"/>
  <c r="N239" i="22"/>
  <c r="J239" i="22"/>
  <c r="I239" i="22"/>
  <c r="AF238" i="22"/>
  <c r="AD238" i="22"/>
  <c r="AE238" i="22" s="1"/>
  <c r="AC238" i="22"/>
  <c r="AB238" i="22"/>
  <c r="AA238" i="22"/>
  <c r="Z238" i="22"/>
  <c r="Y238" i="22"/>
  <c r="U238" i="22"/>
  <c r="S238" i="22"/>
  <c r="R238" i="22"/>
  <c r="O238" i="22"/>
  <c r="N238" i="22"/>
  <c r="J238" i="22"/>
  <c r="I238" i="22"/>
  <c r="H238" i="22"/>
  <c r="AF237" i="22"/>
  <c r="AD237" i="22"/>
  <c r="AA237" i="22"/>
  <c r="U237" i="22"/>
  <c r="R237" i="22"/>
  <c r="O237" i="22"/>
  <c r="N237" i="22"/>
  <c r="J237" i="22"/>
  <c r="I237" i="22"/>
  <c r="I241" i="22" s="1"/>
  <c r="H241" i="22" s="1"/>
  <c r="H237" i="22"/>
  <c r="T237" i="22" s="1"/>
  <c r="AF236" i="22"/>
  <c r="AD236" i="22" s="1"/>
  <c r="AE236" i="22" s="1"/>
  <c r="AA236" i="22"/>
  <c r="U236" i="22"/>
  <c r="V236" i="22" s="1"/>
  <c r="T236" i="22"/>
  <c r="S236" i="22"/>
  <c r="R236" i="22"/>
  <c r="O236" i="22"/>
  <c r="N236" i="22"/>
  <c r="J236" i="22"/>
  <c r="I236" i="22"/>
  <c r="H236" i="22"/>
  <c r="AD235" i="22"/>
  <c r="AA235" i="22"/>
  <c r="U235" i="22"/>
  <c r="V235" i="22" s="1"/>
  <c r="R235" i="22"/>
  <c r="O235" i="22"/>
  <c r="N235" i="22"/>
  <c r="J235" i="22"/>
  <c r="I235" i="22"/>
  <c r="H235" i="22"/>
  <c r="AD234" i="22"/>
  <c r="AA234" i="22"/>
  <c r="U234" i="22"/>
  <c r="R234" i="22"/>
  <c r="O234" i="22"/>
  <c r="N234" i="22"/>
  <c r="J234" i="22"/>
  <c r="I234" i="22"/>
  <c r="H234" i="22"/>
  <c r="U218" i="22"/>
  <c r="R218" i="22"/>
  <c r="O218" i="22"/>
  <c r="N218" i="22"/>
  <c r="Z217" i="22"/>
  <c r="Y217" i="22"/>
  <c r="W217" i="22"/>
  <c r="W218" i="22" s="1"/>
  <c r="R217" i="22"/>
  <c r="Q217" i="22"/>
  <c r="U217" i="22" s="1"/>
  <c r="P217" i="22"/>
  <c r="O217" i="22"/>
  <c r="N217" i="22"/>
  <c r="M217" i="22"/>
  <c r="K217" i="22"/>
  <c r="AH216" i="22"/>
  <c r="AF216" i="22"/>
  <c r="AD216" i="22"/>
  <c r="AA216" i="22"/>
  <c r="V216" i="22"/>
  <c r="U216" i="22"/>
  <c r="R216" i="22"/>
  <c r="O216" i="22"/>
  <c r="N216" i="22"/>
  <c r="J216" i="22"/>
  <c r="I216" i="22"/>
  <c r="H216" i="22" s="1"/>
  <c r="AI215" i="22"/>
  <c r="AF215" i="22"/>
  <c r="AD215" i="22"/>
  <c r="AE215" i="22" s="1"/>
  <c r="AC215" i="22"/>
  <c r="AB215" i="22"/>
  <c r="AA215" i="22"/>
  <c r="U215" i="22"/>
  <c r="R215" i="22"/>
  <c r="O215" i="22"/>
  <c r="N215" i="22"/>
  <c r="L215" i="22"/>
  <c r="J215" i="22"/>
  <c r="I215" i="22"/>
  <c r="H215" i="22"/>
  <c r="T215" i="22" s="1"/>
  <c r="AJ214" i="22"/>
  <c r="AF214" i="22"/>
  <c r="AD214" i="22"/>
  <c r="AE214" i="22" s="1"/>
  <c r="AA214" i="22"/>
  <c r="U214" i="22"/>
  <c r="T214" i="22"/>
  <c r="S214" i="22"/>
  <c r="R214" i="22"/>
  <c r="O214" i="22"/>
  <c r="N214" i="22"/>
  <c r="J214" i="22"/>
  <c r="I214" i="22"/>
  <c r="H214" i="22"/>
  <c r="AC214" i="22" s="1"/>
  <c r="AF213" i="22"/>
  <c r="AD213" i="22"/>
  <c r="AE213" i="22" s="1"/>
  <c r="AA213" i="22"/>
  <c r="U213" i="22"/>
  <c r="V213" i="22" s="1"/>
  <c r="R213" i="22"/>
  <c r="O213" i="22"/>
  <c r="N213" i="22"/>
  <c r="J213" i="22"/>
  <c r="I213" i="22"/>
  <c r="H213" i="22"/>
  <c r="AF212" i="22"/>
  <c r="AD212" i="22" s="1"/>
  <c r="AA212" i="22"/>
  <c r="U212" i="22"/>
  <c r="R212" i="22"/>
  <c r="O212" i="22"/>
  <c r="N212" i="22"/>
  <c r="J212" i="22"/>
  <c r="I212" i="22"/>
  <c r="H212" i="22"/>
  <c r="T212" i="22" s="1"/>
  <c r="AF211" i="22"/>
  <c r="AD211" i="22" s="1"/>
  <c r="AA211" i="22"/>
  <c r="U211" i="22"/>
  <c r="R211" i="22"/>
  <c r="O211" i="22"/>
  <c r="N211" i="22"/>
  <c r="J211" i="22"/>
  <c r="J217" i="22" s="1"/>
  <c r="I211" i="22"/>
  <c r="I196" i="22"/>
  <c r="U195" i="22"/>
  <c r="R195" i="22"/>
  <c r="O195" i="22"/>
  <c r="N195" i="22"/>
  <c r="Z194" i="22"/>
  <c r="Y194" i="22"/>
  <c r="W194" i="22"/>
  <c r="W195" i="22" s="1"/>
  <c r="Q194" i="22"/>
  <c r="P194" i="22"/>
  <c r="O194" i="22" s="1"/>
  <c r="N194" i="22"/>
  <c r="M194" i="22"/>
  <c r="K194" i="22"/>
  <c r="AF193" i="22"/>
  <c r="AD193" i="22" s="1"/>
  <c r="AE193" i="22" s="1"/>
  <c r="AA193" i="22"/>
  <c r="U193" i="22"/>
  <c r="V193" i="22" s="1"/>
  <c r="T193" i="22"/>
  <c r="S193" i="22"/>
  <c r="R193" i="22"/>
  <c r="O193" i="22"/>
  <c r="N193" i="22"/>
  <c r="J193" i="22"/>
  <c r="I193" i="22"/>
  <c r="H193" i="22"/>
  <c r="AH192" i="22"/>
  <c r="H196" i="22" s="1"/>
  <c r="J196" i="22" s="1"/>
  <c r="AF192" i="22"/>
  <c r="AD192" i="22"/>
  <c r="AA192" i="22"/>
  <c r="U192" i="22"/>
  <c r="R192" i="22"/>
  <c r="O192" i="22"/>
  <c r="N192" i="22"/>
  <c r="I192" i="22"/>
  <c r="AF191" i="22"/>
  <c r="AD191" i="22"/>
  <c r="AA191" i="22"/>
  <c r="U191" i="22"/>
  <c r="R191" i="22"/>
  <c r="O191" i="22"/>
  <c r="N191" i="22"/>
  <c r="J191" i="22"/>
  <c r="I191" i="22"/>
  <c r="AF190" i="22"/>
  <c r="AD190" i="22"/>
  <c r="AE190" i="22" s="1"/>
  <c r="AC190" i="22"/>
  <c r="AA190" i="22"/>
  <c r="V190" i="22"/>
  <c r="U190" i="22"/>
  <c r="R190" i="22"/>
  <c r="O190" i="22"/>
  <c r="N190" i="22"/>
  <c r="L190" i="22"/>
  <c r="J190" i="22"/>
  <c r="H190" i="22" s="1"/>
  <c r="I190" i="22"/>
  <c r="AF189" i="22"/>
  <c r="AD189" i="22"/>
  <c r="AA189" i="22"/>
  <c r="U189" i="22"/>
  <c r="R189" i="22"/>
  <c r="O189" i="22"/>
  <c r="N189" i="22"/>
  <c r="J189" i="22"/>
  <c r="I189" i="22"/>
  <c r="H189" i="22" s="1"/>
  <c r="L189" i="22" s="1"/>
  <c r="AF188" i="22"/>
  <c r="AD188" i="22"/>
  <c r="AE188" i="22" s="1"/>
  <c r="AC188" i="22"/>
  <c r="AB188" i="22"/>
  <c r="AA188" i="22"/>
  <c r="U188" i="22"/>
  <c r="S188" i="22"/>
  <c r="R188" i="22"/>
  <c r="O188" i="22"/>
  <c r="N188" i="22"/>
  <c r="L188" i="22"/>
  <c r="J188" i="22"/>
  <c r="I188" i="22"/>
  <c r="H188" i="22"/>
  <c r="T188" i="22" s="1"/>
  <c r="AF187" i="22"/>
  <c r="AD187" i="22"/>
  <c r="AE187" i="22" s="1"/>
  <c r="AC187" i="22"/>
  <c r="AB187" i="22"/>
  <c r="AA187" i="22"/>
  <c r="U187" i="22"/>
  <c r="V187" i="22" s="1"/>
  <c r="S187" i="22"/>
  <c r="R187" i="22"/>
  <c r="O187" i="22"/>
  <c r="N187" i="22"/>
  <c r="J187" i="22"/>
  <c r="I187" i="22"/>
  <c r="H187" i="22"/>
  <c r="T187" i="22" s="1"/>
  <c r="AF186" i="22"/>
  <c r="AD186" i="22"/>
  <c r="AE186" i="22" s="1"/>
  <c r="AC186" i="22"/>
  <c r="AA186" i="22"/>
  <c r="U186" i="22"/>
  <c r="R186" i="22"/>
  <c r="O186" i="22"/>
  <c r="N186" i="22"/>
  <c r="J186" i="22"/>
  <c r="I186" i="22"/>
  <c r="H186" i="22"/>
  <c r="AF185" i="22"/>
  <c r="AD185" i="22"/>
  <c r="AE185" i="22" s="1"/>
  <c r="AA185" i="22"/>
  <c r="U185" i="22"/>
  <c r="T185" i="22"/>
  <c r="S185" i="22"/>
  <c r="R185" i="22"/>
  <c r="O185" i="22"/>
  <c r="N185" i="22"/>
  <c r="J185" i="22"/>
  <c r="I185" i="22"/>
  <c r="I194" i="22" s="1"/>
  <c r="H185" i="22"/>
  <c r="W171" i="22"/>
  <c r="U171" i="22"/>
  <c r="R171" i="22"/>
  <c r="O171" i="22"/>
  <c r="N171" i="22"/>
  <c r="AL170" i="22"/>
  <c r="AJ170" i="22"/>
  <c r="AI170" i="22"/>
  <c r="AS170" i="22" s="1"/>
  <c r="AH170" i="22"/>
  <c r="Z170" i="22"/>
  <c r="Y170" i="22"/>
  <c r="W170" i="22"/>
  <c r="Q170" i="22"/>
  <c r="P170" i="22"/>
  <c r="O170" i="22"/>
  <c r="N170" i="22"/>
  <c r="M170" i="22"/>
  <c r="K170" i="22"/>
  <c r="AU169" i="22"/>
  <c r="AT169" i="22"/>
  <c r="AR169" i="22"/>
  <c r="AF169" i="22"/>
  <c r="AD169" i="22"/>
  <c r="AE169" i="22" s="1"/>
  <c r="AA169" i="22"/>
  <c r="V169" i="22"/>
  <c r="U169" i="22"/>
  <c r="R169" i="22"/>
  <c r="O169" i="22"/>
  <c r="N169" i="22"/>
  <c r="J169" i="22"/>
  <c r="I169" i="22"/>
  <c r="H169" i="22" s="1"/>
  <c r="AU168" i="22"/>
  <c r="AT168" i="22"/>
  <c r="AR168" i="22"/>
  <c r="AF168" i="22"/>
  <c r="AD168" i="22" s="1"/>
  <c r="AE168" i="22" s="1"/>
  <c r="AA168" i="22"/>
  <c r="U168" i="22"/>
  <c r="T168" i="22"/>
  <c r="S168" i="22"/>
  <c r="R168" i="22"/>
  <c r="O168" i="22"/>
  <c r="N168" i="22"/>
  <c r="J168" i="22"/>
  <c r="I168" i="22"/>
  <c r="H168" i="22"/>
  <c r="AU167" i="22"/>
  <c r="AT167" i="22"/>
  <c r="AS167" i="22"/>
  <c r="AR167" i="22"/>
  <c r="AF167" i="22"/>
  <c r="AD167" i="22"/>
  <c r="AE167" i="22" s="1"/>
  <c r="AC167" i="22"/>
  <c r="AB167" i="22"/>
  <c r="AA167" i="22"/>
  <c r="U167" i="22"/>
  <c r="S167" i="22"/>
  <c r="R167" i="22"/>
  <c r="O167" i="22"/>
  <c r="N167" i="22"/>
  <c r="L167" i="22"/>
  <c r="J167" i="22"/>
  <c r="I167" i="22"/>
  <c r="H167" i="22"/>
  <c r="T167" i="22" s="1"/>
  <c r="AT166" i="22"/>
  <c r="AS166" i="22"/>
  <c r="AR166" i="22"/>
  <c r="AM166" i="22"/>
  <c r="AU166" i="22" s="1"/>
  <c r="AF166" i="22"/>
  <c r="AD166" i="22"/>
  <c r="AA166" i="22"/>
  <c r="U166" i="22"/>
  <c r="V166" i="22" s="1"/>
  <c r="R166" i="22"/>
  <c r="O166" i="22"/>
  <c r="N166" i="22"/>
  <c r="J166" i="22"/>
  <c r="I166" i="22"/>
  <c r="H166" i="22" s="1"/>
  <c r="AR165" i="22"/>
  <c r="AM165" i="22"/>
  <c r="AF165" i="22"/>
  <c r="AD165" i="22" s="1"/>
  <c r="AE165" i="22" s="1"/>
  <c r="AA165" i="22"/>
  <c r="U165" i="22"/>
  <c r="V165" i="22" s="1"/>
  <c r="T165" i="22"/>
  <c r="S165" i="22"/>
  <c r="R165" i="22"/>
  <c r="O165" i="22"/>
  <c r="N165" i="22"/>
  <c r="J165" i="22"/>
  <c r="I165" i="22"/>
  <c r="H165" i="22"/>
  <c r="AU164" i="22"/>
  <c r="AT164" i="22"/>
  <c r="AR164" i="22"/>
  <c r="AF164" i="22"/>
  <c r="AD164" i="22"/>
  <c r="AA164" i="22"/>
  <c r="V164" i="22"/>
  <c r="U164" i="22"/>
  <c r="R164" i="22"/>
  <c r="O164" i="22"/>
  <c r="N164" i="22"/>
  <c r="J164" i="22"/>
  <c r="I164" i="22"/>
  <c r="H164" i="22" s="1"/>
  <c r="AU163" i="22"/>
  <c r="AT163" i="22"/>
  <c r="AR163" i="22"/>
  <c r="AF163" i="22"/>
  <c r="AD163" i="22" s="1"/>
  <c r="AE163" i="22" s="1"/>
  <c r="AA163" i="22"/>
  <c r="U163" i="22"/>
  <c r="V163" i="22" s="1"/>
  <c r="T163" i="22"/>
  <c r="S163" i="22"/>
  <c r="R163" i="22"/>
  <c r="O163" i="22"/>
  <c r="N163" i="22"/>
  <c r="J163" i="22"/>
  <c r="I163" i="22"/>
  <c r="H163" i="22"/>
  <c r="AU162" i="22"/>
  <c r="AT162" i="22"/>
  <c r="AS162" i="22"/>
  <c r="AM162" i="22"/>
  <c r="AK162" i="22"/>
  <c r="AR162" i="22" s="1"/>
  <c r="AF162" i="22"/>
  <c r="AD162" i="22"/>
  <c r="AE162" i="22" s="1"/>
  <c r="AA162" i="22"/>
  <c r="U162" i="22"/>
  <c r="R162" i="22"/>
  <c r="O162" i="22"/>
  <c r="N162" i="22"/>
  <c r="J162" i="22"/>
  <c r="I162" i="22"/>
  <c r="H162" i="22"/>
  <c r="T162" i="22" s="1"/>
  <c r="AU161" i="22"/>
  <c r="AT161" i="22"/>
  <c r="AR161" i="22"/>
  <c r="AK161" i="22"/>
  <c r="AD161" i="22"/>
  <c r="AA161" i="22"/>
  <c r="V161" i="22"/>
  <c r="U161" i="22"/>
  <c r="R161" i="22"/>
  <c r="O161" i="22"/>
  <c r="N161" i="22"/>
  <c r="J161" i="22"/>
  <c r="I161" i="22"/>
  <c r="H161" i="22" s="1"/>
  <c r="L161" i="22" s="1"/>
  <c r="AU160" i="22"/>
  <c r="AT160" i="22"/>
  <c r="AK160" i="22"/>
  <c r="AF160" i="22"/>
  <c r="AD160" i="22"/>
  <c r="AE160" i="22" s="1"/>
  <c r="AA160" i="22"/>
  <c r="U160" i="22"/>
  <c r="T160" i="22"/>
  <c r="R160" i="22"/>
  <c r="O160" i="22"/>
  <c r="N160" i="22"/>
  <c r="J160" i="22"/>
  <c r="I160" i="22"/>
  <c r="I170" i="22" s="1"/>
  <c r="H160" i="22"/>
  <c r="W146" i="22"/>
  <c r="U146" i="22"/>
  <c r="R146" i="22"/>
  <c r="O146" i="22"/>
  <c r="N146" i="22"/>
  <c r="AM145" i="22"/>
  <c r="AL145" i="22"/>
  <c r="I147" i="22" s="1"/>
  <c r="AK145" i="22"/>
  <c r="J147" i="22" s="1"/>
  <c r="AJ145" i="22"/>
  <c r="AI145" i="22"/>
  <c r="AH145" i="22"/>
  <c r="AD145" i="22"/>
  <c r="AA145" i="22"/>
  <c r="Z145" i="22"/>
  <c r="Y145" i="22"/>
  <c r="W145" i="22"/>
  <c r="U145" i="22"/>
  <c r="R145" i="22"/>
  <c r="Q145" i="22"/>
  <c r="P145" i="22"/>
  <c r="M145" i="22"/>
  <c r="K145" i="22"/>
  <c r="J145" i="22"/>
  <c r="J148" i="22" s="1"/>
  <c r="AU144" i="22"/>
  <c r="AT144" i="22"/>
  <c r="AS144" i="22"/>
  <c r="AR144" i="22"/>
  <c r="AF144" i="22"/>
  <c r="AD144" i="22" s="1"/>
  <c r="AA144" i="22"/>
  <c r="U144" i="22"/>
  <c r="R144" i="22"/>
  <c r="O144" i="22"/>
  <c r="N144" i="22"/>
  <c r="J144" i="22"/>
  <c r="I144" i="22"/>
  <c r="H144" i="22" s="1"/>
  <c r="AU143" i="22"/>
  <c r="AT143" i="22"/>
  <c r="AS143" i="22"/>
  <c r="AR143" i="22"/>
  <c r="AF143" i="22"/>
  <c r="AD143" i="22"/>
  <c r="AE143" i="22" s="1"/>
  <c r="AC143" i="22"/>
  <c r="AA143" i="22"/>
  <c r="U143" i="22"/>
  <c r="V143" i="22" s="1"/>
  <c r="S143" i="22"/>
  <c r="R143" i="22"/>
  <c r="O143" i="22"/>
  <c r="N143" i="22"/>
  <c r="J143" i="22"/>
  <c r="I143" i="22"/>
  <c r="H143" i="22" s="1"/>
  <c r="AU142" i="22"/>
  <c r="AT142" i="22"/>
  <c r="AS142" i="22"/>
  <c r="AR142" i="22"/>
  <c r="AF142" i="22"/>
  <c r="AD142" i="22"/>
  <c r="AA142" i="22"/>
  <c r="U142" i="22"/>
  <c r="R142" i="22"/>
  <c r="O142" i="22"/>
  <c r="N142" i="22"/>
  <c r="J142" i="22"/>
  <c r="I142" i="22"/>
  <c r="AU141" i="22"/>
  <c r="AT141" i="22"/>
  <c r="AS141" i="22"/>
  <c r="AR141" i="22"/>
  <c r="AF141" i="22"/>
  <c r="AD141" i="22" s="1"/>
  <c r="AE141" i="22" s="1"/>
  <c r="AA141" i="22"/>
  <c r="U141" i="22"/>
  <c r="T141" i="22"/>
  <c r="S141" i="22"/>
  <c r="R141" i="22"/>
  <c r="O141" i="22"/>
  <c r="N141" i="22"/>
  <c r="J141" i="22"/>
  <c r="I141" i="22"/>
  <c r="H141" i="22"/>
  <c r="AU140" i="22"/>
  <c r="AT140" i="22"/>
  <c r="AR140" i="22"/>
  <c r="AF140" i="22"/>
  <c r="AD140" i="22"/>
  <c r="AC140" i="22"/>
  <c r="AA140" i="22"/>
  <c r="V140" i="22"/>
  <c r="U140" i="22"/>
  <c r="R140" i="22"/>
  <c r="O140" i="22"/>
  <c r="N140" i="22"/>
  <c r="L140" i="22"/>
  <c r="J140" i="22"/>
  <c r="H140" i="22" s="1"/>
  <c r="I140" i="22"/>
  <c r="AU139" i="22"/>
  <c r="AT139" i="22"/>
  <c r="AS139" i="22"/>
  <c r="AR139" i="22"/>
  <c r="AF139" i="22"/>
  <c r="AD139" i="22" s="1"/>
  <c r="AE139" i="22" s="1"/>
  <c r="AA139" i="22"/>
  <c r="U139" i="22"/>
  <c r="V139" i="22" s="1"/>
  <c r="T139" i="22"/>
  <c r="S139" i="22"/>
  <c r="R139" i="22"/>
  <c r="O139" i="22"/>
  <c r="N139" i="22"/>
  <c r="J139" i="22"/>
  <c r="I139" i="22"/>
  <c r="H139" i="22"/>
  <c r="AU138" i="22"/>
  <c r="AT138" i="22"/>
  <c r="AS138" i="22"/>
  <c r="AR138" i="22"/>
  <c r="AF138" i="22"/>
  <c r="AD138" i="22"/>
  <c r="AE138" i="22" s="1"/>
  <c r="AA138" i="22"/>
  <c r="U138" i="22"/>
  <c r="V138" i="22" s="1"/>
  <c r="S138" i="22"/>
  <c r="R138" i="22"/>
  <c r="O138" i="22"/>
  <c r="N138" i="22"/>
  <c r="J138" i="22"/>
  <c r="I138" i="22"/>
  <c r="H138" i="22" s="1"/>
  <c r="AU137" i="22"/>
  <c r="AT137" i="22"/>
  <c r="AS137" i="22"/>
  <c r="AR137" i="22"/>
  <c r="AF137" i="22"/>
  <c r="AD137" i="22"/>
  <c r="AA137" i="22"/>
  <c r="U137" i="22"/>
  <c r="V137" i="22" s="1"/>
  <c r="R137" i="22"/>
  <c r="O137" i="22"/>
  <c r="N137" i="22"/>
  <c r="J137" i="22"/>
  <c r="I137" i="22"/>
  <c r="H137" i="22" s="1"/>
  <c r="AU136" i="22"/>
  <c r="AT136" i="22"/>
  <c r="AS136" i="22"/>
  <c r="AR136" i="22"/>
  <c r="AD136" i="22"/>
  <c r="AE136" i="22" s="1"/>
  <c r="AA136" i="22"/>
  <c r="U136" i="22"/>
  <c r="T136" i="22"/>
  <c r="S136" i="22"/>
  <c r="R136" i="22"/>
  <c r="O136" i="22"/>
  <c r="N136" i="22"/>
  <c r="J136" i="22"/>
  <c r="I136" i="22"/>
  <c r="H136" i="22"/>
  <c r="AU135" i="22"/>
  <c r="AT135" i="22"/>
  <c r="AS135" i="22"/>
  <c r="AR135" i="22"/>
  <c r="AF135" i="22"/>
  <c r="AD135" i="22"/>
  <c r="AA135" i="22"/>
  <c r="V135" i="22"/>
  <c r="U135" i="22"/>
  <c r="R135" i="22"/>
  <c r="O135" i="22"/>
  <c r="N135" i="22"/>
  <c r="J135" i="22"/>
  <c r="I135" i="22"/>
  <c r="H135" i="22" s="1"/>
  <c r="J119" i="22"/>
  <c r="H119" i="22" s="1"/>
  <c r="I119" i="22"/>
  <c r="U118" i="22"/>
  <c r="R118" i="22"/>
  <c r="O118" i="22"/>
  <c r="N118" i="22"/>
  <c r="Z117" i="22"/>
  <c r="AD117" i="22" s="1"/>
  <c r="Y117" i="22"/>
  <c r="W117" i="22"/>
  <c r="W118" i="22" s="1"/>
  <c r="Q117" i="22"/>
  <c r="U117" i="22" s="1"/>
  <c r="P117" i="22"/>
  <c r="O117" i="22" s="1"/>
  <c r="M117" i="22"/>
  <c r="K117" i="22"/>
  <c r="AF116" i="22"/>
  <c r="AD116" i="22" s="1"/>
  <c r="AA116" i="22"/>
  <c r="U116" i="22"/>
  <c r="R116" i="22"/>
  <c r="O116" i="22"/>
  <c r="N116" i="22"/>
  <c r="J116" i="22"/>
  <c r="I116" i="22"/>
  <c r="AF115" i="22"/>
  <c r="AD115" i="22"/>
  <c r="AA115" i="22"/>
  <c r="V115" i="22"/>
  <c r="U115" i="22"/>
  <c r="R115" i="22"/>
  <c r="O115" i="22"/>
  <c r="N115" i="22"/>
  <c r="J115" i="22"/>
  <c r="I115" i="22"/>
  <c r="H115" i="22" s="1"/>
  <c r="AF114" i="22"/>
  <c r="AD114" i="22"/>
  <c r="AE114" i="22" s="1"/>
  <c r="AA114" i="22"/>
  <c r="U114" i="22"/>
  <c r="R114" i="22"/>
  <c r="O114" i="22"/>
  <c r="N114" i="22"/>
  <c r="L114" i="22"/>
  <c r="J114" i="22"/>
  <c r="H114" i="22" s="1"/>
  <c r="I114" i="22"/>
  <c r="AF113" i="22"/>
  <c r="AD113" i="22"/>
  <c r="AE113" i="22" s="1"/>
  <c r="AC113" i="22"/>
  <c r="AB113" i="22"/>
  <c r="AA113" i="22"/>
  <c r="U113" i="22"/>
  <c r="V113" i="22" s="1"/>
  <c r="S113" i="22"/>
  <c r="R113" i="22"/>
  <c r="O113" i="22"/>
  <c r="N113" i="22"/>
  <c r="J113" i="22"/>
  <c r="I113" i="22"/>
  <c r="H113" i="22"/>
  <c r="T113" i="22" s="1"/>
  <c r="AF112" i="22"/>
  <c r="AD112" i="22" s="1"/>
  <c r="AE112" i="22" s="1"/>
  <c r="AA112" i="22"/>
  <c r="U112" i="22"/>
  <c r="T112" i="22"/>
  <c r="S112" i="22"/>
  <c r="R112" i="22"/>
  <c r="O112" i="22"/>
  <c r="N112" i="22"/>
  <c r="J112" i="22"/>
  <c r="I112" i="22"/>
  <c r="H112" i="22"/>
  <c r="AF111" i="22"/>
  <c r="AD111" i="22" s="1"/>
  <c r="AE111" i="22" s="1"/>
  <c r="AA111" i="22"/>
  <c r="U111" i="22"/>
  <c r="T111" i="22"/>
  <c r="S111" i="22"/>
  <c r="R111" i="22"/>
  <c r="O111" i="22"/>
  <c r="N111" i="22"/>
  <c r="J111" i="22"/>
  <c r="I111" i="22"/>
  <c r="H111" i="22"/>
  <c r="AF110" i="22"/>
  <c r="AD110" i="22" s="1"/>
  <c r="AA110" i="22"/>
  <c r="U110" i="22"/>
  <c r="V110" i="22" s="1"/>
  <c r="R110" i="22"/>
  <c r="O110" i="22"/>
  <c r="N110" i="22"/>
  <c r="J110" i="22"/>
  <c r="I110" i="22"/>
  <c r="H110" i="22"/>
  <c r="T110" i="22" s="1"/>
  <c r="AF109" i="22"/>
  <c r="AD109" i="22" s="1"/>
  <c r="AE109" i="22" s="1"/>
  <c r="AA109" i="22"/>
  <c r="U109" i="22"/>
  <c r="V109" i="22" s="1"/>
  <c r="T109" i="22"/>
  <c r="R109" i="22"/>
  <c r="O109" i="22"/>
  <c r="N109" i="22"/>
  <c r="L109" i="22"/>
  <c r="J109" i="22"/>
  <c r="I109" i="22"/>
  <c r="H109" i="22"/>
  <c r="AD108" i="22"/>
  <c r="AA108" i="22"/>
  <c r="U108" i="22"/>
  <c r="V108" i="22" s="1"/>
  <c r="R108" i="22"/>
  <c r="O108" i="22"/>
  <c r="N108" i="22"/>
  <c r="J108" i="22"/>
  <c r="J117" i="22" s="1"/>
  <c r="J120" i="22" s="1"/>
  <c r="I108" i="22"/>
  <c r="I117" i="22" s="1"/>
  <c r="H108" i="22"/>
  <c r="T108" i="22" s="1"/>
  <c r="AF107" i="22"/>
  <c r="AD107" i="22" s="1"/>
  <c r="AE107" i="22" s="1"/>
  <c r="AA107" i="22"/>
  <c r="U107" i="22"/>
  <c r="V107" i="22" s="1"/>
  <c r="R107" i="22"/>
  <c r="O107" i="22"/>
  <c r="N107" i="22"/>
  <c r="L107" i="22"/>
  <c r="J107" i="22"/>
  <c r="I107" i="22"/>
  <c r="H107" i="22" s="1"/>
  <c r="J81" i="22"/>
  <c r="I81" i="22"/>
  <c r="H81" i="22"/>
  <c r="U80" i="22"/>
  <c r="R80" i="22"/>
  <c r="O80" i="22"/>
  <c r="N80" i="22"/>
  <c r="AM79" i="22"/>
  <c r="AL79" i="22"/>
  <c r="AK79" i="22"/>
  <c r="AJ79" i="22"/>
  <c r="AI79" i="22"/>
  <c r="AD79" i="22"/>
  <c r="Z79" i="22"/>
  <c r="Y79" i="22"/>
  <c r="W79" i="22"/>
  <c r="W80" i="22" s="1"/>
  <c r="U79" i="22"/>
  <c r="Q79" i="22"/>
  <c r="P79" i="22"/>
  <c r="M79" i="22"/>
  <c r="N79" i="22" s="1"/>
  <c r="K79" i="22"/>
  <c r="AU78" i="22"/>
  <c r="AT78" i="22"/>
  <c r="AS78" i="22"/>
  <c r="AR78" i="22"/>
  <c r="AQ78" i="22"/>
  <c r="AP78" i="22"/>
  <c r="AO78" i="22"/>
  <c r="AF78" i="22"/>
  <c r="AD78" i="22" s="1"/>
  <c r="AE78" i="22" s="1"/>
  <c r="AA78" i="22"/>
  <c r="U78" i="22"/>
  <c r="V78" i="22" s="1"/>
  <c r="R78" i="22"/>
  <c r="O78" i="22"/>
  <c r="N78" i="22"/>
  <c r="J78" i="22"/>
  <c r="I78" i="22"/>
  <c r="H78" i="22"/>
  <c r="L78" i="22" s="1"/>
  <c r="AU77" i="22"/>
  <c r="AT77" i="22"/>
  <c r="AS77" i="22"/>
  <c r="AR77" i="22"/>
  <c r="AQ77" i="22"/>
  <c r="AP77" i="22"/>
  <c r="AO77" i="22"/>
  <c r="AF77" i="22"/>
  <c r="AD77" i="22" s="1"/>
  <c r="AE77" i="22" s="1"/>
  <c r="AA77" i="22"/>
  <c r="U77" i="22"/>
  <c r="V77" i="22" s="1"/>
  <c r="T77" i="22"/>
  <c r="R77" i="22"/>
  <c r="O77" i="22"/>
  <c r="N77" i="22"/>
  <c r="J77" i="22"/>
  <c r="I77" i="22"/>
  <c r="H77" i="22"/>
  <c r="L77" i="22" s="1"/>
  <c r="AU76" i="22"/>
  <c r="AT76" i="22"/>
  <c r="AS76" i="22"/>
  <c r="AR76" i="22"/>
  <c r="AQ76" i="22"/>
  <c r="AP76" i="22"/>
  <c r="AO76" i="22"/>
  <c r="AF76" i="22"/>
  <c r="AD76" i="22" s="1"/>
  <c r="AE76" i="22" s="1"/>
  <c r="AA76" i="22"/>
  <c r="U76" i="22"/>
  <c r="V76" i="22" s="1"/>
  <c r="S76" i="22"/>
  <c r="R76" i="22"/>
  <c r="O76" i="22"/>
  <c r="N76" i="22"/>
  <c r="J76" i="22"/>
  <c r="I76" i="22"/>
  <c r="H76" i="22"/>
  <c r="AC76" i="22" s="1"/>
  <c r="AU75" i="22"/>
  <c r="AT75" i="22"/>
  <c r="AS75" i="22"/>
  <c r="AR75" i="22"/>
  <c r="AQ75" i="22"/>
  <c r="AP75" i="22"/>
  <c r="AO75" i="22"/>
  <c r="AF75" i="22"/>
  <c r="AD75" i="22" s="1"/>
  <c r="AE75" i="22" s="1"/>
  <c r="AA75" i="22"/>
  <c r="U75" i="22"/>
  <c r="V75" i="22" s="1"/>
  <c r="T75" i="22"/>
  <c r="S75" i="22"/>
  <c r="R75" i="22"/>
  <c r="O75" i="22"/>
  <c r="N75" i="22"/>
  <c r="J75" i="22"/>
  <c r="I75" i="22"/>
  <c r="H75" i="22"/>
  <c r="AC75" i="22" s="1"/>
  <c r="AU74" i="22"/>
  <c r="AT74" i="22"/>
  <c r="AS74" i="22"/>
  <c r="AR74" i="22"/>
  <c r="AQ74" i="22"/>
  <c r="AP74" i="22"/>
  <c r="AO74" i="22"/>
  <c r="AF74" i="22"/>
  <c r="AD74" i="22" s="1"/>
  <c r="AE74" i="22" s="1"/>
  <c r="AA74" i="22"/>
  <c r="U74" i="22"/>
  <c r="V74" i="22" s="1"/>
  <c r="S74" i="22"/>
  <c r="R74" i="22"/>
  <c r="O74" i="22"/>
  <c r="N74" i="22"/>
  <c r="J74" i="22"/>
  <c r="I74" i="22"/>
  <c r="H74" i="22"/>
  <c r="AC74" i="22" s="1"/>
  <c r="AU73" i="22"/>
  <c r="AT73" i="22"/>
  <c r="AS73" i="22"/>
  <c r="AR73" i="22"/>
  <c r="AQ73" i="22"/>
  <c r="AP73" i="22"/>
  <c r="AO73" i="22"/>
  <c r="AF73" i="22"/>
  <c r="AD73" i="22" s="1"/>
  <c r="AE73" i="22" s="1"/>
  <c r="AA73" i="22"/>
  <c r="U73" i="22"/>
  <c r="V73" i="22" s="1"/>
  <c r="S73" i="22"/>
  <c r="R73" i="22"/>
  <c r="O73" i="22"/>
  <c r="N73" i="22"/>
  <c r="J73" i="22"/>
  <c r="I73" i="22"/>
  <c r="H73" i="22"/>
  <c r="AC73" i="22" s="1"/>
  <c r="AU72" i="22"/>
  <c r="AT72" i="22"/>
  <c r="AS72" i="22"/>
  <c r="AR72" i="22"/>
  <c r="AQ72" i="22"/>
  <c r="AP72" i="22"/>
  <c r="AO72" i="22"/>
  <c r="AF72" i="22"/>
  <c r="AD72" i="22" s="1"/>
  <c r="AE72" i="22" s="1"/>
  <c r="AA72" i="22"/>
  <c r="U72" i="22"/>
  <c r="V72" i="22" s="1"/>
  <c r="S72" i="22"/>
  <c r="R72" i="22"/>
  <c r="O72" i="22"/>
  <c r="N72" i="22"/>
  <c r="J72" i="22"/>
  <c r="I72" i="22"/>
  <c r="H72" i="22"/>
  <c r="AC72" i="22" s="1"/>
  <c r="AU71" i="22"/>
  <c r="AT71" i="22"/>
  <c r="AS71" i="22"/>
  <c r="AR71" i="22"/>
  <c r="AQ71" i="22"/>
  <c r="AO71" i="22"/>
  <c r="AF71" i="22"/>
  <c r="AD71" i="22" s="1"/>
  <c r="AE71" i="22" s="1"/>
  <c r="AA71" i="22"/>
  <c r="U71" i="22"/>
  <c r="V71" i="22" s="1"/>
  <c r="T71" i="22"/>
  <c r="S71" i="22"/>
  <c r="R71" i="22"/>
  <c r="O71" i="22"/>
  <c r="N71" i="22"/>
  <c r="J71" i="22"/>
  <c r="I71" i="22"/>
  <c r="H71" i="22"/>
  <c r="AC71" i="22" s="1"/>
  <c r="AU70" i="22"/>
  <c r="AT70" i="22"/>
  <c r="AS70" i="22"/>
  <c r="AR70" i="22"/>
  <c r="AQ70" i="22"/>
  <c r="AO70" i="22"/>
  <c r="AD70" i="22"/>
  <c r="AE70" i="22" s="1"/>
  <c r="AA70" i="22"/>
  <c r="U70" i="22"/>
  <c r="V70" i="22" s="1"/>
  <c r="S70" i="22"/>
  <c r="R70" i="22"/>
  <c r="O70" i="22"/>
  <c r="N70" i="22"/>
  <c r="J70" i="22"/>
  <c r="I70" i="22"/>
  <c r="H70" i="22"/>
  <c r="AB70" i="22" s="1"/>
  <c r="AU69" i="22"/>
  <c r="AT69" i="22"/>
  <c r="AR69" i="22"/>
  <c r="AQ69" i="22"/>
  <c r="AO69" i="22"/>
  <c r="AF69" i="22"/>
  <c r="AD69" i="22"/>
  <c r="AE69" i="22" s="1"/>
  <c r="AA69" i="22"/>
  <c r="U69" i="22"/>
  <c r="V69" i="22" s="1"/>
  <c r="S69" i="22"/>
  <c r="R69" i="22"/>
  <c r="O69" i="22"/>
  <c r="N69" i="22"/>
  <c r="J69" i="22"/>
  <c r="I69" i="22"/>
  <c r="H69" i="22"/>
  <c r="AB69" i="22" s="1"/>
  <c r="W42" i="22"/>
  <c r="V42" i="22"/>
  <c r="U42" i="22"/>
  <c r="R42" i="22"/>
  <c r="O42" i="22"/>
  <c r="N42" i="22"/>
  <c r="L42" i="22"/>
  <c r="Z41" i="22"/>
  <c r="AA41" i="22" s="1"/>
  <c r="Y41" i="22"/>
  <c r="W41" i="22"/>
  <c r="Q41" i="22"/>
  <c r="R41" i="22" s="1"/>
  <c r="P41" i="22"/>
  <c r="O41" i="22"/>
  <c r="N41" i="22"/>
  <c r="M41" i="22"/>
  <c r="K41" i="22"/>
  <c r="J41" i="22"/>
  <c r="I41" i="22"/>
  <c r="H41" i="22"/>
  <c r="T42" i="22" s="1"/>
  <c r="U40" i="22"/>
  <c r="V40" i="22" s="1"/>
  <c r="R40" i="22"/>
  <c r="O40" i="22"/>
  <c r="N40" i="22"/>
  <c r="H40" i="22"/>
  <c r="S40" i="22" s="1"/>
  <c r="AF39" i="22"/>
  <c r="AD39" i="22" s="1"/>
  <c r="AE39" i="22" s="1"/>
  <c r="AA39" i="22"/>
  <c r="U39" i="22"/>
  <c r="V39" i="22" s="1"/>
  <c r="T39" i="22"/>
  <c r="R39" i="22"/>
  <c r="O39" i="22"/>
  <c r="N39" i="22"/>
  <c r="H39" i="22"/>
  <c r="AC39" i="22" s="1"/>
  <c r="AD38" i="22"/>
  <c r="AE38" i="22" s="1"/>
  <c r="AC38" i="22"/>
  <c r="AA38" i="22"/>
  <c r="U38" i="22"/>
  <c r="V38" i="22" s="1"/>
  <c r="T38" i="22"/>
  <c r="S38" i="22"/>
  <c r="R38" i="22"/>
  <c r="O38" i="22"/>
  <c r="N38" i="22"/>
  <c r="L38" i="22"/>
  <c r="H38" i="22"/>
  <c r="AB38" i="22" s="1"/>
  <c r="AD37" i="22"/>
  <c r="AE37" i="22" s="1"/>
  <c r="AC37" i="22"/>
  <c r="AB37" i="22"/>
  <c r="AA37" i="22"/>
  <c r="U37" i="22"/>
  <c r="V37" i="22" s="1"/>
  <c r="T37" i="22"/>
  <c r="S37" i="22"/>
  <c r="R37" i="22"/>
  <c r="O37" i="22"/>
  <c r="N37" i="22"/>
  <c r="L37" i="22"/>
  <c r="H37" i="22"/>
  <c r="U20" i="22"/>
  <c r="V20" i="22" s="1"/>
  <c r="R20" i="22"/>
  <c r="O20" i="22"/>
  <c r="N20" i="22"/>
  <c r="AA19" i="22"/>
  <c r="Z19" i="22"/>
  <c r="Y19" i="22"/>
  <c r="W19" i="22"/>
  <c r="W20" i="22" s="1"/>
  <c r="U19" i="22"/>
  <c r="V19" i="22" s="1"/>
  <c r="R19" i="22"/>
  <c r="Q19" i="22"/>
  <c r="P19" i="22"/>
  <c r="M19" i="22"/>
  <c r="O19" i="22" s="1"/>
  <c r="K19" i="22"/>
  <c r="J19" i="22"/>
  <c r="H19" i="22" s="1"/>
  <c r="I19" i="22"/>
  <c r="AF18" i="22"/>
  <c r="AD18" i="22"/>
  <c r="AE18" i="22" s="1"/>
  <c r="AC18" i="22"/>
  <c r="AB18" i="22"/>
  <c r="AA18" i="22"/>
  <c r="U18" i="22"/>
  <c r="V18" i="22" s="1"/>
  <c r="T18" i="22"/>
  <c r="S18" i="22"/>
  <c r="R18" i="22"/>
  <c r="O18" i="22"/>
  <c r="N18" i="22"/>
  <c r="L18" i="22"/>
  <c r="H18" i="22"/>
  <c r="AF17" i="22"/>
  <c r="AD17" i="22"/>
  <c r="AE17" i="22" s="1"/>
  <c r="AC17" i="22"/>
  <c r="AB17" i="22"/>
  <c r="AA17" i="22"/>
  <c r="U17" i="22"/>
  <c r="R17" i="22"/>
  <c r="O17" i="22"/>
  <c r="N17" i="22"/>
  <c r="L17" i="22"/>
  <c r="H17" i="22"/>
  <c r="T17" i="22" s="1"/>
  <c r="AF16" i="22"/>
  <c r="AD16" i="22"/>
  <c r="AE16" i="22" s="1"/>
  <c r="AA16" i="22"/>
  <c r="U16" i="22"/>
  <c r="R16" i="22"/>
  <c r="O16" i="22"/>
  <c r="N16" i="22"/>
  <c r="H16" i="22"/>
  <c r="T16" i="22" s="1"/>
  <c r="AF15" i="22"/>
  <c r="AD15" i="22" s="1"/>
  <c r="AE15" i="22" s="1"/>
  <c r="AA15" i="22"/>
  <c r="U15" i="22"/>
  <c r="V15" i="22" s="1"/>
  <c r="R15" i="22"/>
  <c r="O15" i="22"/>
  <c r="S15" i="22"/>
  <c r="Q113" i="21" l="1"/>
  <c r="I113" i="21"/>
  <c r="X113" i="21"/>
  <c r="Y170" i="21"/>
  <c r="I170" i="21"/>
  <c r="Q170" i="21"/>
  <c r="L102" i="21"/>
  <c r="Y169" i="21"/>
  <c r="S59" i="21"/>
  <c r="S60" i="21"/>
  <c r="L61" i="21"/>
  <c r="Q86" i="21"/>
  <c r="E143" i="21"/>
  <c r="S143" i="21" s="1"/>
  <c r="W143" i="21"/>
  <c r="S151" i="21"/>
  <c r="Q169" i="21"/>
  <c r="Q36" i="21"/>
  <c r="S86" i="21"/>
  <c r="L89" i="21"/>
  <c r="E133" i="21"/>
  <c r="X133" i="21" s="1"/>
  <c r="E134" i="21"/>
  <c r="X134" i="21" s="1"/>
  <c r="AA151" i="21"/>
  <c r="L161" i="21"/>
  <c r="Y60" i="21"/>
  <c r="X169" i="21"/>
  <c r="I60" i="21"/>
  <c r="S89" i="21"/>
  <c r="AD14" i="21"/>
  <c r="K36" i="21"/>
  <c r="AA44" i="21"/>
  <c r="O47" i="21"/>
  <c r="P58" i="21"/>
  <c r="X72" i="21"/>
  <c r="S73" i="21"/>
  <c r="Y88" i="21"/>
  <c r="W101" i="21"/>
  <c r="K134" i="21"/>
  <c r="S142" i="21"/>
  <c r="X142" i="21"/>
  <c r="Y160" i="21"/>
  <c r="AA169" i="21"/>
  <c r="Z170" i="21"/>
  <c r="AA170" i="21" s="1"/>
  <c r="W36" i="21"/>
  <c r="X35" i="21"/>
  <c r="AA46" i="21"/>
  <c r="Q58" i="21"/>
  <c r="Y72" i="21"/>
  <c r="O75" i="21"/>
  <c r="I88" i="21"/>
  <c r="G92" i="21"/>
  <c r="AA100" i="21"/>
  <c r="Z101" i="21"/>
  <c r="L134" i="21"/>
  <c r="I142" i="21"/>
  <c r="Y142" i="21"/>
  <c r="O143" i="21"/>
  <c r="I160" i="21"/>
  <c r="W179" i="21"/>
  <c r="O15" i="21"/>
  <c r="AA60" i="21"/>
  <c r="L75" i="21"/>
  <c r="Z47" i="21"/>
  <c r="F50" i="21"/>
  <c r="S58" i="21"/>
  <c r="X61" i="21"/>
  <c r="AA72" i="21"/>
  <c r="AA73" i="21"/>
  <c r="P86" i="21"/>
  <c r="E89" i="21"/>
  <c r="P89" i="21" s="1"/>
  <c r="S113" i="21"/>
  <c r="AA142" i="21"/>
  <c r="Q151" i="21"/>
  <c r="E161" i="21"/>
  <c r="P169" i="21"/>
  <c r="X152" i="21"/>
  <c r="Q152" i="21"/>
  <c r="I152" i="21"/>
  <c r="Y152" i="21"/>
  <c r="P152" i="21"/>
  <c r="AB76" i="21"/>
  <c r="Z76" i="21" s="1"/>
  <c r="R76" i="21"/>
  <c r="I87" i="21"/>
  <c r="Y87" i="21"/>
  <c r="X87" i="21"/>
  <c r="Q87" i="21"/>
  <c r="AA87" i="21"/>
  <c r="P87" i="21"/>
  <c r="Y101" i="21"/>
  <c r="P101" i="21"/>
  <c r="X101" i="21"/>
  <c r="Q101" i="21"/>
  <c r="Y36" i="21"/>
  <c r="P36" i="21"/>
  <c r="X36" i="21"/>
  <c r="S36" i="21"/>
  <c r="Y61" i="21"/>
  <c r="I101" i="21"/>
  <c r="AA101" i="21"/>
  <c r="R102" i="21"/>
  <c r="O102" i="21"/>
  <c r="K143" i="21"/>
  <c r="U15" i="21"/>
  <c r="V15" i="21" s="1"/>
  <c r="R15" i="21"/>
  <c r="Y59" i="21"/>
  <c r="X59" i="21"/>
  <c r="I59" i="21"/>
  <c r="Q59" i="21"/>
  <c r="AA59" i="21"/>
  <c r="P59" i="21"/>
  <c r="E90" i="21"/>
  <c r="E92" i="21"/>
  <c r="Q89" i="21"/>
  <c r="E102" i="21"/>
  <c r="R152" i="21"/>
  <c r="S152" i="21" s="1"/>
  <c r="O152" i="21"/>
  <c r="T15" i="21"/>
  <c r="L15" i="21"/>
  <c r="AB15" i="21"/>
  <c r="S15" i="21"/>
  <c r="AA15" i="21"/>
  <c r="O179" i="21"/>
  <c r="Q62" i="21"/>
  <c r="P62" i="21"/>
  <c r="Q61" i="21"/>
  <c r="P74" i="21"/>
  <c r="X74" i="21"/>
  <c r="Y74" i="21"/>
  <c r="Q74" i="21"/>
  <c r="AA74" i="21"/>
  <c r="Z102" i="21"/>
  <c r="W102" i="21"/>
  <c r="AA152" i="21"/>
  <c r="I178" i="21"/>
  <c r="Y178" i="21"/>
  <c r="X178" i="21"/>
  <c r="Q178" i="21"/>
  <c r="AA178" i="21"/>
  <c r="P178" i="21"/>
  <c r="Q179" i="21"/>
  <c r="I179" i="21"/>
  <c r="P179" i="21"/>
  <c r="Y179" i="21"/>
  <c r="X179" i="21"/>
  <c r="AB90" i="21"/>
  <c r="Z90" i="21" s="1"/>
  <c r="R90" i="21"/>
  <c r="AD15" i="21"/>
  <c r="L36" i="21"/>
  <c r="L47" i="21"/>
  <c r="I74" i="21"/>
  <c r="I89" i="21"/>
  <c r="Z89" i="21"/>
  <c r="AA89" i="21" s="1"/>
  <c r="Y133" i="21"/>
  <c r="I133" i="21"/>
  <c r="P133" i="21"/>
  <c r="O134" i="21"/>
  <c r="X143" i="21"/>
  <c r="Q143" i="21"/>
  <c r="I143" i="21"/>
  <c r="W152" i="21"/>
  <c r="Y161" i="21"/>
  <c r="AA179" i="21"/>
  <c r="Z15" i="21"/>
  <c r="P45" i="21"/>
  <c r="Y45" i="21"/>
  <c r="X45" i="21"/>
  <c r="Q45" i="21"/>
  <c r="AA45" i="21"/>
  <c r="S62" i="21"/>
  <c r="G78" i="21"/>
  <c r="E75" i="21"/>
  <c r="S75" i="21" s="1"/>
  <c r="X89" i="21"/>
  <c r="S101" i="21"/>
  <c r="F103" i="21"/>
  <c r="Q134" i="21"/>
  <c r="I134" i="21"/>
  <c r="AA161" i="21"/>
  <c r="Q35" i="21"/>
  <c r="P35" i="21"/>
  <c r="I35" i="21"/>
  <c r="S35" i="21"/>
  <c r="AA35" i="21"/>
  <c r="I45" i="21"/>
  <c r="I61" i="21"/>
  <c r="Z61" i="21"/>
  <c r="AA61" i="21" s="1"/>
  <c r="E64" i="21"/>
  <c r="Z75" i="21"/>
  <c r="Y89" i="21"/>
  <c r="S46" i="21"/>
  <c r="G48" i="21"/>
  <c r="F62" i="21"/>
  <c r="F90" i="21"/>
  <c r="S14" i="21"/>
  <c r="P44" i="21"/>
  <c r="I46" i="21"/>
  <c r="O61" i="21"/>
  <c r="W61" i="21"/>
  <c r="G62" i="21"/>
  <c r="P73" i="21"/>
  <c r="O89" i="21"/>
  <c r="W89" i="21"/>
  <c r="P100" i="21"/>
  <c r="P151" i="21"/>
  <c r="O161" i="21"/>
  <c r="F64" i="21"/>
  <c r="G103" i="21"/>
  <c r="L14" i="21"/>
  <c r="I44" i="21"/>
  <c r="P46" i="21"/>
  <c r="K61" i="21"/>
  <c r="I73" i="21"/>
  <c r="K89" i="21"/>
  <c r="I100" i="21"/>
  <c r="Q142" i="21"/>
  <c r="I151" i="21"/>
  <c r="K161" i="21"/>
  <c r="AA14" i="21"/>
  <c r="X44" i="21"/>
  <c r="E47" i="21"/>
  <c r="P60" i="21"/>
  <c r="X73" i="21"/>
  <c r="P88" i="21"/>
  <c r="AA88" i="21"/>
  <c r="X100" i="21"/>
  <c r="P113" i="21"/>
  <c r="AA113" i="21"/>
  <c r="X151" i="21"/>
  <c r="P160" i="21"/>
  <c r="AA160" i="21"/>
  <c r="S169" i="21"/>
  <c r="X170" i="21"/>
  <c r="Y113" i="21"/>
  <c r="P170" i="21"/>
  <c r="I24" i="20"/>
  <c r="Y24" i="20"/>
  <c r="P24" i="20"/>
  <c r="X24" i="20"/>
  <c r="S84" i="20"/>
  <c r="AA24" i="20"/>
  <c r="Q116" i="20"/>
  <c r="I116" i="20"/>
  <c r="Y116" i="20"/>
  <c r="P116" i="20"/>
  <c r="X116" i="20"/>
  <c r="Y115" i="20"/>
  <c r="X115" i="20"/>
  <c r="S115" i="20"/>
  <c r="I115" i="20"/>
  <c r="Q115" i="20"/>
  <c r="P115" i="20"/>
  <c r="AA116" i="20"/>
  <c r="N24" i="20"/>
  <c r="P62" i="20"/>
  <c r="Y62" i="20"/>
  <c r="X72" i="20"/>
  <c r="P83" i="20"/>
  <c r="AA83" i="20"/>
  <c r="P93" i="20"/>
  <c r="AA93" i="20"/>
  <c r="R106" i="20"/>
  <c r="Z15" i="20"/>
  <c r="Q83" i="20"/>
  <c r="Q62" i="20"/>
  <c r="Y72" i="20"/>
  <c r="E84" i="20"/>
  <c r="Q93" i="20"/>
  <c r="R15" i="20"/>
  <c r="AA15" i="20"/>
  <c r="W23" i="20"/>
  <c r="W42" i="20"/>
  <c r="P72" i="20"/>
  <c r="I94" i="20"/>
  <c r="S15" i="20"/>
  <c r="AB15" i="20"/>
  <c r="S62" i="20"/>
  <c r="AA72" i="20"/>
  <c r="S83" i="20"/>
  <c r="S93" i="20"/>
  <c r="E106" i="20"/>
  <c r="AA106" i="20" s="1"/>
  <c r="L15" i="20"/>
  <c r="Q42" i="20"/>
  <c r="Y52" i="20"/>
  <c r="X83" i="20"/>
  <c r="X93" i="20"/>
  <c r="P94" i="20"/>
  <c r="I105" i="20"/>
  <c r="O23" i="20"/>
  <c r="I62" i="20"/>
  <c r="S14" i="20"/>
  <c r="S42" i="20"/>
  <c r="P52" i="20"/>
  <c r="E95" i="20"/>
  <c r="I197" i="22"/>
  <c r="H170" i="22"/>
  <c r="V171" i="22" s="1"/>
  <c r="L20" i="22"/>
  <c r="T19" i="22"/>
  <c r="L19" i="22"/>
  <c r="S20" i="22"/>
  <c r="S19" i="22"/>
  <c r="AC19" i="22"/>
  <c r="AB19" i="22"/>
  <c r="T20" i="22"/>
  <c r="I120" i="22"/>
  <c r="H117" i="22"/>
  <c r="T242" i="22"/>
  <c r="AC241" i="22"/>
  <c r="T241" i="22"/>
  <c r="L241" i="22"/>
  <c r="L242" i="22"/>
  <c r="AB241" i="22"/>
  <c r="S241" i="22"/>
  <c r="S242" i="22"/>
  <c r="AC144" i="22"/>
  <c r="AB144" i="22"/>
  <c r="L144" i="22"/>
  <c r="T144" i="22"/>
  <c r="S144" i="22"/>
  <c r="AE144" i="22"/>
  <c r="V144" i="22"/>
  <c r="AB160" i="22"/>
  <c r="L160" i="22"/>
  <c r="AC160" i="22"/>
  <c r="T69" i="22"/>
  <c r="T70" i="22"/>
  <c r="V112" i="22"/>
  <c r="T115" i="22"/>
  <c r="S115" i="22"/>
  <c r="AB161" i="22"/>
  <c r="AC162" i="22"/>
  <c r="V185" i="22"/>
  <c r="AC189" i="22"/>
  <c r="AE212" i="22"/>
  <c r="S216" i="22"/>
  <c r="AC216" i="22"/>
  <c r="T216" i="22"/>
  <c r="L216" i="22"/>
  <c r="AB216" i="22"/>
  <c r="AC235" i="22"/>
  <c r="AB235" i="22"/>
  <c r="L235" i="22"/>
  <c r="S235" i="22"/>
  <c r="AE235" i="22"/>
  <c r="T235" i="22"/>
  <c r="AC306" i="22"/>
  <c r="AB306" i="22"/>
  <c r="L306" i="22"/>
  <c r="AE306" i="22"/>
  <c r="S306" i="22"/>
  <c r="N19" i="22"/>
  <c r="I79" i="22"/>
  <c r="AB115" i="22"/>
  <c r="T138" i="22"/>
  <c r="L138" i="22"/>
  <c r="J170" i="22"/>
  <c r="J173" i="22" s="1"/>
  <c r="AE161" i="22"/>
  <c r="AB163" i="22"/>
  <c r="L163" i="22"/>
  <c r="AC163" i="22"/>
  <c r="T164" i="22"/>
  <c r="S164" i="22"/>
  <c r="T366" i="22"/>
  <c r="S366" i="22"/>
  <c r="L366" i="22"/>
  <c r="AC366" i="22"/>
  <c r="S517" i="22"/>
  <c r="T517" i="22"/>
  <c r="T15" i="22"/>
  <c r="V17" i="22"/>
  <c r="S39" i="22"/>
  <c r="T40" i="22"/>
  <c r="U41" i="22"/>
  <c r="V41" i="22" s="1"/>
  <c r="AD41" i="22"/>
  <c r="AE41" i="22" s="1"/>
  <c r="AC69" i="22"/>
  <c r="AC70" i="22"/>
  <c r="S77" i="22"/>
  <c r="T78" i="22"/>
  <c r="T114" i="22"/>
  <c r="S114" i="22"/>
  <c r="V114" i="22"/>
  <c r="AC114" i="22"/>
  <c r="H116" i="22"/>
  <c r="AE116" i="22" s="1"/>
  <c r="S160" i="22"/>
  <c r="AM170" i="22"/>
  <c r="AT170" i="22" s="1"/>
  <c r="AA170" i="22"/>
  <c r="AD170" i="22"/>
  <c r="L186" i="22"/>
  <c r="AB186" i="22"/>
  <c r="V186" i="22"/>
  <c r="J192" i="22"/>
  <c r="AC234" i="22"/>
  <c r="AB234" i="22"/>
  <c r="L234" i="22"/>
  <c r="AE234" i="22"/>
  <c r="V234" i="22"/>
  <c r="T344" i="22"/>
  <c r="S344" i="22"/>
  <c r="L344" i="22"/>
  <c r="AC344" i="22"/>
  <c r="AB344" i="22"/>
  <c r="AE368" i="22"/>
  <c r="AC108" i="22"/>
  <c r="AB108" i="22"/>
  <c r="AE108" i="22"/>
  <c r="S108" i="22"/>
  <c r="V117" i="22"/>
  <c r="L162" i="22"/>
  <c r="AB162" i="22"/>
  <c r="V162" i="22"/>
  <c r="AU165" i="22"/>
  <c r="AT165" i="22"/>
  <c r="AC212" i="22"/>
  <c r="AB212" i="22"/>
  <c r="L212" i="22"/>
  <c r="V212" i="22"/>
  <c r="AB237" i="22"/>
  <c r="L237" i="22"/>
  <c r="AC237" i="22"/>
  <c r="V237" i="22"/>
  <c r="V242" i="22"/>
  <c r="V16" i="22"/>
  <c r="L305" i="22"/>
  <c r="AC305" i="22"/>
  <c r="AB305" i="22"/>
  <c r="AE305" i="22"/>
  <c r="R368" i="22"/>
  <c r="AC110" i="22"/>
  <c r="AB110" i="22"/>
  <c r="L110" i="22"/>
  <c r="T72" i="22"/>
  <c r="T135" i="22"/>
  <c r="S135" i="22"/>
  <c r="L16" i="22"/>
  <c r="T73" i="22"/>
  <c r="R117" i="22"/>
  <c r="T74" i="22"/>
  <c r="V160" i="22"/>
  <c r="AB189" i="22"/>
  <c r="AD217" i="22"/>
  <c r="AA217" i="22"/>
  <c r="I368" i="22"/>
  <c r="H368" i="22" s="1"/>
  <c r="H365" i="22"/>
  <c r="L15" i="22"/>
  <c r="L40" i="22"/>
  <c r="L112" i="22"/>
  <c r="AB112" i="22"/>
  <c r="L136" i="22"/>
  <c r="AB136" i="22"/>
  <c r="S166" i="22"/>
  <c r="AC166" i="22"/>
  <c r="T166" i="22"/>
  <c r="L39" i="22"/>
  <c r="L135" i="22"/>
  <c r="S137" i="22"/>
  <c r="AC137" i="22"/>
  <c r="T137" i="22"/>
  <c r="O145" i="22"/>
  <c r="N145" i="22"/>
  <c r="AB165" i="22"/>
  <c r="L165" i="22"/>
  <c r="AC165" i="22"/>
  <c r="R194" i="22"/>
  <c r="U194" i="22"/>
  <c r="AB366" i="22"/>
  <c r="AC15" i="22"/>
  <c r="S17" i="22"/>
  <c r="AF19" i="22"/>
  <c r="AD19" i="22" s="1"/>
  <c r="AE19" i="22" s="1"/>
  <c r="AB39" i="22"/>
  <c r="J79" i="22"/>
  <c r="J82" i="22" s="1"/>
  <c r="L71" i="22"/>
  <c r="L72" i="22"/>
  <c r="L73" i="22"/>
  <c r="L74" i="22"/>
  <c r="L75" i="22"/>
  <c r="L76" i="22"/>
  <c r="AB77" i="22"/>
  <c r="AC78" i="22"/>
  <c r="O79" i="22"/>
  <c r="AC109" i="22"/>
  <c r="AB109" i="22"/>
  <c r="S109" i="22"/>
  <c r="AC112" i="22"/>
  <c r="L115" i="22"/>
  <c r="AC115" i="22"/>
  <c r="V118" i="22"/>
  <c r="AE135" i="22"/>
  <c r="AC136" i="22"/>
  <c r="AB137" i="22"/>
  <c r="AC138" i="22"/>
  <c r="AC139" i="22"/>
  <c r="AB139" i="22"/>
  <c r="L139" i="22"/>
  <c r="AB164" i="22"/>
  <c r="L166" i="22"/>
  <c r="AE166" i="22"/>
  <c r="AB168" i="22"/>
  <c r="L168" i="22"/>
  <c r="AC168" i="22"/>
  <c r="V168" i="22"/>
  <c r="T169" i="22"/>
  <c r="S169" i="22"/>
  <c r="AC259" i="22"/>
  <c r="AE259" i="22"/>
  <c r="AB259" i="22"/>
  <c r="S259" i="22"/>
  <c r="T259" i="22"/>
  <c r="AB278" i="22"/>
  <c r="L278" i="22"/>
  <c r="S278" i="22"/>
  <c r="T278" i="22"/>
  <c r="AC278" i="22"/>
  <c r="AB279" i="22"/>
  <c r="L279" i="22"/>
  <c r="S279" i="22"/>
  <c r="AC279" i="22"/>
  <c r="T279" i="22"/>
  <c r="L282" i="22"/>
  <c r="AC282" i="22"/>
  <c r="AB282" i="22"/>
  <c r="AE282" i="22"/>
  <c r="V282" i="22"/>
  <c r="S305" i="22"/>
  <c r="V324" i="22"/>
  <c r="AC324" i="22"/>
  <c r="AB324" i="22"/>
  <c r="L324" i="22"/>
  <c r="AE324" i="22"/>
  <c r="S346" i="22"/>
  <c r="AB346" i="22"/>
  <c r="AC346" i="22"/>
  <c r="L346" i="22"/>
  <c r="T346" i="22"/>
  <c r="T385" i="22"/>
  <c r="S385" i="22"/>
  <c r="AC385" i="22"/>
  <c r="L385" i="22"/>
  <c r="AB385" i="22"/>
  <c r="AE142" i="22"/>
  <c r="T76" i="22"/>
  <c r="S161" i="22"/>
  <c r="AC161" i="22"/>
  <c r="T161" i="22"/>
  <c r="T189" i="22"/>
  <c r="S189" i="22"/>
  <c r="AB16" i="22"/>
  <c r="AB135" i="22"/>
  <c r="AE237" i="22"/>
  <c r="U261" i="22"/>
  <c r="V261" i="22" s="1"/>
  <c r="R261" i="22"/>
  <c r="AC16" i="22"/>
  <c r="L108" i="22"/>
  <c r="AE110" i="22"/>
  <c r="AB166" i="22"/>
  <c r="S16" i="22"/>
  <c r="S41" i="22"/>
  <c r="AB41" i="22"/>
  <c r="S42" i="22"/>
  <c r="L69" i="22"/>
  <c r="L70" i="22"/>
  <c r="AB71" i="22"/>
  <c r="AB72" i="22"/>
  <c r="AB73" i="22"/>
  <c r="AB74" i="22"/>
  <c r="AB75" i="22"/>
  <c r="AB76" i="22"/>
  <c r="AC77" i="22"/>
  <c r="S107" i="22"/>
  <c r="AC107" i="22"/>
  <c r="T107" i="22"/>
  <c r="AB111" i="22"/>
  <c r="L111" i="22"/>
  <c r="AC111" i="22"/>
  <c r="V111" i="22"/>
  <c r="AE115" i="22"/>
  <c r="AE117" i="22"/>
  <c r="L137" i="22"/>
  <c r="AE137" i="22"/>
  <c r="AB141" i="22"/>
  <c r="L141" i="22"/>
  <c r="AC141" i="22"/>
  <c r="V141" i="22"/>
  <c r="H147" i="22"/>
  <c r="L164" i="22"/>
  <c r="AC164" i="22"/>
  <c r="AB169" i="22"/>
  <c r="S186" i="22"/>
  <c r="S234" i="22"/>
  <c r="L259" i="22"/>
  <c r="T305" i="22"/>
  <c r="I347" i="22"/>
  <c r="AC258" i="22"/>
  <c r="AB258" i="22"/>
  <c r="S258" i="22"/>
  <c r="L258" i="22"/>
  <c r="V136" i="22"/>
  <c r="AB185" i="22"/>
  <c r="L185" i="22"/>
  <c r="AC185" i="22"/>
  <c r="AB78" i="22"/>
  <c r="AA79" i="22"/>
  <c r="AC135" i="22"/>
  <c r="AB138" i="22"/>
  <c r="R170" i="22"/>
  <c r="U170" i="22"/>
  <c r="AE189" i="22"/>
  <c r="AB213" i="22"/>
  <c r="L213" i="22"/>
  <c r="AC213" i="22"/>
  <c r="S213" i="22"/>
  <c r="T213" i="22"/>
  <c r="AD241" i="22"/>
  <c r="AE241" i="22" s="1"/>
  <c r="AA241" i="22"/>
  <c r="L41" i="22"/>
  <c r="T41" i="22"/>
  <c r="AC41" i="22"/>
  <c r="S78" i="22"/>
  <c r="R79" i="22"/>
  <c r="AB107" i="22"/>
  <c r="S110" i="22"/>
  <c r="AB114" i="22"/>
  <c r="N117" i="22"/>
  <c r="AA117" i="22"/>
  <c r="T140" i="22"/>
  <c r="AE140" i="22"/>
  <c r="S140" i="22"/>
  <c r="AB140" i="22"/>
  <c r="H142" i="22"/>
  <c r="V142" i="22" s="1"/>
  <c r="T143" i="22"/>
  <c r="L143" i="22"/>
  <c r="AB143" i="22"/>
  <c r="AK170" i="22"/>
  <c r="J172" i="22" s="1"/>
  <c r="AR160" i="22"/>
  <c r="S162" i="22"/>
  <c r="AE164" i="22"/>
  <c r="L169" i="22"/>
  <c r="AC169" i="22"/>
  <c r="T186" i="22"/>
  <c r="T190" i="22"/>
  <c r="S190" i="22"/>
  <c r="AB190" i="22"/>
  <c r="H192" i="22"/>
  <c r="H211" i="22"/>
  <c r="AE211" i="22" s="1"/>
  <c r="S212" i="22"/>
  <c r="I217" i="22"/>
  <c r="H217" i="22" s="1"/>
  <c r="T234" i="22"/>
  <c r="S237" i="22"/>
  <c r="L113" i="22"/>
  <c r="I145" i="22"/>
  <c r="V167" i="22"/>
  <c r="L187" i="22"/>
  <c r="V188" i="22"/>
  <c r="V189" i="22"/>
  <c r="H191" i="22"/>
  <c r="V217" i="22"/>
  <c r="L238" i="22"/>
  <c r="V238" i="22"/>
  <c r="H239" i="22"/>
  <c r="R241" i="22"/>
  <c r="AD261" i="22"/>
  <c r="I307" i="22"/>
  <c r="H307" i="22" s="1"/>
  <c r="H303" i="22"/>
  <c r="AB408" i="22"/>
  <c r="T408" i="22"/>
  <c r="S408" i="22"/>
  <c r="AC408" i="22"/>
  <c r="H478" i="22"/>
  <c r="L478" i="22" s="1"/>
  <c r="T390" i="22"/>
  <c r="AE390" i="22"/>
  <c r="S390" i="22"/>
  <c r="AB409" i="22"/>
  <c r="L409" i="22"/>
  <c r="AC409" i="22"/>
  <c r="H430" i="22"/>
  <c r="AB431" i="22"/>
  <c r="L431" i="22"/>
  <c r="S386" i="22"/>
  <c r="N498" i="22"/>
  <c r="I392" i="22"/>
  <c r="H392" i="22" s="1"/>
  <c r="AC410" i="22"/>
  <c r="L410" i="22"/>
  <c r="S410" i="22"/>
  <c r="T410" i="22"/>
  <c r="AB410" i="22"/>
  <c r="AC411" i="22"/>
  <c r="L411" i="22"/>
  <c r="AB411" i="22"/>
  <c r="AA413" i="22"/>
  <c r="AC427" i="22"/>
  <c r="L427" i="22"/>
  <c r="S427" i="22"/>
  <c r="AE427" i="22"/>
  <c r="AB427" i="22"/>
  <c r="L517" i="22"/>
  <c r="AB386" i="22"/>
  <c r="L386" i="22"/>
  <c r="AC386" i="22"/>
  <c r="O434" i="22"/>
  <c r="T455" i="22"/>
  <c r="L455" i="22"/>
  <c r="S455" i="22"/>
  <c r="AC495" i="22"/>
  <c r="L495" i="22"/>
  <c r="AB495" i="22"/>
  <c r="S495" i="22"/>
  <c r="T495" i="22"/>
  <c r="J194" i="22"/>
  <c r="J197" i="22" s="1"/>
  <c r="AC193" i="22"/>
  <c r="AB193" i="22"/>
  <c r="L193" i="22"/>
  <c r="AA194" i="22"/>
  <c r="AD194" i="22"/>
  <c r="AE216" i="22"/>
  <c r="AD240" i="22"/>
  <c r="AE240" i="22" s="1"/>
  <c r="AC240" i="22"/>
  <c r="N241" i="22"/>
  <c r="H261" i="22"/>
  <c r="V305" i="22"/>
  <c r="AE367" i="22"/>
  <c r="J413" i="22"/>
  <c r="H406" i="22"/>
  <c r="I413" i="22"/>
  <c r="N413" i="22"/>
  <c r="AC432" i="22"/>
  <c r="L432" i="22"/>
  <c r="S432" i="22"/>
  <c r="AB432" i="22"/>
  <c r="AE432" i="22"/>
  <c r="AB433" i="22"/>
  <c r="AE496" i="22"/>
  <c r="AC496" i="22"/>
  <c r="T496" i="22"/>
  <c r="L496" i="22"/>
  <c r="L532" i="22"/>
  <c r="T532" i="22"/>
  <c r="H542" i="22"/>
  <c r="S532" i="22"/>
  <c r="T535" i="22"/>
  <c r="S535" i="22"/>
  <c r="L535" i="22"/>
  <c r="N542" i="22"/>
  <c r="O542" i="22"/>
  <c r="L214" i="22"/>
  <c r="V214" i="22"/>
  <c r="AB214" i="22"/>
  <c r="AC236" i="22"/>
  <c r="AB236" i="22"/>
  <c r="L236" i="22"/>
  <c r="AA240" i="22"/>
  <c r="J261" i="22"/>
  <c r="AB277" i="22"/>
  <c r="L277" i="22"/>
  <c r="S277" i="22"/>
  <c r="AC277" i="22"/>
  <c r="V278" i="22"/>
  <c r="L280" i="22"/>
  <c r="T280" i="22"/>
  <c r="S280" i="22"/>
  <c r="AE280" i="22"/>
  <c r="AC280" i="22"/>
  <c r="AC325" i="22"/>
  <c r="S325" i="22"/>
  <c r="T325" i="22"/>
  <c r="AB325" i="22"/>
  <c r="V365" i="22"/>
  <c r="AC387" i="22"/>
  <c r="L387" i="22"/>
  <c r="S387" i="22"/>
  <c r="T387" i="22"/>
  <c r="AB387" i="22"/>
  <c r="AC388" i="22"/>
  <c r="L388" i="22"/>
  <c r="AB388" i="22"/>
  <c r="AE408" i="22"/>
  <c r="S412" i="22"/>
  <c r="AB412" i="22"/>
  <c r="T412" i="22"/>
  <c r="AC412" i="22"/>
  <c r="H428" i="22"/>
  <c r="AC433" i="22"/>
  <c r="R517" i="22"/>
  <c r="T238" i="22"/>
  <c r="V241" i="22"/>
  <c r="AE258" i="22"/>
  <c r="U283" i="22"/>
  <c r="AE325" i="22"/>
  <c r="S345" i="22"/>
  <c r="T345" i="22"/>
  <c r="AC345" i="22"/>
  <c r="AB390" i="22"/>
  <c r="S409" i="22"/>
  <c r="AC429" i="22"/>
  <c r="L429" i="22"/>
  <c r="AB429" i="22"/>
  <c r="S431" i="22"/>
  <c r="L433" i="22"/>
  <c r="V215" i="22"/>
  <c r="H260" i="22"/>
  <c r="V280" i="22"/>
  <c r="AB281" i="22"/>
  <c r="AD283" i="22"/>
  <c r="AB304" i="22"/>
  <c r="O327" i="22"/>
  <c r="V345" i="22"/>
  <c r="H389" i="22"/>
  <c r="AE391" i="22"/>
  <c r="AE392" i="22"/>
  <c r="AE429" i="22"/>
  <c r="T449" i="22"/>
  <c r="S449" i="22"/>
  <c r="AC449" i="22"/>
  <c r="L449" i="22"/>
  <c r="S215" i="22"/>
  <c r="J283" i="22"/>
  <c r="H283" i="22" s="1"/>
  <c r="T281" i="22"/>
  <c r="T304" i="22"/>
  <c r="V323" i="22"/>
  <c r="AC323" i="22"/>
  <c r="T323" i="22"/>
  <c r="V346" i="22"/>
  <c r="AA392" i="22"/>
  <c r="AE431" i="22"/>
  <c r="AE433" i="22"/>
  <c r="R434" i="22"/>
  <c r="AC448" i="22"/>
  <c r="AB449" i="22"/>
  <c r="I498" i="22"/>
  <c r="H498" i="22" s="1"/>
  <c r="AE498" i="22" s="1"/>
  <c r="AB494" i="22"/>
  <c r="AE277" i="22"/>
  <c r="AE279" i="22"/>
  <c r="V281" i="22"/>
  <c r="V304" i="22"/>
  <c r="H327" i="22"/>
  <c r="V328" i="22" s="1"/>
  <c r="AE344" i="22"/>
  <c r="N347" i="22"/>
  <c r="AE366" i="22"/>
  <c r="AC391" i="22"/>
  <c r="L391" i="22"/>
  <c r="AB391" i="22"/>
  <c r="J434" i="22"/>
  <c r="H434" i="22" s="1"/>
  <c r="AC494" i="22"/>
  <c r="S497" i="22"/>
  <c r="AB497" i="22"/>
  <c r="AA307" i="22"/>
  <c r="H326" i="22"/>
  <c r="AE326" i="22" s="1"/>
  <c r="H343" i="22"/>
  <c r="AE343" i="22" s="1"/>
  <c r="J347" i="22"/>
  <c r="O347" i="22"/>
  <c r="H367" i="22"/>
  <c r="N368" i="22"/>
  <c r="AE386" i="22"/>
  <c r="AE388" i="22"/>
  <c r="H407" i="22"/>
  <c r="AE409" i="22"/>
  <c r="AE411" i="22"/>
  <c r="AE455" i="22"/>
  <c r="L494" i="22"/>
  <c r="AC497" i="22"/>
  <c r="T536" i="22"/>
  <c r="S536" i="22"/>
  <c r="R542" i="22"/>
  <c r="AD413" i="22"/>
  <c r="AB451" i="22"/>
  <c r="S531" i="22"/>
  <c r="S539" i="22"/>
  <c r="AB450" i="22"/>
  <c r="L450" i="22"/>
  <c r="AA75" i="21" l="1"/>
  <c r="S102" i="21"/>
  <c r="X161" i="21"/>
  <c r="P161" i="21"/>
  <c r="S134" i="21"/>
  <c r="I161" i="21"/>
  <c r="S161" i="21"/>
  <c r="P134" i="21"/>
  <c r="AA133" i="21"/>
  <c r="Q161" i="21"/>
  <c r="S133" i="21"/>
  <c r="AA134" i="21"/>
  <c r="Y134" i="21"/>
  <c r="P143" i="21"/>
  <c r="Q133" i="21"/>
  <c r="Y143" i="21"/>
  <c r="AA102" i="21"/>
  <c r="AA143" i="21"/>
  <c r="Q90" i="21"/>
  <c r="P90" i="21"/>
  <c r="X90" i="21"/>
  <c r="Y90" i="21"/>
  <c r="I90" i="21"/>
  <c r="E48" i="21"/>
  <c r="X47" i="21"/>
  <c r="P47" i="21"/>
  <c r="Y47" i="21"/>
  <c r="E50" i="21"/>
  <c r="I47" i="21"/>
  <c r="Q47" i="21"/>
  <c r="S47" i="21"/>
  <c r="AA76" i="21"/>
  <c r="AA47" i="21"/>
  <c r="S90" i="21"/>
  <c r="AA90" i="21"/>
  <c r="I75" i="21"/>
  <c r="Y75" i="21"/>
  <c r="Q75" i="21"/>
  <c r="E76" i="21"/>
  <c r="S76" i="21" s="1"/>
  <c r="P75" i="21"/>
  <c r="E78" i="21"/>
  <c r="X75" i="21"/>
  <c r="Y102" i="21"/>
  <c r="Q102" i="21"/>
  <c r="I102" i="21"/>
  <c r="E105" i="21"/>
  <c r="X102" i="21"/>
  <c r="P102" i="21"/>
  <c r="E103" i="21"/>
  <c r="P84" i="20"/>
  <c r="X84" i="20"/>
  <c r="Y84" i="20"/>
  <c r="Q84" i="20"/>
  <c r="I84" i="20"/>
  <c r="E85" i="20"/>
  <c r="AA84" i="20"/>
  <c r="E96" i="20"/>
  <c r="AA95" i="20"/>
  <c r="Q95" i="20"/>
  <c r="I95" i="20"/>
  <c r="Y95" i="20"/>
  <c r="P95" i="20"/>
  <c r="X95" i="20"/>
  <c r="S106" i="20"/>
  <c r="R24" i="20"/>
  <c r="S24" i="20" s="1"/>
  <c r="O24" i="20"/>
  <c r="Q106" i="20"/>
  <c r="I106" i="20"/>
  <c r="Y106" i="20"/>
  <c r="P106" i="20"/>
  <c r="X106" i="20"/>
  <c r="E107" i="20"/>
  <c r="S95" i="20"/>
  <c r="Q24" i="20"/>
  <c r="T435" i="22"/>
  <c r="AC434" i="22"/>
  <c r="L435" i="22"/>
  <c r="T434" i="22"/>
  <c r="AE434" i="22"/>
  <c r="S434" i="22"/>
  <c r="S435" i="22"/>
  <c r="AB434" i="22"/>
  <c r="L434" i="22"/>
  <c r="S284" i="22"/>
  <c r="AB283" i="22"/>
  <c r="S283" i="22"/>
  <c r="AC283" i="22"/>
  <c r="T284" i="22"/>
  <c r="L283" i="22"/>
  <c r="T283" i="22"/>
  <c r="L284" i="22"/>
  <c r="V284" i="22"/>
  <c r="T542" i="22"/>
  <c r="S542" i="22"/>
  <c r="L542" i="22"/>
  <c r="T239" i="22"/>
  <c r="S239" i="22"/>
  <c r="AC239" i="22"/>
  <c r="V239" i="22"/>
  <c r="L239" i="22"/>
  <c r="AB239" i="22"/>
  <c r="S192" i="22"/>
  <c r="AC192" i="22"/>
  <c r="T192" i="22"/>
  <c r="AB192" i="22"/>
  <c r="L192" i="22"/>
  <c r="T389" i="22"/>
  <c r="S389" i="22"/>
  <c r="AC389" i="22"/>
  <c r="L389" i="22"/>
  <c r="AB389" i="22"/>
  <c r="AE389" i="22"/>
  <c r="AC260" i="22"/>
  <c r="AB260" i="22"/>
  <c r="T260" i="22"/>
  <c r="S260" i="22"/>
  <c r="V260" i="22"/>
  <c r="L260" i="22"/>
  <c r="H145" i="22"/>
  <c r="I148" i="22"/>
  <c r="L365" i="22"/>
  <c r="AC365" i="22"/>
  <c r="AB365" i="22"/>
  <c r="AE365" i="22"/>
  <c r="T365" i="22"/>
  <c r="S365" i="22"/>
  <c r="AE170" i="22"/>
  <c r="T367" i="22"/>
  <c r="S367" i="22"/>
  <c r="L367" i="22"/>
  <c r="AB367" i="22"/>
  <c r="AC367" i="22"/>
  <c r="L393" i="22"/>
  <c r="T392" i="22"/>
  <c r="L392" i="22"/>
  <c r="AC392" i="22"/>
  <c r="AB392" i="22"/>
  <c r="T393" i="22"/>
  <c r="S393" i="22"/>
  <c r="S392" i="22"/>
  <c r="L369" i="22"/>
  <c r="S369" i="22"/>
  <c r="AB368" i="22"/>
  <c r="S368" i="22"/>
  <c r="L368" i="22"/>
  <c r="T369" i="22"/>
  <c r="T368" i="22"/>
  <c r="AC368" i="22"/>
  <c r="S308" i="22"/>
  <c r="AB307" i="22"/>
  <c r="V307" i="22"/>
  <c r="L307" i="22"/>
  <c r="L308" i="22"/>
  <c r="AE307" i="22"/>
  <c r="T307" i="22"/>
  <c r="AC307" i="22"/>
  <c r="V308" i="22"/>
  <c r="T308" i="22"/>
  <c r="S307" i="22"/>
  <c r="T191" i="22"/>
  <c r="S191" i="22"/>
  <c r="AE191" i="22"/>
  <c r="V191" i="22"/>
  <c r="L191" i="22"/>
  <c r="AC191" i="22"/>
  <c r="AB191" i="22"/>
  <c r="H347" i="22"/>
  <c r="I172" i="22"/>
  <c r="AE261" i="22"/>
  <c r="V170" i="22"/>
  <c r="AE260" i="22"/>
  <c r="AE217" i="22"/>
  <c r="S116" i="22"/>
  <c r="AC116" i="22"/>
  <c r="T116" i="22"/>
  <c r="L116" i="22"/>
  <c r="AB116" i="22"/>
  <c r="I82" i="22"/>
  <c r="H79" i="22"/>
  <c r="T328" i="22"/>
  <c r="AC327" i="22"/>
  <c r="T327" i="22"/>
  <c r="L327" i="22"/>
  <c r="L328" i="22"/>
  <c r="V327" i="22"/>
  <c r="S328" i="22"/>
  <c r="AB327" i="22"/>
  <c r="S327" i="22"/>
  <c r="T262" i="22"/>
  <c r="AC261" i="22"/>
  <c r="T261" i="22"/>
  <c r="L261" i="22"/>
  <c r="S262" i="22"/>
  <c r="AB261" i="22"/>
  <c r="S261" i="22"/>
  <c r="L262" i="22"/>
  <c r="L303" i="22"/>
  <c r="T303" i="22"/>
  <c r="S303" i="22"/>
  <c r="AE303" i="22"/>
  <c r="AB303" i="22"/>
  <c r="AC303" i="22"/>
  <c r="V192" i="22"/>
  <c r="AE327" i="22"/>
  <c r="V303" i="22"/>
  <c r="AE428" i="22"/>
  <c r="T428" i="22"/>
  <c r="S428" i="22"/>
  <c r="AB428" i="22"/>
  <c r="L428" i="22"/>
  <c r="AC428" i="22"/>
  <c r="T218" i="22"/>
  <c r="AC217" i="22"/>
  <c r="T217" i="22"/>
  <c r="L217" i="22"/>
  <c r="S218" i="22"/>
  <c r="AB217" i="22"/>
  <c r="S217" i="22"/>
  <c r="V218" i="22"/>
  <c r="L218" i="22"/>
  <c r="T407" i="22"/>
  <c r="AE407" i="22"/>
  <c r="L407" i="22"/>
  <c r="AC407" i="22"/>
  <c r="AB407" i="22"/>
  <c r="S407" i="22"/>
  <c r="T343" i="22"/>
  <c r="AB343" i="22"/>
  <c r="V343" i="22"/>
  <c r="AC343" i="22"/>
  <c r="L343" i="22"/>
  <c r="S343" i="22"/>
  <c r="AE283" i="22"/>
  <c r="H413" i="22"/>
  <c r="S142" i="22"/>
  <c r="AC142" i="22"/>
  <c r="T142" i="22"/>
  <c r="L142" i="22"/>
  <c r="AB142" i="22"/>
  <c r="V367" i="22"/>
  <c r="AR170" i="22"/>
  <c r="V369" i="22"/>
  <c r="V116" i="22"/>
  <c r="H194" i="22"/>
  <c r="AE194" i="22" s="1"/>
  <c r="AB498" i="22"/>
  <c r="T498" i="22"/>
  <c r="L498" i="22"/>
  <c r="S498" i="22"/>
  <c r="AC498" i="22"/>
  <c r="V262" i="22"/>
  <c r="AE192" i="22"/>
  <c r="AC170" i="22"/>
  <c r="T170" i="22"/>
  <c r="L170" i="22"/>
  <c r="AB170" i="22"/>
  <c r="S170" i="22"/>
  <c r="S171" i="22"/>
  <c r="T171" i="22"/>
  <c r="L171" i="22"/>
  <c r="AE413" i="22"/>
  <c r="T326" i="22"/>
  <c r="AB326" i="22"/>
  <c r="V326" i="22"/>
  <c r="S326" i="22"/>
  <c r="L326" i="22"/>
  <c r="AC326" i="22"/>
  <c r="V283" i="22"/>
  <c r="T406" i="22"/>
  <c r="AC406" i="22"/>
  <c r="AB406" i="22"/>
  <c r="L406" i="22"/>
  <c r="AE406" i="22"/>
  <c r="S406" i="22"/>
  <c r="T430" i="22"/>
  <c r="S430" i="22"/>
  <c r="AC430" i="22"/>
  <c r="L430" i="22"/>
  <c r="AB430" i="22"/>
  <c r="AE430" i="22"/>
  <c r="AE239" i="22"/>
  <c r="AC211" i="22"/>
  <c r="AB211" i="22"/>
  <c r="S211" i="22"/>
  <c r="T211" i="22"/>
  <c r="V211" i="22"/>
  <c r="L211" i="22"/>
  <c r="T118" i="22"/>
  <c r="AC117" i="22"/>
  <c r="T117" i="22"/>
  <c r="L117" i="22"/>
  <c r="L118" i="22"/>
  <c r="S118" i="22"/>
  <c r="S117" i="22"/>
  <c r="H120" i="22"/>
  <c r="AB117" i="22"/>
  <c r="V368" i="22"/>
  <c r="AU170" i="22"/>
  <c r="X103" i="21" l="1"/>
  <c r="I103" i="21"/>
  <c r="P103" i="21"/>
  <c r="Y103" i="21"/>
  <c r="AA103" i="21"/>
  <c r="Q103" i="21"/>
  <c r="S103" i="21"/>
  <c r="Q48" i="21"/>
  <c r="P48" i="21"/>
  <c r="I48" i="21"/>
  <c r="S48" i="21"/>
  <c r="P76" i="21"/>
  <c r="Y76" i="21"/>
  <c r="X76" i="21"/>
  <c r="Q76" i="21"/>
  <c r="I76" i="21"/>
  <c r="Q96" i="20"/>
  <c r="P96" i="20"/>
  <c r="Y96" i="20"/>
  <c r="X96" i="20"/>
  <c r="I96" i="20"/>
  <c r="S96" i="20"/>
  <c r="AA96" i="20"/>
  <c r="Y107" i="20"/>
  <c r="X107" i="20"/>
  <c r="I107" i="20"/>
  <c r="S107" i="20"/>
  <c r="Q107" i="20"/>
  <c r="P107" i="20"/>
  <c r="AA107" i="20"/>
  <c r="Y85" i="20"/>
  <c r="X85" i="20"/>
  <c r="I85" i="20"/>
  <c r="Q85" i="20"/>
  <c r="P85" i="20"/>
  <c r="S85" i="20"/>
  <c r="AA85" i="20"/>
  <c r="V194" i="22"/>
  <c r="AB79" i="22"/>
  <c r="S79" i="22"/>
  <c r="T80" i="22"/>
  <c r="H82" i="22"/>
  <c r="S80" i="22"/>
  <c r="V80" i="22"/>
  <c r="AC79" i="22"/>
  <c r="T79" i="22"/>
  <c r="L80" i="22"/>
  <c r="V79" i="22"/>
  <c r="L79" i="22"/>
  <c r="AE79" i="22"/>
  <c r="H172" i="22"/>
  <c r="H173" i="22" s="1"/>
  <c r="I173" i="22"/>
  <c r="L348" i="22"/>
  <c r="AB347" i="22"/>
  <c r="T348" i="22"/>
  <c r="S348" i="22"/>
  <c r="L347" i="22"/>
  <c r="AC347" i="22"/>
  <c r="S347" i="22"/>
  <c r="T347" i="22"/>
  <c r="V348" i="22"/>
  <c r="V347" i="22"/>
  <c r="AE347" i="22"/>
  <c r="H148" i="22"/>
  <c r="S146" i="22"/>
  <c r="AB145" i="22"/>
  <c r="L145" i="22"/>
  <c r="T146" i="22"/>
  <c r="T145" i="22"/>
  <c r="L146" i="22"/>
  <c r="AC145" i="22"/>
  <c r="S145" i="22"/>
  <c r="AE145" i="22"/>
  <c r="V145" i="22"/>
  <c r="V146" i="22"/>
  <c r="T195" i="22"/>
  <c r="AC194" i="22"/>
  <c r="T194" i="22"/>
  <c r="L194" i="22"/>
  <c r="H197" i="22"/>
  <c r="S195" i="22"/>
  <c r="AB194" i="22"/>
  <c r="S194" i="22"/>
  <c r="L195" i="22"/>
  <c r="V195" i="22"/>
  <c r="S413" i="22"/>
  <c r="T413" i="22"/>
  <c r="L414" i="22"/>
  <c r="AC413" i="22"/>
  <c r="AB413" i="22"/>
  <c r="L413" i="22"/>
  <c r="T414" i="22"/>
  <c r="S414" i="22"/>
  <c r="T145" i="19" l="1"/>
  <c r="T144" i="19"/>
  <c r="W126" i="19"/>
  <c r="R126" i="19"/>
  <c r="O126" i="19"/>
  <c r="L126" i="19"/>
  <c r="K126" i="19"/>
  <c r="AB125" i="19"/>
  <c r="AB126" i="19" s="1"/>
  <c r="Z126" i="19" s="1"/>
  <c r="Z125" i="19"/>
  <c r="V125" i="19"/>
  <c r="W125" i="19" s="1"/>
  <c r="U125" i="19"/>
  <c r="R125" i="19"/>
  <c r="O125" i="19"/>
  <c r="N125" i="19"/>
  <c r="M125" i="19"/>
  <c r="J125" i="19"/>
  <c r="K125" i="19" s="1"/>
  <c r="H125" i="19"/>
  <c r="G125" i="19"/>
  <c r="G126" i="19" s="1"/>
  <c r="F125" i="19"/>
  <c r="F126" i="19" s="1"/>
  <c r="Z124" i="19"/>
  <c r="AA124" i="19" s="1"/>
  <c r="Y124" i="19"/>
  <c r="X124" i="19"/>
  <c r="W124" i="19"/>
  <c r="R124" i="19"/>
  <c r="O124" i="19"/>
  <c r="L124" i="19"/>
  <c r="K124" i="19"/>
  <c r="E124" i="19"/>
  <c r="Q124" i="19" s="1"/>
  <c r="Z123" i="19"/>
  <c r="W123" i="19"/>
  <c r="R123" i="19"/>
  <c r="O123" i="19"/>
  <c r="L123" i="19"/>
  <c r="K123" i="19"/>
  <c r="E123" i="19"/>
  <c r="AB116" i="19"/>
  <c r="Z116" i="19" s="1"/>
  <c r="W116" i="19"/>
  <c r="R116" i="19"/>
  <c r="O116" i="19"/>
  <c r="L116" i="19"/>
  <c r="K116" i="19"/>
  <c r="F116" i="19"/>
  <c r="AB115" i="19"/>
  <c r="Z115" i="19" s="1"/>
  <c r="V115" i="19"/>
  <c r="W115" i="19" s="1"/>
  <c r="U115" i="19"/>
  <c r="N115" i="19"/>
  <c r="R115" i="19" s="1"/>
  <c r="M115" i="19"/>
  <c r="L115" i="19" s="1"/>
  <c r="K115" i="19"/>
  <c r="J115" i="19"/>
  <c r="H115" i="19"/>
  <c r="F115" i="19"/>
  <c r="Z114" i="19"/>
  <c r="AA114" i="19" s="1"/>
  <c r="W114" i="19"/>
  <c r="R114" i="19"/>
  <c r="S114" i="19" s="1"/>
  <c r="Q114" i="19"/>
  <c r="O114" i="19"/>
  <c r="L114" i="19"/>
  <c r="K114" i="19"/>
  <c r="G114" i="19"/>
  <c r="G115" i="19" s="1"/>
  <c r="G116" i="19" s="1"/>
  <c r="E114" i="19"/>
  <c r="Y114" i="19" s="1"/>
  <c r="AA113" i="19"/>
  <c r="Z113" i="19"/>
  <c r="W113" i="19"/>
  <c r="R113" i="19"/>
  <c r="S113" i="19" s="1"/>
  <c r="Q113" i="19"/>
  <c r="P113" i="19"/>
  <c r="O113" i="19"/>
  <c r="L113" i="19"/>
  <c r="K113" i="19"/>
  <c r="G113" i="19"/>
  <c r="E113" i="19"/>
  <c r="X113" i="19" s="1"/>
  <c r="AB106" i="19"/>
  <c r="Z106" i="19" s="1"/>
  <c r="AA106" i="19"/>
  <c r="W106" i="19"/>
  <c r="R106" i="19"/>
  <c r="S106" i="19" s="1"/>
  <c r="P106" i="19"/>
  <c r="O106" i="19"/>
  <c r="L106" i="19"/>
  <c r="K106" i="19"/>
  <c r="F106" i="19"/>
  <c r="E106" i="19"/>
  <c r="X106" i="19" s="1"/>
  <c r="AB105" i="19"/>
  <c r="Z105" i="19" s="1"/>
  <c r="AA105" i="19" s="1"/>
  <c r="V105" i="19"/>
  <c r="W105" i="19" s="1"/>
  <c r="U105" i="19"/>
  <c r="S105" i="19"/>
  <c r="R105" i="19"/>
  <c r="N105" i="19"/>
  <c r="O105" i="19" s="1"/>
  <c r="M105" i="19"/>
  <c r="L105" i="19"/>
  <c r="K105" i="19"/>
  <c r="J105" i="19"/>
  <c r="H105" i="19"/>
  <c r="G105" i="19"/>
  <c r="G106" i="19" s="1"/>
  <c r="F105" i="19"/>
  <c r="E105" i="19"/>
  <c r="Y105" i="19" s="1"/>
  <c r="Z104" i="19"/>
  <c r="AA104" i="19" s="1"/>
  <c r="Y104" i="19"/>
  <c r="X104" i="19"/>
  <c r="W104" i="19"/>
  <c r="R104" i="19"/>
  <c r="S104" i="19" s="1"/>
  <c r="Q104" i="19"/>
  <c r="P104" i="19"/>
  <c r="O104" i="19"/>
  <c r="L104" i="19"/>
  <c r="K104" i="19"/>
  <c r="E104" i="19"/>
  <c r="I104" i="19" s="1"/>
  <c r="Z103" i="19"/>
  <c r="AA103" i="19" s="1"/>
  <c r="Y103" i="19"/>
  <c r="X103" i="19"/>
  <c r="W103" i="19"/>
  <c r="R103" i="19"/>
  <c r="O103" i="19"/>
  <c r="L103" i="19"/>
  <c r="K103" i="19"/>
  <c r="E103" i="19"/>
  <c r="Q103" i="19" s="1"/>
  <c r="G95" i="19"/>
  <c r="E95" i="19"/>
  <c r="AB94" i="19"/>
  <c r="Z94" i="19" s="1"/>
  <c r="W94" i="19"/>
  <c r="R94" i="19"/>
  <c r="S94" i="19" s="1"/>
  <c r="Q94" i="19"/>
  <c r="O94" i="19"/>
  <c r="L94" i="19"/>
  <c r="K94" i="19"/>
  <c r="G94" i="19"/>
  <c r="F94" i="19"/>
  <c r="E94" i="19"/>
  <c r="AB93" i="19"/>
  <c r="Z93" i="19" s="1"/>
  <c r="AA93" i="19" s="1"/>
  <c r="V93" i="19"/>
  <c r="U93" i="19"/>
  <c r="N93" i="19"/>
  <c r="O93" i="19" s="1"/>
  <c r="M93" i="19"/>
  <c r="L93" i="19"/>
  <c r="J93" i="19"/>
  <c r="K93" i="19" s="1"/>
  <c r="H93" i="19"/>
  <c r="G93" i="19"/>
  <c r="G96" i="19" s="1"/>
  <c r="F93" i="19"/>
  <c r="F96" i="19" s="1"/>
  <c r="E93" i="19"/>
  <c r="Q93" i="19" s="1"/>
  <c r="AA92" i="19"/>
  <c r="Z92" i="19"/>
  <c r="Y92" i="19"/>
  <c r="W92" i="19"/>
  <c r="R92" i="19"/>
  <c r="S92" i="19" s="1"/>
  <c r="Q92" i="19"/>
  <c r="P92" i="19"/>
  <c r="O92" i="19"/>
  <c r="L92" i="19"/>
  <c r="K92" i="19"/>
  <c r="I92" i="19"/>
  <c r="E92" i="19"/>
  <c r="X92" i="19" s="1"/>
  <c r="Z91" i="19"/>
  <c r="AA91" i="19" s="1"/>
  <c r="Y91" i="19"/>
  <c r="W91" i="19"/>
  <c r="R91" i="19"/>
  <c r="S91" i="19" s="1"/>
  <c r="P91" i="19"/>
  <c r="O91" i="19"/>
  <c r="L91" i="19"/>
  <c r="K91" i="19"/>
  <c r="I91" i="19"/>
  <c r="E91" i="19"/>
  <c r="Q91" i="19" s="1"/>
  <c r="G83" i="19"/>
  <c r="E83" i="19"/>
  <c r="AB82" i="19"/>
  <c r="Z82" i="19" s="1"/>
  <c r="W82" i="19"/>
  <c r="R82" i="19"/>
  <c r="O82" i="19"/>
  <c r="L82" i="19"/>
  <c r="K82" i="19"/>
  <c r="F82" i="19"/>
  <c r="AB81" i="19"/>
  <c r="Z81" i="19" s="1"/>
  <c r="W81" i="19"/>
  <c r="V81" i="19"/>
  <c r="U81" i="19"/>
  <c r="N81" i="19"/>
  <c r="M81" i="19"/>
  <c r="L81" i="19" s="1"/>
  <c r="K81" i="19"/>
  <c r="J81" i="19"/>
  <c r="H81" i="19"/>
  <c r="F81" i="19"/>
  <c r="F84" i="19" s="1"/>
  <c r="Z80" i="19"/>
  <c r="W80" i="19"/>
  <c r="R80" i="19"/>
  <c r="S80" i="19" s="1"/>
  <c r="Q80" i="19"/>
  <c r="O80" i="19"/>
  <c r="L80" i="19"/>
  <c r="K80" i="19"/>
  <c r="G80" i="19"/>
  <c r="G81" i="19" s="1"/>
  <c r="E80" i="19"/>
  <c r="AA79" i="19"/>
  <c r="Z79" i="19"/>
  <c r="Y79" i="19"/>
  <c r="W79" i="19"/>
  <c r="R79" i="19"/>
  <c r="S79" i="19" s="1"/>
  <c r="Q79" i="19"/>
  <c r="P79" i="19"/>
  <c r="O79" i="19"/>
  <c r="L79" i="19"/>
  <c r="K79" i="19"/>
  <c r="E79" i="19"/>
  <c r="X79" i="19" s="1"/>
  <c r="Z78" i="19"/>
  <c r="AA78" i="19" s="1"/>
  <c r="Y78" i="19"/>
  <c r="W78" i="19"/>
  <c r="R78" i="19"/>
  <c r="S78" i="19" s="1"/>
  <c r="P78" i="19"/>
  <c r="O78" i="19"/>
  <c r="L78" i="19"/>
  <c r="K78" i="19"/>
  <c r="I78" i="19"/>
  <c r="E78" i="19"/>
  <c r="Q78" i="19" s="1"/>
  <c r="G70" i="19"/>
  <c r="E70" i="19" s="1"/>
  <c r="AB69" i="19"/>
  <c r="Z69" i="19"/>
  <c r="W69" i="19"/>
  <c r="R69" i="19"/>
  <c r="O69" i="19"/>
  <c r="L69" i="19"/>
  <c r="K69" i="19"/>
  <c r="AB68" i="19"/>
  <c r="V68" i="19"/>
  <c r="W68" i="19" s="1"/>
  <c r="U68" i="19"/>
  <c r="N68" i="19"/>
  <c r="M68" i="19"/>
  <c r="L68" i="19" s="1"/>
  <c r="K68" i="19"/>
  <c r="J68" i="19"/>
  <c r="H68" i="19"/>
  <c r="F68" i="19"/>
  <c r="F71" i="19" s="1"/>
  <c r="Z67" i="19"/>
  <c r="W67" i="19"/>
  <c r="R67" i="19"/>
  <c r="O67" i="19"/>
  <c r="L67" i="19"/>
  <c r="K67" i="19"/>
  <c r="G67" i="19"/>
  <c r="G68" i="19" s="1"/>
  <c r="E68" i="19" s="1"/>
  <c r="E67" i="19"/>
  <c r="Q67" i="19" s="1"/>
  <c r="AA66" i="19"/>
  <c r="Z66" i="19"/>
  <c r="Y66" i="19"/>
  <c r="W66" i="19"/>
  <c r="R66" i="19"/>
  <c r="S66" i="19" s="1"/>
  <c r="Q66" i="19"/>
  <c r="P66" i="19"/>
  <c r="O66" i="19"/>
  <c r="L66" i="19"/>
  <c r="K66" i="19"/>
  <c r="E66" i="19"/>
  <c r="X66" i="19" s="1"/>
  <c r="Z65" i="19"/>
  <c r="AA65" i="19" s="1"/>
  <c r="Y65" i="19"/>
  <c r="W65" i="19"/>
  <c r="R65" i="19"/>
  <c r="S65" i="19" s="1"/>
  <c r="Q65" i="19"/>
  <c r="P65" i="19"/>
  <c r="O65" i="19"/>
  <c r="L65" i="19"/>
  <c r="K65" i="19"/>
  <c r="I65" i="19"/>
  <c r="E65" i="19"/>
  <c r="X65" i="19" s="1"/>
  <c r="G57" i="19"/>
  <c r="E57" i="19"/>
  <c r="AB56" i="19"/>
  <c r="Z56" i="19" s="1"/>
  <c r="W56" i="19"/>
  <c r="R56" i="19"/>
  <c r="O56" i="19"/>
  <c r="L56" i="19"/>
  <c r="K56" i="19"/>
  <c r="G56" i="19"/>
  <c r="F56" i="19"/>
  <c r="AB55" i="19"/>
  <c r="V55" i="19"/>
  <c r="W55" i="19" s="1"/>
  <c r="U55" i="19"/>
  <c r="N55" i="19"/>
  <c r="M55" i="19"/>
  <c r="L55" i="19" s="1"/>
  <c r="K55" i="19"/>
  <c r="J55" i="19"/>
  <c r="H55" i="19"/>
  <c r="F55" i="19"/>
  <c r="F58" i="19" s="1"/>
  <c r="Z54" i="19"/>
  <c r="W54" i="19"/>
  <c r="R54" i="19"/>
  <c r="S54" i="19" s="1"/>
  <c r="Q54" i="19"/>
  <c r="O54" i="19"/>
  <c r="L54" i="19"/>
  <c r="K54" i="19"/>
  <c r="G54" i="19"/>
  <c r="G55" i="19" s="1"/>
  <c r="E54" i="19"/>
  <c r="AA53" i="19"/>
  <c r="Z53" i="19"/>
  <c r="Y53" i="19"/>
  <c r="W53" i="19"/>
  <c r="R53" i="19"/>
  <c r="S53" i="19" s="1"/>
  <c r="Q53" i="19"/>
  <c r="P53" i="19"/>
  <c r="O53" i="19"/>
  <c r="L53" i="19"/>
  <c r="K53" i="19"/>
  <c r="I53" i="19"/>
  <c r="E53" i="19"/>
  <c r="X53" i="19" s="1"/>
  <c r="Z52" i="19"/>
  <c r="AA52" i="19" s="1"/>
  <c r="Y52" i="19"/>
  <c r="X52" i="19"/>
  <c r="W52" i="19"/>
  <c r="R52" i="19"/>
  <c r="S52" i="19" s="1"/>
  <c r="Q52" i="19"/>
  <c r="P52" i="19"/>
  <c r="O52" i="19"/>
  <c r="L52" i="19"/>
  <c r="K52" i="19"/>
  <c r="I52" i="19"/>
  <c r="E52" i="19"/>
  <c r="G45" i="19"/>
  <c r="E45" i="19"/>
  <c r="AB44" i="19"/>
  <c r="Z44" i="19" s="1"/>
  <c r="W44" i="19"/>
  <c r="R44" i="19"/>
  <c r="O44" i="19"/>
  <c r="L44" i="19"/>
  <c r="K44" i="19"/>
  <c r="G44" i="19"/>
  <c r="F44" i="19"/>
  <c r="AB43" i="19"/>
  <c r="Z43" i="19" s="1"/>
  <c r="V43" i="19"/>
  <c r="W43" i="19" s="1"/>
  <c r="U43" i="19"/>
  <c r="N43" i="19"/>
  <c r="M43" i="19"/>
  <c r="L43" i="19" s="1"/>
  <c r="K43" i="19"/>
  <c r="J43" i="19"/>
  <c r="H43" i="19"/>
  <c r="F43" i="19"/>
  <c r="F46" i="19" s="1"/>
  <c r="Z42" i="19"/>
  <c r="W42" i="19"/>
  <c r="R42" i="19"/>
  <c r="S42" i="19" s="1"/>
  <c r="Q42" i="19"/>
  <c r="O42" i="19"/>
  <c r="L42" i="19"/>
  <c r="K42" i="19"/>
  <c r="G42" i="19"/>
  <c r="G43" i="19" s="1"/>
  <c r="E42" i="19"/>
  <c r="AA41" i="19"/>
  <c r="Z41" i="19"/>
  <c r="Y41" i="19"/>
  <c r="W41" i="19"/>
  <c r="R41" i="19"/>
  <c r="S41" i="19" s="1"/>
  <c r="Q41" i="19"/>
  <c r="P41" i="19"/>
  <c r="O41" i="19"/>
  <c r="L41" i="19"/>
  <c r="K41" i="19"/>
  <c r="E41" i="19"/>
  <c r="X41" i="19" s="1"/>
  <c r="Z40" i="19"/>
  <c r="AA40" i="19" s="1"/>
  <c r="Y40" i="19"/>
  <c r="W40" i="19"/>
  <c r="R40" i="19"/>
  <c r="S40" i="19" s="1"/>
  <c r="P40" i="19"/>
  <c r="O40" i="19"/>
  <c r="L40" i="19"/>
  <c r="K40" i="19"/>
  <c r="I40" i="19"/>
  <c r="E40" i="19"/>
  <c r="Q40" i="19" s="1"/>
  <c r="AE32" i="19"/>
  <c r="AC32" i="19"/>
  <c r="Z32" i="19"/>
  <c r="U32" i="19"/>
  <c r="R32" i="19"/>
  <c r="O32" i="19"/>
  <c r="N32" i="19"/>
  <c r="J32" i="19"/>
  <c r="AE31" i="19"/>
  <c r="AC31" i="19"/>
  <c r="Z31" i="19"/>
  <c r="Y31" i="19"/>
  <c r="X31" i="19"/>
  <c r="U31" i="19"/>
  <c r="Q31" i="19"/>
  <c r="R31" i="19" s="1"/>
  <c r="P31" i="19"/>
  <c r="O31" i="19" s="1"/>
  <c r="M31" i="19"/>
  <c r="K31" i="19"/>
  <c r="J31" i="19"/>
  <c r="I31" i="19"/>
  <c r="I32" i="19" s="1"/>
  <c r="AC30" i="19"/>
  <c r="AD30" i="19" s="1"/>
  <c r="AB30" i="19"/>
  <c r="AA30" i="19"/>
  <c r="Z30" i="19"/>
  <c r="U30" i="19"/>
  <c r="V30" i="19" s="1"/>
  <c r="R30" i="19"/>
  <c r="O30" i="19"/>
  <c r="N30" i="19"/>
  <c r="L30" i="19"/>
  <c r="H30" i="19"/>
  <c r="T30" i="19" s="1"/>
  <c r="AC29" i="19"/>
  <c r="Z29" i="19"/>
  <c r="U29" i="19"/>
  <c r="V29" i="19" s="1"/>
  <c r="R29" i="19"/>
  <c r="O29" i="19"/>
  <c r="N29" i="19"/>
  <c r="H29" i="19"/>
  <c r="AC18" i="19"/>
  <c r="Z18" i="19"/>
  <c r="U18" i="19"/>
  <c r="V18" i="19" s="1"/>
  <c r="R18" i="19"/>
  <c r="O18" i="19"/>
  <c r="N18" i="19"/>
  <c r="J18" i="19"/>
  <c r="I18" i="19"/>
  <c r="H18" i="19"/>
  <c r="AB17" i="19"/>
  <c r="Y17" i="19"/>
  <c r="Z17" i="19" s="1"/>
  <c r="X17" i="19"/>
  <c r="U17" i="19"/>
  <c r="V17" i="19" s="1"/>
  <c r="S17" i="19"/>
  <c r="Q17" i="19"/>
  <c r="R17" i="19" s="1"/>
  <c r="P17" i="19"/>
  <c r="N17" i="19"/>
  <c r="M17" i="19"/>
  <c r="O17" i="19" s="1"/>
  <c r="K17" i="19"/>
  <c r="J17" i="19"/>
  <c r="I17" i="19"/>
  <c r="H17" i="19"/>
  <c r="AA17" i="19" s="1"/>
  <c r="AC16" i="19"/>
  <c r="AD16" i="19" s="1"/>
  <c r="AB16" i="19"/>
  <c r="Z16" i="19"/>
  <c r="U16" i="19"/>
  <c r="V16" i="19" s="1"/>
  <c r="T16" i="19"/>
  <c r="S16" i="19"/>
  <c r="R16" i="19"/>
  <c r="O16" i="19"/>
  <c r="N16" i="19"/>
  <c r="L16" i="19"/>
  <c r="H16" i="19"/>
  <c r="AA16" i="19" s="1"/>
  <c r="AC15" i="19"/>
  <c r="AD15" i="19" s="1"/>
  <c r="AB15" i="19"/>
  <c r="AA15" i="19"/>
  <c r="Z15" i="19"/>
  <c r="U15" i="19"/>
  <c r="V15" i="19" s="1"/>
  <c r="S15" i="19"/>
  <c r="R15" i="19"/>
  <c r="O15" i="19"/>
  <c r="N15" i="19"/>
  <c r="L15" i="19"/>
  <c r="H15" i="19"/>
  <c r="T15" i="19" s="1"/>
  <c r="E71" i="19" l="1"/>
  <c r="X68" i="19"/>
  <c r="Q68" i="19"/>
  <c r="I68" i="19"/>
  <c r="Y68" i="19"/>
  <c r="P68" i="19"/>
  <c r="E69" i="19"/>
  <c r="E115" i="19"/>
  <c r="AA123" i="19"/>
  <c r="AA115" i="19"/>
  <c r="P123" i="19"/>
  <c r="X123" i="19"/>
  <c r="I123" i="19"/>
  <c r="Y123" i="19"/>
  <c r="Q123" i="19"/>
  <c r="AA18" i="19"/>
  <c r="L18" i="19"/>
  <c r="AB18" i="19"/>
  <c r="N31" i="19"/>
  <c r="AD18" i="19"/>
  <c r="R55" i="19"/>
  <c r="S55" i="19" s="1"/>
  <c r="O55" i="19"/>
  <c r="AA29" i="19"/>
  <c r="AB29" i="19"/>
  <c r="T29" i="19"/>
  <c r="AD29" i="19"/>
  <c r="S29" i="19"/>
  <c r="L29" i="19"/>
  <c r="AD31" i="19"/>
  <c r="R43" i="19"/>
  <c r="O43" i="19"/>
  <c r="Y54" i="19"/>
  <c r="X54" i="19"/>
  <c r="I54" i="19"/>
  <c r="P54" i="19"/>
  <c r="AA54" i="19"/>
  <c r="Z68" i="19"/>
  <c r="AA68" i="19" s="1"/>
  <c r="Y94" i="19"/>
  <c r="X94" i="19"/>
  <c r="I94" i="19"/>
  <c r="P94" i="19"/>
  <c r="R68" i="19"/>
  <c r="S68" i="19" s="1"/>
  <c r="O68" i="19"/>
  <c r="G71" i="19"/>
  <c r="Y42" i="19"/>
  <c r="X42" i="19"/>
  <c r="I42" i="19"/>
  <c r="P42" i="19"/>
  <c r="AA42" i="19"/>
  <c r="G58" i="19"/>
  <c r="E55" i="19"/>
  <c r="F69" i="19"/>
  <c r="R81" i="19"/>
  <c r="S81" i="19" s="1"/>
  <c r="O81" i="19"/>
  <c r="AA94" i="19"/>
  <c r="G69" i="19"/>
  <c r="Y80" i="19"/>
  <c r="X80" i="19"/>
  <c r="I80" i="19"/>
  <c r="P80" i="19"/>
  <c r="AA80" i="19"/>
  <c r="S123" i="19"/>
  <c r="AA125" i="19"/>
  <c r="Y67" i="19"/>
  <c r="X67" i="19"/>
  <c r="I67" i="19"/>
  <c r="P67" i="19"/>
  <c r="AA67" i="19"/>
  <c r="W93" i="19"/>
  <c r="S18" i="19"/>
  <c r="G46" i="19"/>
  <c r="E43" i="19"/>
  <c r="T18" i="19"/>
  <c r="Z55" i="19"/>
  <c r="S67" i="19"/>
  <c r="G84" i="19"/>
  <c r="G82" i="19"/>
  <c r="E81" i="19"/>
  <c r="R93" i="19"/>
  <c r="S93" i="19" s="1"/>
  <c r="S103" i="19"/>
  <c r="I105" i="19"/>
  <c r="Q105" i="19"/>
  <c r="Y106" i="19"/>
  <c r="Y113" i="19"/>
  <c r="S124" i="19"/>
  <c r="L17" i="19"/>
  <c r="T17" i="19"/>
  <c r="AC17" i="19"/>
  <c r="AD17" i="19" s="1"/>
  <c r="X40" i="19"/>
  <c r="X78" i="19"/>
  <c r="X91" i="19"/>
  <c r="I103" i="19"/>
  <c r="P114" i="19"/>
  <c r="I124" i="19"/>
  <c r="X93" i="19"/>
  <c r="E96" i="19"/>
  <c r="P103" i="19"/>
  <c r="I114" i="19"/>
  <c r="P124" i="19"/>
  <c r="L125" i="19"/>
  <c r="Q106" i="19"/>
  <c r="O115" i="19"/>
  <c r="S30" i="19"/>
  <c r="I41" i="19"/>
  <c r="I66" i="19"/>
  <c r="I79" i="19"/>
  <c r="P93" i="19"/>
  <c r="Y93" i="19"/>
  <c r="X105" i="19"/>
  <c r="I106" i="19"/>
  <c r="I113" i="19"/>
  <c r="X114" i="19"/>
  <c r="E125" i="19"/>
  <c r="S125" i="19" s="1"/>
  <c r="H31" i="19"/>
  <c r="I93" i="19"/>
  <c r="P105" i="19"/>
  <c r="E84" i="19" l="1"/>
  <c r="X81" i="19"/>
  <c r="Q81" i="19"/>
  <c r="I81" i="19"/>
  <c r="Y81" i="19"/>
  <c r="P81" i="19"/>
  <c r="E82" i="19"/>
  <c r="E58" i="19"/>
  <c r="X55" i="19"/>
  <c r="Q55" i="19"/>
  <c r="I55" i="19"/>
  <c r="Y55" i="19"/>
  <c r="P55" i="19"/>
  <c r="E56" i="19"/>
  <c r="X43" i="19"/>
  <c r="Q43" i="19"/>
  <c r="I43" i="19"/>
  <c r="E46" i="19"/>
  <c r="Y43" i="19"/>
  <c r="P43" i="19"/>
  <c r="E44" i="19"/>
  <c r="X115" i="19"/>
  <c r="Q115" i="19"/>
  <c r="I115" i="19"/>
  <c r="Y115" i="19"/>
  <c r="P115" i="19"/>
  <c r="E116" i="19"/>
  <c r="Y69" i="19"/>
  <c r="I69" i="19"/>
  <c r="X69" i="19"/>
  <c r="Q69" i="19"/>
  <c r="AA69" i="19"/>
  <c r="P69" i="19"/>
  <c r="S43" i="19"/>
  <c r="H32" i="19"/>
  <c r="AA31" i="19"/>
  <c r="T31" i="19"/>
  <c r="S31" i="19"/>
  <c r="AB31" i="19"/>
  <c r="L31" i="19"/>
  <c r="E126" i="19"/>
  <c r="Y125" i="19"/>
  <c r="P125" i="19"/>
  <c r="X125" i="19"/>
  <c r="Q125" i="19"/>
  <c r="I125" i="19"/>
  <c r="AA55" i="19"/>
  <c r="AA81" i="19"/>
  <c r="AA43" i="19"/>
  <c r="V31" i="19"/>
  <c r="S115" i="19"/>
  <c r="S69" i="19"/>
  <c r="I56" i="19" l="1"/>
  <c r="Y56" i="19"/>
  <c r="X56" i="19"/>
  <c r="Q56" i="19"/>
  <c r="P56" i="19"/>
  <c r="AA56" i="19"/>
  <c r="S56" i="19"/>
  <c r="I82" i="19"/>
  <c r="Y82" i="19"/>
  <c r="X82" i="19"/>
  <c r="Q82" i="19"/>
  <c r="P82" i="19"/>
  <c r="AA82" i="19"/>
  <c r="S82" i="19"/>
  <c r="T32" i="19"/>
  <c r="S32" i="19"/>
  <c r="L32" i="19"/>
  <c r="V32" i="19"/>
  <c r="AB32" i="19"/>
  <c r="AA32" i="19"/>
  <c r="AD32" i="19"/>
  <c r="I44" i="19"/>
  <c r="Y44" i="19"/>
  <c r="X44" i="19"/>
  <c r="Q44" i="19"/>
  <c r="P44" i="19"/>
  <c r="S44" i="19"/>
  <c r="AA44" i="19"/>
  <c r="I116" i="19"/>
  <c r="Y116" i="19"/>
  <c r="X116" i="19"/>
  <c r="Q116" i="19"/>
  <c r="P116" i="19"/>
  <c r="S116" i="19"/>
  <c r="AA116" i="19"/>
  <c r="P126" i="19"/>
  <c r="Q126" i="19"/>
  <c r="X126" i="19"/>
  <c r="I126" i="19"/>
  <c r="Y126" i="19"/>
  <c r="S126" i="19"/>
  <c r="AA126" i="19"/>
  <c r="V171" i="18" l="1"/>
  <c r="U171" i="18"/>
  <c r="T171" i="18"/>
  <c r="AB171" i="18" s="1"/>
  <c r="N171" i="18"/>
  <c r="R171" i="18" s="1"/>
  <c r="S171" i="18" s="1"/>
  <c r="M171" i="18"/>
  <c r="L171" i="18" s="1"/>
  <c r="J171" i="18"/>
  <c r="K171" i="18" s="1"/>
  <c r="H171" i="18"/>
  <c r="G171" i="18"/>
  <c r="F171" i="18"/>
  <c r="E171" i="18"/>
  <c r="Z170" i="18"/>
  <c r="AA170" i="18" s="1"/>
  <c r="W170" i="18"/>
  <c r="R170" i="18"/>
  <c r="S170" i="18" s="1"/>
  <c r="Q170" i="18"/>
  <c r="O170" i="18"/>
  <c r="L170" i="18"/>
  <c r="K170" i="18"/>
  <c r="E170" i="18"/>
  <c r="P170" i="18" s="1"/>
  <c r="Z169" i="18"/>
  <c r="AA169" i="18" s="1"/>
  <c r="W169" i="18"/>
  <c r="R169" i="18"/>
  <c r="S169" i="18" s="1"/>
  <c r="Q169" i="18"/>
  <c r="P169" i="18"/>
  <c r="O169" i="18"/>
  <c r="L169" i="18"/>
  <c r="K169" i="18"/>
  <c r="I169" i="18"/>
  <c r="E169" i="18"/>
  <c r="Y169" i="18" s="1"/>
  <c r="Z168" i="18"/>
  <c r="AA168" i="18" s="1"/>
  <c r="Y168" i="18"/>
  <c r="X168" i="18"/>
  <c r="W168" i="18"/>
  <c r="R168" i="18"/>
  <c r="S168" i="18" s="1"/>
  <c r="Q168" i="18"/>
  <c r="P168" i="18"/>
  <c r="O168" i="18"/>
  <c r="L168" i="18"/>
  <c r="K168" i="18"/>
  <c r="E168" i="18"/>
  <c r="I168" i="18" s="1"/>
  <c r="AB161" i="18"/>
  <c r="N161" i="18"/>
  <c r="R161" i="18" s="1"/>
  <c r="S161" i="18" s="1"/>
  <c r="M161" i="18"/>
  <c r="J161" i="18"/>
  <c r="L161" i="18" s="1"/>
  <c r="H161" i="18"/>
  <c r="K161" i="18" s="1"/>
  <c r="G161" i="18"/>
  <c r="F161" i="18"/>
  <c r="E161" i="18" s="1"/>
  <c r="Z160" i="18"/>
  <c r="W160" i="18"/>
  <c r="R160" i="18"/>
  <c r="S160" i="18" s="1"/>
  <c r="O160" i="18"/>
  <c r="L160" i="18"/>
  <c r="K160" i="18"/>
  <c r="I160" i="18"/>
  <c r="E160" i="18"/>
  <c r="AA159" i="18"/>
  <c r="Z159" i="18"/>
  <c r="X159" i="18"/>
  <c r="W159" i="18"/>
  <c r="R159" i="18"/>
  <c r="S159" i="18" s="1"/>
  <c r="Q159" i="18"/>
  <c r="P159" i="18"/>
  <c r="O159" i="18"/>
  <c r="L159" i="18"/>
  <c r="K159" i="18"/>
  <c r="E159" i="18"/>
  <c r="Y159" i="18" s="1"/>
  <c r="AA158" i="18"/>
  <c r="Z158" i="18"/>
  <c r="Y158" i="18"/>
  <c r="V158" i="18"/>
  <c r="V161" i="18" s="1"/>
  <c r="Z161" i="18" s="1"/>
  <c r="AA161" i="18" s="1"/>
  <c r="U158" i="18"/>
  <c r="U161" i="18" s="1"/>
  <c r="R158" i="18"/>
  <c r="S158" i="18" s="1"/>
  <c r="Q158" i="18"/>
  <c r="P158" i="18"/>
  <c r="O158" i="18"/>
  <c r="L158" i="18"/>
  <c r="K158" i="18"/>
  <c r="E158" i="18"/>
  <c r="X158" i="18" s="1"/>
  <c r="AB151" i="18"/>
  <c r="Z151" i="18"/>
  <c r="W151" i="18"/>
  <c r="R151" i="18"/>
  <c r="O151" i="18"/>
  <c r="L151" i="18"/>
  <c r="K151" i="18"/>
  <c r="AB150" i="18"/>
  <c r="V150" i="18"/>
  <c r="U150" i="18"/>
  <c r="R150" i="18"/>
  <c r="O150" i="18"/>
  <c r="N150" i="18"/>
  <c r="M150" i="18"/>
  <c r="L150" i="18"/>
  <c r="J150" i="18"/>
  <c r="K150" i="18" s="1"/>
  <c r="H150" i="18"/>
  <c r="G150" i="18"/>
  <c r="G151" i="18" s="1"/>
  <c r="F150" i="18"/>
  <c r="F151" i="18" s="1"/>
  <c r="Z149" i="18"/>
  <c r="AA149" i="18" s="1"/>
  <c r="Y149" i="18"/>
  <c r="W149" i="18"/>
  <c r="R149" i="18"/>
  <c r="O149" i="18"/>
  <c r="L149" i="18"/>
  <c r="K149" i="18"/>
  <c r="E149" i="18"/>
  <c r="Z148" i="18"/>
  <c r="AA148" i="18" s="1"/>
  <c r="Y148" i="18"/>
  <c r="X148" i="18"/>
  <c r="W148" i="18"/>
  <c r="R148" i="18"/>
  <c r="S148" i="18" s="1"/>
  <c r="Q148" i="18"/>
  <c r="P148" i="18"/>
  <c r="O148" i="18"/>
  <c r="L148" i="18"/>
  <c r="K148" i="18"/>
  <c r="I148" i="18"/>
  <c r="E148" i="18"/>
  <c r="Z147" i="18"/>
  <c r="W147" i="18"/>
  <c r="R147" i="18"/>
  <c r="S147" i="18" s="1"/>
  <c r="O147" i="18"/>
  <c r="L147" i="18"/>
  <c r="K147" i="18"/>
  <c r="I147" i="18"/>
  <c r="E147" i="18"/>
  <c r="AB140" i="18"/>
  <c r="Z140" i="18" s="1"/>
  <c r="W140" i="18"/>
  <c r="R140" i="18"/>
  <c r="O140" i="18"/>
  <c r="L140" i="18"/>
  <c r="K140" i="18"/>
  <c r="G140" i="18"/>
  <c r="F140" i="18"/>
  <c r="E140" i="18"/>
  <c r="Y140" i="18" s="1"/>
  <c r="AB139" i="18"/>
  <c r="V139" i="18"/>
  <c r="Z139" i="18" s="1"/>
  <c r="AA139" i="18" s="1"/>
  <c r="U139" i="18"/>
  <c r="W139" i="18" s="1"/>
  <c r="N139" i="18"/>
  <c r="M139" i="18"/>
  <c r="L139" i="18" s="1"/>
  <c r="J139" i="18"/>
  <c r="K139" i="18" s="1"/>
  <c r="H139" i="18"/>
  <c r="G139" i="18"/>
  <c r="F139" i="18"/>
  <c r="E139" i="18"/>
  <c r="AA138" i="18"/>
  <c r="Z138" i="18"/>
  <c r="X138" i="18"/>
  <c r="W138" i="18"/>
  <c r="R138" i="18"/>
  <c r="S138" i="18" s="1"/>
  <c r="Q138" i="18"/>
  <c r="P138" i="18"/>
  <c r="O138" i="18"/>
  <c r="L138" i="18"/>
  <c r="K138" i="18"/>
  <c r="E138" i="18"/>
  <c r="Y138" i="18" s="1"/>
  <c r="Z137" i="18"/>
  <c r="W137" i="18"/>
  <c r="S137" i="18"/>
  <c r="R137" i="18"/>
  <c r="O137" i="18"/>
  <c r="L137" i="18"/>
  <c r="K137" i="18"/>
  <c r="E137" i="18"/>
  <c r="Y137" i="18" s="1"/>
  <c r="Z136" i="18"/>
  <c r="AA136" i="18" s="1"/>
  <c r="Y136" i="18"/>
  <c r="X136" i="18"/>
  <c r="W136" i="18"/>
  <c r="R136" i="18"/>
  <c r="Q136" i="18"/>
  <c r="O136" i="18"/>
  <c r="L136" i="18"/>
  <c r="K136" i="18"/>
  <c r="I136" i="18"/>
  <c r="E136" i="18"/>
  <c r="S136" i="18" s="1"/>
  <c r="AB128" i="18"/>
  <c r="Z128" i="18"/>
  <c r="W128" i="18"/>
  <c r="R128" i="18"/>
  <c r="O128" i="18"/>
  <c r="L128" i="18"/>
  <c r="K128" i="18"/>
  <c r="G128" i="18"/>
  <c r="AB127" i="18"/>
  <c r="N127" i="18"/>
  <c r="R127" i="18" s="1"/>
  <c r="M127" i="18"/>
  <c r="L127" i="18" s="1"/>
  <c r="K127" i="18"/>
  <c r="J127" i="18"/>
  <c r="H127" i="18"/>
  <c r="G127" i="18"/>
  <c r="F127" i="18"/>
  <c r="U126" i="18"/>
  <c r="U127" i="18" s="1"/>
  <c r="R126" i="18"/>
  <c r="Q126" i="18"/>
  <c r="O126" i="18"/>
  <c r="L126" i="18"/>
  <c r="K126" i="18"/>
  <c r="I126" i="18"/>
  <c r="E126" i="18"/>
  <c r="S126" i="18" s="1"/>
  <c r="Z125" i="18"/>
  <c r="W125" i="18"/>
  <c r="R125" i="18"/>
  <c r="S125" i="18" s="1"/>
  <c r="O125" i="18"/>
  <c r="L125" i="18"/>
  <c r="K125" i="18"/>
  <c r="E125" i="18"/>
  <c r="AA124" i="18"/>
  <c r="Z124" i="18"/>
  <c r="X124" i="18"/>
  <c r="W124" i="18"/>
  <c r="R124" i="18"/>
  <c r="S124" i="18" s="1"/>
  <c r="Q124" i="18"/>
  <c r="P124" i="18"/>
  <c r="O124" i="18"/>
  <c r="L124" i="18"/>
  <c r="K124" i="18"/>
  <c r="I124" i="18"/>
  <c r="E124" i="18"/>
  <c r="Y124" i="18" s="1"/>
  <c r="R117" i="18"/>
  <c r="O117" i="18"/>
  <c r="L117" i="18"/>
  <c r="K117" i="18"/>
  <c r="G117" i="18"/>
  <c r="F117" i="18"/>
  <c r="E117" i="18" s="1"/>
  <c r="V116" i="18"/>
  <c r="U116" i="18"/>
  <c r="S116" i="18"/>
  <c r="N116" i="18"/>
  <c r="R116" i="18" s="1"/>
  <c r="M116" i="18"/>
  <c r="L116" i="18" s="1"/>
  <c r="J116" i="18"/>
  <c r="H116" i="18"/>
  <c r="K116" i="18" s="1"/>
  <c r="G116" i="18"/>
  <c r="F116" i="18"/>
  <c r="E116" i="18"/>
  <c r="AA115" i="18"/>
  <c r="Z115" i="18"/>
  <c r="W115" i="18"/>
  <c r="R115" i="18"/>
  <c r="S115" i="18" s="1"/>
  <c r="Q115" i="18"/>
  <c r="P115" i="18"/>
  <c r="O115" i="18"/>
  <c r="L115" i="18"/>
  <c r="K115" i="18"/>
  <c r="I115" i="18"/>
  <c r="E115" i="18"/>
  <c r="Y115" i="18" s="1"/>
  <c r="Z114" i="18"/>
  <c r="AA114" i="18" s="1"/>
  <c r="Y114" i="18"/>
  <c r="X114" i="18"/>
  <c r="W114" i="18"/>
  <c r="R114" i="18"/>
  <c r="S114" i="18" s="1"/>
  <c r="Q114" i="18"/>
  <c r="P114" i="18"/>
  <c r="O114" i="18"/>
  <c r="L114" i="18"/>
  <c r="K114" i="18"/>
  <c r="I114" i="18"/>
  <c r="E114" i="18"/>
  <c r="R107" i="18"/>
  <c r="O107" i="18"/>
  <c r="L107" i="18"/>
  <c r="K107" i="18"/>
  <c r="G107" i="18"/>
  <c r="E107" i="18" s="1"/>
  <c r="S107" i="18" s="1"/>
  <c r="F107" i="18"/>
  <c r="V106" i="18"/>
  <c r="W106" i="18" s="1"/>
  <c r="U106" i="18"/>
  <c r="R106" i="18"/>
  <c r="S106" i="18" s="1"/>
  <c r="Q106" i="18"/>
  <c r="N106" i="18"/>
  <c r="M106" i="18"/>
  <c r="J106" i="18"/>
  <c r="H106" i="18"/>
  <c r="I106" i="18" s="1"/>
  <c r="G106" i="18"/>
  <c r="F106" i="18"/>
  <c r="E106" i="18"/>
  <c r="X106" i="18" s="1"/>
  <c r="Z105" i="18"/>
  <c r="AA105" i="18" s="1"/>
  <c r="Y105" i="18"/>
  <c r="X105" i="18"/>
  <c r="W105" i="18"/>
  <c r="R105" i="18"/>
  <c r="Q105" i="18"/>
  <c r="O105" i="18"/>
  <c r="L105" i="18"/>
  <c r="K105" i="18"/>
  <c r="I105" i="18"/>
  <c r="E105" i="18"/>
  <c r="S105" i="18" s="1"/>
  <c r="Z104" i="18"/>
  <c r="W104" i="18"/>
  <c r="R104" i="18"/>
  <c r="S104" i="18" s="1"/>
  <c r="O104" i="18"/>
  <c r="L104" i="18"/>
  <c r="K104" i="18"/>
  <c r="E104" i="18"/>
  <c r="R97" i="18"/>
  <c r="O97" i="18"/>
  <c r="L97" i="18"/>
  <c r="K97" i="18"/>
  <c r="G97" i="18"/>
  <c r="AA96" i="18"/>
  <c r="X96" i="18"/>
  <c r="W96" i="18"/>
  <c r="V96" i="18"/>
  <c r="Z96" i="18" s="1"/>
  <c r="U96" i="18"/>
  <c r="N96" i="18"/>
  <c r="R96" i="18" s="1"/>
  <c r="S96" i="18" s="1"/>
  <c r="M96" i="18"/>
  <c r="J96" i="18"/>
  <c r="K96" i="18" s="1"/>
  <c r="H96" i="18"/>
  <c r="G96" i="18"/>
  <c r="F96" i="18"/>
  <c r="F97" i="18" s="1"/>
  <c r="E96" i="18"/>
  <c r="Z95" i="18"/>
  <c r="W95" i="18"/>
  <c r="R95" i="18"/>
  <c r="S95" i="18" s="1"/>
  <c r="O95" i="18"/>
  <c r="L95" i="18"/>
  <c r="K95" i="18"/>
  <c r="E95" i="18"/>
  <c r="Z94" i="18"/>
  <c r="AA94" i="18" s="1"/>
  <c r="W94" i="18"/>
  <c r="R94" i="18"/>
  <c r="S94" i="18" s="1"/>
  <c r="Q94" i="18"/>
  <c r="P94" i="18"/>
  <c r="O94" i="18"/>
  <c r="L94" i="18"/>
  <c r="K94" i="18"/>
  <c r="I94" i="18"/>
  <c r="E94" i="18"/>
  <c r="Y94" i="18" s="1"/>
  <c r="R87" i="18"/>
  <c r="O87" i="18"/>
  <c r="L87" i="18"/>
  <c r="K87" i="18"/>
  <c r="F87" i="18"/>
  <c r="E87" i="18"/>
  <c r="I87" i="18" s="1"/>
  <c r="V86" i="18"/>
  <c r="Z86" i="18" s="1"/>
  <c r="AA86" i="18" s="1"/>
  <c r="U86" i="18"/>
  <c r="R86" i="18"/>
  <c r="S86" i="18" s="1"/>
  <c r="O86" i="18"/>
  <c r="N86" i="18"/>
  <c r="M86" i="18"/>
  <c r="K86" i="18"/>
  <c r="J86" i="18"/>
  <c r="L86" i="18" s="1"/>
  <c r="H86" i="18"/>
  <c r="G86" i="18"/>
  <c r="G87" i="18" s="1"/>
  <c r="F86" i="18"/>
  <c r="E86" i="18" s="1"/>
  <c r="AA85" i="18"/>
  <c r="Z85" i="18"/>
  <c r="W85" i="18"/>
  <c r="S85" i="18"/>
  <c r="R85" i="18"/>
  <c r="P85" i="18"/>
  <c r="O85" i="18"/>
  <c r="L85" i="18"/>
  <c r="K85" i="18"/>
  <c r="E85" i="18"/>
  <c r="Z84" i="18"/>
  <c r="Y84" i="18"/>
  <c r="X84" i="18"/>
  <c r="W84" i="18"/>
  <c r="R84" i="18"/>
  <c r="Q84" i="18"/>
  <c r="O84" i="18"/>
  <c r="L84" i="18"/>
  <c r="K84" i="18"/>
  <c r="I84" i="18"/>
  <c r="E84" i="18"/>
  <c r="S84" i="18" s="1"/>
  <c r="G76" i="18"/>
  <c r="F76" i="18"/>
  <c r="E76" i="18" s="1"/>
  <c r="R75" i="18"/>
  <c r="O75" i="18"/>
  <c r="L75" i="18"/>
  <c r="K75" i="18"/>
  <c r="V74" i="18"/>
  <c r="Z74" i="18" s="1"/>
  <c r="AA74" i="18" s="1"/>
  <c r="U74" i="18"/>
  <c r="R74" i="18"/>
  <c r="S74" i="18" s="1"/>
  <c r="O74" i="18"/>
  <c r="N74" i="18"/>
  <c r="M74" i="18"/>
  <c r="J74" i="18"/>
  <c r="K74" i="18" s="1"/>
  <c r="H74" i="18"/>
  <c r="G74" i="18"/>
  <c r="G77" i="18" s="1"/>
  <c r="F74" i="18"/>
  <c r="F75" i="18" s="1"/>
  <c r="F77" i="18" s="1"/>
  <c r="E74" i="18"/>
  <c r="Z73" i="18"/>
  <c r="W73" i="18"/>
  <c r="S73" i="18"/>
  <c r="R73" i="18"/>
  <c r="Q73" i="18"/>
  <c r="O73" i="18"/>
  <c r="L73" i="18"/>
  <c r="K73" i="18"/>
  <c r="E73" i="18"/>
  <c r="Z72" i="18"/>
  <c r="AA72" i="18" s="1"/>
  <c r="W72" i="18"/>
  <c r="R72" i="18"/>
  <c r="S72" i="18" s="1"/>
  <c r="Q72" i="18"/>
  <c r="P72" i="18"/>
  <c r="O72" i="18"/>
  <c r="L72" i="18"/>
  <c r="K72" i="18"/>
  <c r="I72" i="18"/>
  <c r="E72" i="18"/>
  <c r="Y72" i="18" s="1"/>
  <c r="G64" i="18"/>
  <c r="E64" i="18" s="1"/>
  <c r="F64" i="18"/>
  <c r="R63" i="18"/>
  <c r="O63" i="18"/>
  <c r="L63" i="18"/>
  <c r="K63" i="18"/>
  <c r="G63" i="18"/>
  <c r="G65" i="18" s="1"/>
  <c r="V62" i="18"/>
  <c r="W62" i="18" s="1"/>
  <c r="U62" i="18"/>
  <c r="R62" i="18"/>
  <c r="N62" i="18"/>
  <c r="O62" i="18" s="1"/>
  <c r="M62" i="18"/>
  <c r="J62" i="18"/>
  <c r="H62" i="18"/>
  <c r="G62" i="18"/>
  <c r="F62" i="18"/>
  <c r="F63" i="18" s="1"/>
  <c r="E62" i="18"/>
  <c r="X62" i="18" s="1"/>
  <c r="Z61" i="18"/>
  <c r="Y61" i="18"/>
  <c r="X61" i="18"/>
  <c r="W61" i="18"/>
  <c r="R61" i="18"/>
  <c r="S61" i="18" s="1"/>
  <c r="Q61" i="18"/>
  <c r="O61" i="18"/>
  <c r="L61" i="18"/>
  <c r="K61" i="18"/>
  <c r="I61" i="18"/>
  <c r="E61" i="18"/>
  <c r="AA61" i="18" s="1"/>
  <c r="Z60" i="18"/>
  <c r="W60" i="18"/>
  <c r="R60" i="18"/>
  <c r="S60" i="18" s="1"/>
  <c r="O60" i="18"/>
  <c r="L60" i="18"/>
  <c r="K60" i="18"/>
  <c r="E60" i="18"/>
  <c r="G53" i="18"/>
  <c r="E53" i="18" s="1"/>
  <c r="F53" i="18"/>
  <c r="R52" i="18"/>
  <c r="S52" i="18" s="1"/>
  <c r="O52" i="18"/>
  <c r="L52" i="18"/>
  <c r="K52" i="18"/>
  <c r="G52" i="18"/>
  <c r="G54" i="18" s="1"/>
  <c r="F52" i="18"/>
  <c r="F54" i="18" s="1"/>
  <c r="E52" i="18"/>
  <c r="Y51" i="18"/>
  <c r="V51" i="18"/>
  <c r="U51" i="18"/>
  <c r="N51" i="18"/>
  <c r="R51" i="18" s="1"/>
  <c r="S51" i="18" s="1"/>
  <c r="M51" i="18"/>
  <c r="L51" i="18"/>
  <c r="K51" i="18"/>
  <c r="J51" i="18"/>
  <c r="H51" i="18"/>
  <c r="G51" i="18"/>
  <c r="F51" i="18"/>
  <c r="E51" i="18"/>
  <c r="P51" i="18" s="1"/>
  <c r="Z50" i="18"/>
  <c r="AA50" i="18" s="1"/>
  <c r="W50" i="18"/>
  <c r="R50" i="18"/>
  <c r="S50" i="18" s="1"/>
  <c r="Q50" i="18"/>
  <c r="P50" i="18"/>
  <c r="O50" i="18"/>
  <c r="L50" i="18"/>
  <c r="K50" i="18"/>
  <c r="I50" i="18"/>
  <c r="E50" i="18"/>
  <c r="Y50" i="18" s="1"/>
  <c r="Z49" i="18"/>
  <c r="AA49" i="18" s="1"/>
  <c r="Y49" i="18"/>
  <c r="X49" i="18"/>
  <c r="W49" i="18"/>
  <c r="R49" i="18"/>
  <c r="S49" i="18" s="1"/>
  <c r="P49" i="18"/>
  <c r="O49" i="18"/>
  <c r="L49" i="18"/>
  <c r="K49" i="18"/>
  <c r="I49" i="18"/>
  <c r="E49" i="18"/>
  <c r="Q49" i="18" s="1"/>
  <c r="Z48" i="18"/>
  <c r="W48" i="18"/>
  <c r="S48" i="18"/>
  <c r="R48" i="18"/>
  <c r="O48" i="18"/>
  <c r="L48" i="18"/>
  <c r="K48" i="18"/>
  <c r="E48" i="18"/>
  <c r="AA48" i="18" s="1"/>
  <c r="E41" i="18"/>
  <c r="R40" i="18"/>
  <c r="O40" i="18"/>
  <c r="L40" i="18"/>
  <c r="K40" i="18"/>
  <c r="F40" i="18"/>
  <c r="F42" i="18" s="1"/>
  <c r="V39" i="18"/>
  <c r="Z39" i="18" s="1"/>
  <c r="AA39" i="18" s="1"/>
  <c r="U39" i="18"/>
  <c r="W39" i="18" s="1"/>
  <c r="R39" i="18"/>
  <c r="S39" i="18" s="1"/>
  <c r="O39" i="18"/>
  <c r="N39" i="18"/>
  <c r="M39" i="18"/>
  <c r="J39" i="18"/>
  <c r="L39" i="18" s="1"/>
  <c r="H39" i="18"/>
  <c r="G39" i="18"/>
  <c r="G40" i="18" s="1"/>
  <c r="G42" i="18" s="1"/>
  <c r="F39" i="18"/>
  <c r="E39" i="18" s="1"/>
  <c r="Z38" i="18"/>
  <c r="AA38" i="18" s="1"/>
  <c r="W38" i="18"/>
  <c r="S38" i="18"/>
  <c r="R38" i="18"/>
  <c r="P38" i="18"/>
  <c r="O38" i="18"/>
  <c r="L38" i="18"/>
  <c r="K38" i="18"/>
  <c r="E38" i="18"/>
  <c r="Z37" i="18"/>
  <c r="Y37" i="18"/>
  <c r="X37" i="18"/>
  <c r="W37" i="18"/>
  <c r="R37" i="18"/>
  <c r="S37" i="18" s="1"/>
  <c r="Q37" i="18"/>
  <c r="P37" i="18"/>
  <c r="O37" i="18"/>
  <c r="L37" i="18"/>
  <c r="K37" i="18"/>
  <c r="I37" i="18"/>
  <c r="E37" i="18"/>
  <c r="AA37" i="18" s="1"/>
  <c r="Z36" i="18"/>
  <c r="AA36" i="18" s="1"/>
  <c r="W36" i="18"/>
  <c r="R36" i="18"/>
  <c r="S36" i="18" s="1"/>
  <c r="O36" i="18"/>
  <c r="L36" i="18"/>
  <c r="K36" i="18"/>
  <c r="E36" i="18"/>
  <c r="I36" i="18" s="1"/>
  <c r="E29" i="18"/>
  <c r="R28" i="18"/>
  <c r="O28" i="18"/>
  <c r="L28" i="18"/>
  <c r="K28" i="18"/>
  <c r="Z27" i="18"/>
  <c r="W27" i="18"/>
  <c r="V27" i="18"/>
  <c r="U27" i="18"/>
  <c r="N27" i="18"/>
  <c r="O27" i="18" s="1"/>
  <c r="M27" i="18"/>
  <c r="J27" i="18"/>
  <c r="K27" i="18" s="1"/>
  <c r="H27" i="18"/>
  <c r="G27" i="18"/>
  <c r="G28" i="18" s="1"/>
  <c r="G30" i="18" s="1"/>
  <c r="F27" i="18"/>
  <c r="Z26" i="18"/>
  <c r="AA26" i="18" s="1"/>
  <c r="Y26" i="18"/>
  <c r="X26" i="18"/>
  <c r="W26" i="18"/>
  <c r="R26" i="18"/>
  <c r="S26" i="18" s="1"/>
  <c r="O26" i="18"/>
  <c r="L26" i="18"/>
  <c r="K26" i="18"/>
  <c r="I26" i="18"/>
  <c r="E26" i="18"/>
  <c r="Q26" i="18" s="1"/>
  <c r="Z25" i="18"/>
  <c r="W25" i="18"/>
  <c r="R25" i="18"/>
  <c r="O25" i="18"/>
  <c r="L25" i="18"/>
  <c r="K25" i="18"/>
  <c r="E25" i="18"/>
  <c r="X25" i="18" s="1"/>
  <c r="Z24" i="18"/>
  <c r="W24" i="18"/>
  <c r="R24" i="18"/>
  <c r="S24" i="18" s="1"/>
  <c r="Q24" i="18"/>
  <c r="O24" i="18"/>
  <c r="L24" i="18"/>
  <c r="K24" i="18"/>
  <c r="E24" i="18"/>
  <c r="AC17" i="18"/>
  <c r="AD17" i="18" s="1"/>
  <c r="Z17" i="18"/>
  <c r="Y17" i="18"/>
  <c r="X17" i="18"/>
  <c r="Q17" i="18"/>
  <c r="R17" i="18" s="1"/>
  <c r="P17" i="18"/>
  <c r="M17" i="18"/>
  <c r="N17" i="18" s="1"/>
  <c r="L17" i="18"/>
  <c r="K17" i="18"/>
  <c r="J17" i="18"/>
  <c r="I17" i="18"/>
  <c r="AC16" i="18"/>
  <c r="AD16" i="18" s="1"/>
  <c r="AB16" i="18"/>
  <c r="AA16" i="18"/>
  <c r="Z16" i="18"/>
  <c r="U16" i="18"/>
  <c r="V16" i="18" s="1"/>
  <c r="R16" i="18"/>
  <c r="O16" i="18"/>
  <c r="N16" i="18"/>
  <c r="L16" i="18"/>
  <c r="H16" i="18"/>
  <c r="H17" i="18" s="1"/>
  <c r="V209" i="17"/>
  <c r="U209" i="17"/>
  <c r="T209" i="17"/>
  <c r="AB209" i="17" s="1"/>
  <c r="P209" i="17"/>
  <c r="O209" i="17"/>
  <c r="N209" i="17"/>
  <c r="R209" i="17" s="1"/>
  <c r="M209" i="17"/>
  <c r="L209" i="17" s="1"/>
  <c r="J209" i="17"/>
  <c r="H209" i="17"/>
  <c r="G209" i="17"/>
  <c r="F209" i="17"/>
  <c r="E209" i="17" s="1"/>
  <c r="Z208" i="17"/>
  <c r="W208" i="17"/>
  <c r="R208" i="17"/>
  <c r="O208" i="17"/>
  <c r="L208" i="17"/>
  <c r="K208" i="17"/>
  <c r="E208" i="17"/>
  <c r="S208" i="17" s="1"/>
  <c r="AA207" i="17"/>
  <c r="Z207" i="17"/>
  <c r="W207" i="17"/>
  <c r="R207" i="17"/>
  <c r="S207" i="17" s="1"/>
  <c r="Q207" i="17"/>
  <c r="P207" i="17"/>
  <c r="O207" i="17"/>
  <c r="L207" i="17"/>
  <c r="K207" i="17"/>
  <c r="E207" i="17"/>
  <c r="Y207" i="17" s="1"/>
  <c r="Z206" i="17"/>
  <c r="AA206" i="17" s="1"/>
  <c r="Y206" i="17"/>
  <c r="X206" i="17"/>
  <c r="W206" i="17"/>
  <c r="R206" i="17"/>
  <c r="S206" i="17" s="1"/>
  <c r="Q206" i="17"/>
  <c r="P206" i="17"/>
  <c r="O206" i="17"/>
  <c r="L206" i="17"/>
  <c r="K206" i="17"/>
  <c r="E206" i="17"/>
  <c r="I206" i="17" s="1"/>
  <c r="AB198" i="17"/>
  <c r="Z198" i="17"/>
  <c r="Y198" i="17"/>
  <c r="W198" i="17"/>
  <c r="V198" i="17"/>
  <c r="U198" i="17"/>
  <c r="R198" i="17"/>
  <c r="O198" i="17"/>
  <c r="N198" i="17"/>
  <c r="M198" i="17"/>
  <c r="J198" i="17"/>
  <c r="L198" i="17" s="1"/>
  <c r="H198" i="17"/>
  <c r="G198" i="17"/>
  <c r="F198" i="17"/>
  <c r="E198" i="17" s="1"/>
  <c r="I198" i="17" s="1"/>
  <c r="Z197" i="17"/>
  <c r="W197" i="17"/>
  <c r="R197" i="17"/>
  <c r="O197" i="17"/>
  <c r="L197" i="17"/>
  <c r="K197" i="17"/>
  <c r="I197" i="17"/>
  <c r="E197" i="17"/>
  <c r="Z196" i="17"/>
  <c r="W196" i="17"/>
  <c r="R196" i="17"/>
  <c r="S196" i="17" s="1"/>
  <c r="Q196" i="17"/>
  <c r="O196" i="17"/>
  <c r="L196" i="17"/>
  <c r="K196" i="17"/>
  <c r="E196" i="17"/>
  <c r="Z195" i="17"/>
  <c r="AA195" i="17" s="1"/>
  <c r="Y195" i="17"/>
  <c r="X195" i="17"/>
  <c r="W195" i="17"/>
  <c r="R195" i="17"/>
  <c r="S195" i="17" s="1"/>
  <c r="Q195" i="17"/>
  <c r="P195" i="17"/>
  <c r="O195" i="17"/>
  <c r="L195" i="17"/>
  <c r="K195" i="17"/>
  <c r="I195" i="17"/>
  <c r="E195" i="17"/>
  <c r="AB187" i="17"/>
  <c r="Z187" i="17"/>
  <c r="W187" i="17"/>
  <c r="R187" i="17"/>
  <c r="O187" i="17"/>
  <c r="L187" i="17"/>
  <c r="K187" i="17"/>
  <c r="AB186" i="17"/>
  <c r="Z186" i="17"/>
  <c r="V186" i="17"/>
  <c r="W186" i="17" s="1"/>
  <c r="U186" i="17"/>
  <c r="R186" i="17"/>
  <c r="O186" i="17"/>
  <c r="N186" i="17"/>
  <c r="M186" i="17"/>
  <c r="J186" i="17"/>
  <c r="L186" i="17" s="1"/>
  <c r="H186" i="17"/>
  <c r="G186" i="17"/>
  <c r="G187" i="17" s="1"/>
  <c r="F186" i="17"/>
  <c r="F187" i="17" s="1"/>
  <c r="Z185" i="17"/>
  <c r="AA185" i="17" s="1"/>
  <c r="Y185" i="17"/>
  <c r="X185" i="17"/>
  <c r="W185" i="17"/>
  <c r="R185" i="17"/>
  <c r="P185" i="17"/>
  <c r="O185" i="17"/>
  <c r="L185" i="17"/>
  <c r="K185" i="17"/>
  <c r="E185" i="17"/>
  <c r="S185" i="17" s="1"/>
  <c r="Z184" i="17"/>
  <c r="W184" i="17"/>
  <c r="S184" i="17"/>
  <c r="R184" i="17"/>
  <c r="O184" i="17"/>
  <c r="L184" i="17"/>
  <c r="K184" i="17"/>
  <c r="E184" i="17"/>
  <c r="Z183" i="17"/>
  <c r="W183" i="17"/>
  <c r="R183" i="17"/>
  <c r="O183" i="17"/>
  <c r="L183" i="17"/>
  <c r="K183" i="17"/>
  <c r="E183" i="17"/>
  <c r="S183" i="17" s="1"/>
  <c r="AB175" i="17"/>
  <c r="Z175" i="17" s="1"/>
  <c r="AA175" i="17" s="1"/>
  <c r="W175" i="17"/>
  <c r="R175" i="17"/>
  <c r="O175" i="17"/>
  <c r="L175" i="17"/>
  <c r="K175" i="17"/>
  <c r="G175" i="17"/>
  <c r="F175" i="17"/>
  <c r="AB174" i="17"/>
  <c r="V174" i="17"/>
  <c r="U174" i="17"/>
  <c r="N174" i="17"/>
  <c r="O174" i="17" s="1"/>
  <c r="M174" i="17"/>
  <c r="L174" i="17" s="1"/>
  <c r="K174" i="17"/>
  <c r="J174" i="17"/>
  <c r="H174" i="17"/>
  <c r="G174" i="17"/>
  <c r="F174" i="17"/>
  <c r="E174" i="17"/>
  <c r="E175" i="17" s="1"/>
  <c r="AA173" i="17"/>
  <c r="Z173" i="17"/>
  <c r="Y173" i="17"/>
  <c r="X173" i="17"/>
  <c r="W173" i="17"/>
  <c r="R173" i="17"/>
  <c r="S173" i="17" s="1"/>
  <c r="Q173" i="17"/>
  <c r="P173" i="17"/>
  <c r="O173" i="17"/>
  <c r="L173" i="17"/>
  <c r="K173" i="17"/>
  <c r="I173" i="17"/>
  <c r="E173" i="17"/>
  <c r="Z172" i="17"/>
  <c r="AA172" i="17" s="1"/>
  <c r="Y172" i="17"/>
  <c r="X172" i="17"/>
  <c r="W172" i="17"/>
  <c r="R172" i="17"/>
  <c r="P172" i="17"/>
  <c r="O172" i="17"/>
  <c r="L172" i="17"/>
  <c r="K172" i="17"/>
  <c r="E172" i="17"/>
  <c r="S172" i="17" s="1"/>
  <c r="Z171" i="17"/>
  <c r="W171" i="17"/>
  <c r="R171" i="17"/>
  <c r="O171" i="17"/>
  <c r="L171" i="17"/>
  <c r="K171" i="17"/>
  <c r="I171" i="17"/>
  <c r="E171" i="17"/>
  <c r="AB163" i="17"/>
  <c r="Z163" i="17" s="1"/>
  <c r="W163" i="17"/>
  <c r="R163" i="17"/>
  <c r="O163" i="17"/>
  <c r="L163" i="17"/>
  <c r="K163" i="17"/>
  <c r="AB162" i="17"/>
  <c r="V162" i="17"/>
  <c r="Z162" i="17" s="1"/>
  <c r="U162" i="17"/>
  <c r="O162" i="17"/>
  <c r="N162" i="17"/>
  <c r="R162" i="17" s="1"/>
  <c r="M162" i="17"/>
  <c r="L162" i="17" s="1"/>
  <c r="J162" i="17"/>
  <c r="H162" i="17"/>
  <c r="K162" i="17" s="1"/>
  <c r="G162" i="17"/>
  <c r="G163" i="17" s="1"/>
  <c r="F162" i="17"/>
  <c r="F163" i="17" s="1"/>
  <c r="E162" i="17"/>
  <c r="X162" i="17" s="1"/>
  <c r="Z161" i="17"/>
  <c r="W161" i="17"/>
  <c r="R161" i="17"/>
  <c r="S161" i="17" s="1"/>
  <c r="Q161" i="17"/>
  <c r="O161" i="17"/>
  <c r="L161" i="17"/>
  <c r="K161" i="17"/>
  <c r="E161" i="17"/>
  <c r="Z160" i="17"/>
  <c r="AA160" i="17" s="1"/>
  <c r="Y160" i="17"/>
  <c r="X160" i="17"/>
  <c r="W160" i="17"/>
  <c r="R160" i="17"/>
  <c r="S160" i="17" s="1"/>
  <c r="Q160" i="17"/>
  <c r="P160" i="17"/>
  <c r="O160" i="17"/>
  <c r="L160" i="17"/>
  <c r="K160" i="17"/>
  <c r="I160" i="17"/>
  <c r="E160" i="17"/>
  <c r="Z159" i="17"/>
  <c r="AA159" i="17" s="1"/>
  <c r="Y159" i="17"/>
  <c r="X159" i="17"/>
  <c r="W159" i="17"/>
  <c r="R159" i="17"/>
  <c r="P159" i="17"/>
  <c r="O159" i="17"/>
  <c r="L159" i="17"/>
  <c r="K159" i="17"/>
  <c r="E159" i="17"/>
  <c r="S159" i="17" s="1"/>
  <c r="R142" i="17"/>
  <c r="O142" i="17"/>
  <c r="L142" i="17"/>
  <c r="K142" i="17"/>
  <c r="Z141" i="17"/>
  <c r="AA141" i="17" s="1"/>
  <c r="Y141" i="17"/>
  <c r="W141" i="17"/>
  <c r="V141" i="17"/>
  <c r="U141" i="17"/>
  <c r="R141" i="17"/>
  <c r="S141" i="17" s="1"/>
  <c r="N141" i="17"/>
  <c r="O141" i="17" s="1"/>
  <c r="M141" i="17"/>
  <c r="J141" i="17"/>
  <c r="L141" i="17" s="1"/>
  <c r="H141" i="17"/>
  <c r="G141" i="17"/>
  <c r="G142" i="17" s="1"/>
  <c r="F141" i="17"/>
  <c r="E141" i="17" s="1"/>
  <c r="X141" i="17" s="1"/>
  <c r="Z140" i="17"/>
  <c r="AA140" i="17" s="1"/>
  <c r="Y140" i="17"/>
  <c r="X140" i="17"/>
  <c r="W140" i="17"/>
  <c r="R140" i="17"/>
  <c r="S140" i="17" s="1"/>
  <c r="O140" i="17"/>
  <c r="L140" i="17"/>
  <c r="K140" i="17"/>
  <c r="I140" i="17"/>
  <c r="E140" i="17"/>
  <c r="Q140" i="17" s="1"/>
  <c r="Z139" i="17"/>
  <c r="W139" i="17"/>
  <c r="R139" i="17"/>
  <c r="S139" i="17" s="1"/>
  <c r="O139" i="17"/>
  <c r="L139" i="17"/>
  <c r="K139" i="17"/>
  <c r="E139" i="17"/>
  <c r="AB131" i="17"/>
  <c r="Z131" i="17"/>
  <c r="W131" i="17"/>
  <c r="V131" i="17"/>
  <c r="U131" i="17"/>
  <c r="T131" i="17"/>
  <c r="O131" i="17"/>
  <c r="N131" i="17"/>
  <c r="M131" i="17"/>
  <c r="L131" i="17"/>
  <c r="J131" i="17"/>
  <c r="H131" i="17"/>
  <c r="G131" i="17"/>
  <c r="F131" i="17"/>
  <c r="Z130" i="17"/>
  <c r="W130" i="17"/>
  <c r="R130" i="17"/>
  <c r="R131" i="17" s="1"/>
  <c r="Q130" i="17"/>
  <c r="Q131" i="17" s="1"/>
  <c r="O130" i="17"/>
  <c r="L130" i="17"/>
  <c r="K130" i="17"/>
  <c r="K131" i="17" s="1"/>
  <c r="E130" i="17"/>
  <c r="P130" i="17" s="1"/>
  <c r="P131" i="17" s="1"/>
  <c r="R122" i="17"/>
  <c r="S122" i="17" s="1"/>
  <c r="Q122" i="17"/>
  <c r="O122" i="17"/>
  <c r="L122" i="17"/>
  <c r="K122" i="17"/>
  <c r="G122" i="17"/>
  <c r="F122" i="17"/>
  <c r="E122" i="17"/>
  <c r="P122" i="17" s="1"/>
  <c r="W121" i="17"/>
  <c r="V121" i="17"/>
  <c r="Z121" i="17" s="1"/>
  <c r="AA121" i="17" s="1"/>
  <c r="U121" i="17"/>
  <c r="N121" i="17"/>
  <c r="M121" i="17"/>
  <c r="L121" i="17"/>
  <c r="K121" i="17"/>
  <c r="J121" i="17"/>
  <c r="H121" i="17"/>
  <c r="G121" i="17"/>
  <c r="F121" i="17"/>
  <c r="E121" i="17"/>
  <c r="Z120" i="17"/>
  <c r="AA120" i="17" s="1"/>
  <c r="R120" i="17"/>
  <c r="S120" i="17" s="1"/>
  <c r="L120" i="17"/>
  <c r="K120" i="17"/>
  <c r="E120" i="17"/>
  <c r="I120" i="17" s="1"/>
  <c r="Z119" i="17"/>
  <c r="AA119" i="17" s="1"/>
  <c r="X119" i="17"/>
  <c r="W119" i="17"/>
  <c r="R119" i="17"/>
  <c r="S119" i="17" s="1"/>
  <c r="Q119" i="17"/>
  <c r="P119" i="17"/>
  <c r="O119" i="17"/>
  <c r="L119" i="17"/>
  <c r="K119" i="17"/>
  <c r="I119" i="17"/>
  <c r="E119" i="17"/>
  <c r="Y119" i="17" s="1"/>
  <c r="AA118" i="17"/>
  <c r="Z118" i="17"/>
  <c r="R118" i="17"/>
  <c r="S118" i="17" s="1"/>
  <c r="O118" i="17"/>
  <c r="L118" i="17"/>
  <c r="K118" i="17"/>
  <c r="E118" i="17"/>
  <c r="I118" i="17" s="1"/>
  <c r="R111" i="17"/>
  <c r="O111" i="17"/>
  <c r="L111" i="17"/>
  <c r="K111" i="17"/>
  <c r="G111" i="17"/>
  <c r="Y110" i="17"/>
  <c r="V110" i="17"/>
  <c r="Z110" i="17" s="1"/>
  <c r="U110" i="17"/>
  <c r="N110" i="17"/>
  <c r="R110" i="17" s="1"/>
  <c r="S110" i="17" s="1"/>
  <c r="M110" i="17"/>
  <c r="L110" i="17" s="1"/>
  <c r="J110" i="17"/>
  <c r="H110" i="17"/>
  <c r="K110" i="17" s="1"/>
  <c r="G110" i="17"/>
  <c r="F110" i="17"/>
  <c r="F111" i="17" s="1"/>
  <c r="E110" i="17"/>
  <c r="X110" i="17" s="1"/>
  <c r="Z109" i="17"/>
  <c r="AA109" i="17" s="1"/>
  <c r="R109" i="17"/>
  <c r="S109" i="17" s="1"/>
  <c r="Q109" i="17"/>
  <c r="P109" i="17"/>
  <c r="O109" i="17"/>
  <c r="L109" i="17"/>
  <c r="K109" i="17"/>
  <c r="I109" i="17"/>
  <c r="E109" i="17"/>
  <c r="Z108" i="17"/>
  <c r="AA108" i="17" s="1"/>
  <c r="Y108" i="17"/>
  <c r="X108" i="17"/>
  <c r="W108" i="17"/>
  <c r="R108" i="17"/>
  <c r="S108" i="17" s="1"/>
  <c r="O108" i="17"/>
  <c r="L108" i="17"/>
  <c r="K108" i="17"/>
  <c r="I108" i="17"/>
  <c r="E108" i="17"/>
  <c r="Q108" i="17" s="1"/>
  <c r="Z107" i="17"/>
  <c r="W107" i="17"/>
  <c r="S107" i="17"/>
  <c r="R107" i="17"/>
  <c r="Q107" i="17"/>
  <c r="O107" i="17"/>
  <c r="L107" i="17"/>
  <c r="K107" i="17"/>
  <c r="I107" i="17"/>
  <c r="E107" i="17"/>
  <c r="R98" i="17"/>
  <c r="O98" i="17"/>
  <c r="L98" i="17"/>
  <c r="K98" i="17"/>
  <c r="V97" i="17"/>
  <c r="Z97" i="17" s="1"/>
  <c r="U97" i="17"/>
  <c r="N97" i="17"/>
  <c r="R97" i="17" s="1"/>
  <c r="S97" i="17" s="1"/>
  <c r="M97" i="17"/>
  <c r="L97" i="17" s="1"/>
  <c r="J97" i="17"/>
  <c r="K97" i="17" s="1"/>
  <c r="H97" i="17"/>
  <c r="G97" i="17"/>
  <c r="G98" i="17" s="1"/>
  <c r="F97" i="17"/>
  <c r="F98" i="17" s="1"/>
  <c r="E97" i="17"/>
  <c r="AA96" i="17"/>
  <c r="Z96" i="17"/>
  <c r="W96" i="17"/>
  <c r="S96" i="17"/>
  <c r="R96" i="17"/>
  <c r="Q96" i="17"/>
  <c r="P96" i="17"/>
  <c r="O96" i="17"/>
  <c r="L96" i="17"/>
  <c r="K96" i="17"/>
  <c r="E96" i="17"/>
  <c r="AA95" i="17"/>
  <c r="Z95" i="17"/>
  <c r="Y95" i="17"/>
  <c r="W95" i="17"/>
  <c r="R95" i="17"/>
  <c r="S95" i="17" s="1"/>
  <c r="Q95" i="17"/>
  <c r="P95" i="17"/>
  <c r="O95" i="17"/>
  <c r="L95" i="17"/>
  <c r="K95" i="17"/>
  <c r="I95" i="17"/>
  <c r="E95" i="17"/>
  <c r="X95" i="17" s="1"/>
  <c r="Z94" i="17"/>
  <c r="AA94" i="17" s="1"/>
  <c r="Y94" i="17"/>
  <c r="X94" i="17"/>
  <c r="W94" i="17"/>
  <c r="R94" i="17"/>
  <c r="S94" i="17" s="1"/>
  <c r="O94" i="17"/>
  <c r="L94" i="17"/>
  <c r="K94" i="17"/>
  <c r="I94" i="17"/>
  <c r="E94" i="17"/>
  <c r="Q94" i="17" s="1"/>
  <c r="E86" i="17"/>
  <c r="R85" i="17"/>
  <c r="O85" i="17"/>
  <c r="L85" i="17"/>
  <c r="K85" i="17"/>
  <c r="G85" i="17"/>
  <c r="G87" i="17" s="1"/>
  <c r="V84" i="17"/>
  <c r="Z84" i="17" s="1"/>
  <c r="U84" i="17"/>
  <c r="N84" i="17"/>
  <c r="M84" i="17"/>
  <c r="L84" i="17" s="1"/>
  <c r="K84" i="17"/>
  <c r="J84" i="17"/>
  <c r="H84" i="17"/>
  <c r="G84" i="17"/>
  <c r="F84" i="17"/>
  <c r="F85" i="17" s="1"/>
  <c r="E84" i="17"/>
  <c r="AA83" i="17"/>
  <c r="Z83" i="17"/>
  <c r="X83" i="17"/>
  <c r="W83" i="17"/>
  <c r="R83" i="17"/>
  <c r="S83" i="17" s="1"/>
  <c r="Q83" i="17"/>
  <c r="P83" i="17"/>
  <c r="O83" i="17"/>
  <c r="L83" i="17"/>
  <c r="K83" i="17"/>
  <c r="E83" i="17"/>
  <c r="I83" i="17" s="1"/>
  <c r="Z82" i="17"/>
  <c r="AA82" i="17" s="1"/>
  <c r="Y82" i="17"/>
  <c r="X82" i="17"/>
  <c r="W82" i="17"/>
  <c r="R82" i="17"/>
  <c r="P82" i="17"/>
  <c r="O82" i="17"/>
  <c r="L82" i="17"/>
  <c r="K82" i="17"/>
  <c r="E82" i="17"/>
  <c r="S82" i="17" s="1"/>
  <c r="Z81" i="17"/>
  <c r="AA81" i="17" s="1"/>
  <c r="Y81" i="17"/>
  <c r="W81" i="17"/>
  <c r="R81" i="17"/>
  <c r="O81" i="17"/>
  <c r="L81" i="17"/>
  <c r="K81" i="17"/>
  <c r="I81" i="17"/>
  <c r="E81" i="17"/>
  <c r="E73" i="17"/>
  <c r="R72" i="17"/>
  <c r="O72" i="17"/>
  <c r="L72" i="17"/>
  <c r="K72" i="17"/>
  <c r="G72" i="17"/>
  <c r="G74" i="17" s="1"/>
  <c r="F72" i="17"/>
  <c r="F74" i="17" s="1"/>
  <c r="V71" i="17"/>
  <c r="U71" i="17"/>
  <c r="S71" i="17"/>
  <c r="R71" i="17"/>
  <c r="N71" i="17"/>
  <c r="M71" i="17"/>
  <c r="L71" i="17" s="1"/>
  <c r="J71" i="17"/>
  <c r="K71" i="17" s="1"/>
  <c r="H71" i="17"/>
  <c r="G71" i="17"/>
  <c r="F71" i="17"/>
  <c r="E71" i="17"/>
  <c r="AA70" i="17"/>
  <c r="Z70" i="17"/>
  <c r="Y70" i="17"/>
  <c r="W70" i="17"/>
  <c r="R70" i="17"/>
  <c r="Q70" i="17"/>
  <c r="P70" i="17"/>
  <c r="O70" i="17"/>
  <c r="L70" i="17"/>
  <c r="K70" i="17"/>
  <c r="I70" i="17"/>
  <c r="E70" i="17"/>
  <c r="S70" i="17" s="1"/>
  <c r="Z69" i="17"/>
  <c r="AA69" i="17" s="1"/>
  <c r="Y69" i="17"/>
  <c r="X69" i="17"/>
  <c r="W69" i="17"/>
  <c r="R69" i="17"/>
  <c r="S69" i="17" s="1"/>
  <c r="P69" i="17"/>
  <c r="O69" i="17"/>
  <c r="L69" i="17"/>
  <c r="K69" i="17"/>
  <c r="I69" i="17"/>
  <c r="E69" i="17"/>
  <c r="Q69" i="17" s="1"/>
  <c r="Z68" i="17"/>
  <c r="W68" i="17"/>
  <c r="R68" i="17"/>
  <c r="S68" i="17" s="1"/>
  <c r="O68" i="17"/>
  <c r="L68" i="17"/>
  <c r="K68" i="17"/>
  <c r="E68" i="17"/>
  <c r="E60" i="17"/>
  <c r="R59" i="17"/>
  <c r="O59" i="17"/>
  <c r="L59" i="17"/>
  <c r="K59" i="17"/>
  <c r="F59" i="17"/>
  <c r="F61" i="17" s="1"/>
  <c r="Z58" i="17"/>
  <c r="V58" i="17"/>
  <c r="W58" i="17" s="1"/>
  <c r="U58" i="17"/>
  <c r="R58" i="17"/>
  <c r="O58" i="17"/>
  <c r="N58" i="17"/>
  <c r="M58" i="17"/>
  <c r="L58" i="17"/>
  <c r="K58" i="17"/>
  <c r="J58" i="17"/>
  <c r="H58" i="17"/>
  <c r="G58" i="17"/>
  <c r="G59" i="17" s="1"/>
  <c r="G61" i="17" s="1"/>
  <c r="F58" i="17"/>
  <c r="Z57" i="17"/>
  <c r="AA57" i="17" s="1"/>
  <c r="Y57" i="17"/>
  <c r="X57" i="17"/>
  <c r="W57" i="17"/>
  <c r="R57" i="17"/>
  <c r="P57" i="17"/>
  <c r="O57" i="17"/>
  <c r="L57" i="17"/>
  <c r="K57" i="17"/>
  <c r="E57" i="17"/>
  <c r="S57" i="17" s="1"/>
  <c r="Z56" i="17"/>
  <c r="Y56" i="17"/>
  <c r="W56" i="17"/>
  <c r="S56" i="17"/>
  <c r="R56" i="17"/>
  <c r="O56" i="17"/>
  <c r="L56" i="17"/>
  <c r="K56" i="17"/>
  <c r="I56" i="17"/>
  <c r="E56" i="17"/>
  <c r="Z55" i="17"/>
  <c r="W55" i="17"/>
  <c r="R55" i="17"/>
  <c r="S55" i="17" s="1"/>
  <c r="O55" i="17"/>
  <c r="L55" i="17"/>
  <c r="K55" i="17"/>
  <c r="E55" i="17"/>
  <c r="Q55" i="17" s="1"/>
  <c r="G48" i="17"/>
  <c r="E47" i="17"/>
  <c r="R46" i="17"/>
  <c r="O46" i="17"/>
  <c r="L46" i="17"/>
  <c r="K46" i="17"/>
  <c r="AA45" i="17"/>
  <c r="Z45" i="17"/>
  <c r="Y45" i="17"/>
  <c r="W45" i="17"/>
  <c r="V45" i="17"/>
  <c r="U45" i="17"/>
  <c r="R45" i="17"/>
  <c r="S45" i="17" s="1"/>
  <c r="Q45" i="17"/>
  <c r="N45" i="17"/>
  <c r="O45" i="17" s="1"/>
  <c r="M45" i="17"/>
  <c r="J45" i="17"/>
  <c r="K45" i="17" s="1"/>
  <c r="H45" i="17"/>
  <c r="I45" i="17" s="1"/>
  <c r="G45" i="17"/>
  <c r="G46" i="17" s="1"/>
  <c r="F45" i="17"/>
  <c r="E45" i="17" s="1"/>
  <c r="Z44" i="17"/>
  <c r="AA44" i="17" s="1"/>
  <c r="Y44" i="17"/>
  <c r="X44" i="17"/>
  <c r="W44" i="17"/>
  <c r="R44" i="17"/>
  <c r="S44" i="17" s="1"/>
  <c r="Q44" i="17"/>
  <c r="O44" i="17"/>
  <c r="L44" i="17"/>
  <c r="K44" i="17"/>
  <c r="I44" i="17"/>
  <c r="E44" i="17"/>
  <c r="P44" i="17" s="1"/>
  <c r="Z43" i="17"/>
  <c r="X43" i="17"/>
  <c r="W43" i="17"/>
  <c r="R43" i="17"/>
  <c r="O43" i="17"/>
  <c r="L43" i="17"/>
  <c r="K43" i="17"/>
  <c r="E43" i="17"/>
  <c r="S43" i="17" s="1"/>
  <c r="AA42" i="17"/>
  <c r="Z42" i="17"/>
  <c r="W42" i="17"/>
  <c r="S42" i="17"/>
  <c r="R42" i="17"/>
  <c r="Q42" i="17"/>
  <c r="P42" i="17"/>
  <c r="O42" i="17"/>
  <c r="L42" i="17"/>
  <c r="K42" i="17"/>
  <c r="E42" i="17"/>
  <c r="E34" i="17"/>
  <c r="R33" i="17"/>
  <c r="O33" i="17"/>
  <c r="L33" i="17"/>
  <c r="K33" i="17"/>
  <c r="Z32" i="17"/>
  <c r="V32" i="17"/>
  <c r="W32" i="17" s="1"/>
  <c r="U32" i="17"/>
  <c r="R32" i="17"/>
  <c r="O32" i="17"/>
  <c r="N32" i="17"/>
  <c r="M32" i="17"/>
  <c r="J32" i="17"/>
  <c r="K32" i="17" s="1"/>
  <c r="H32" i="17"/>
  <c r="G32" i="17"/>
  <c r="F32" i="17"/>
  <c r="F33" i="17" s="1"/>
  <c r="Z31" i="17"/>
  <c r="W31" i="17"/>
  <c r="R31" i="17"/>
  <c r="O31" i="17"/>
  <c r="L31" i="17"/>
  <c r="K31" i="17"/>
  <c r="E31" i="17"/>
  <c r="I31" i="17" s="1"/>
  <c r="Z30" i="17"/>
  <c r="AA30" i="17" s="1"/>
  <c r="W30" i="17"/>
  <c r="R30" i="17"/>
  <c r="S30" i="17" s="1"/>
  <c r="O30" i="17"/>
  <c r="L30" i="17"/>
  <c r="K30" i="17"/>
  <c r="I30" i="17"/>
  <c r="E30" i="17"/>
  <c r="Z29" i="17"/>
  <c r="AA29" i="17" s="1"/>
  <c r="X29" i="17"/>
  <c r="W29" i="17"/>
  <c r="R29" i="17"/>
  <c r="S29" i="17" s="1"/>
  <c r="Q29" i="17"/>
  <c r="P29" i="17"/>
  <c r="O29" i="17"/>
  <c r="L29" i="17"/>
  <c r="K29" i="17"/>
  <c r="I29" i="17"/>
  <c r="E29" i="17"/>
  <c r="Y29" i="17" s="1"/>
  <c r="AC24" i="17"/>
  <c r="Y24" i="17"/>
  <c r="Z24" i="17" s="1"/>
  <c r="X24" i="17"/>
  <c r="U24" i="17"/>
  <c r="R24" i="17"/>
  <c r="Q24" i="17"/>
  <c r="P24" i="17"/>
  <c r="O24" i="17" s="1"/>
  <c r="M24" i="17"/>
  <c r="K24" i="17"/>
  <c r="J24" i="17"/>
  <c r="I24" i="17"/>
  <c r="AC23" i="17"/>
  <c r="AB23" i="17"/>
  <c r="Z23" i="17"/>
  <c r="U23" i="17"/>
  <c r="R23" i="17"/>
  <c r="O23" i="17"/>
  <c r="N23" i="17"/>
  <c r="L23" i="17"/>
  <c r="H23" i="17"/>
  <c r="Y16" i="17"/>
  <c r="AC16" i="17" s="1"/>
  <c r="X16" i="17"/>
  <c r="Q16" i="17"/>
  <c r="P16" i="17"/>
  <c r="O16" i="17"/>
  <c r="N16" i="17"/>
  <c r="M16" i="17"/>
  <c r="K16" i="17"/>
  <c r="J16" i="17"/>
  <c r="I16" i="17"/>
  <c r="H16" i="17"/>
  <c r="AC15" i="17"/>
  <c r="AD15" i="17" s="1"/>
  <c r="AA15" i="17"/>
  <c r="Z15" i="17"/>
  <c r="U15" i="17"/>
  <c r="V15" i="17" s="1"/>
  <c r="T15" i="17"/>
  <c r="S15" i="17"/>
  <c r="R15" i="17"/>
  <c r="O15" i="17"/>
  <c r="N15" i="17"/>
  <c r="L15" i="17"/>
  <c r="H15" i="17"/>
  <c r="AB15" i="17" s="1"/>
  <c r="V158" i="16"/>
  <c r="W158" i="16" s="1"/>
  <c r="U158" i="16"/>
  <c r="T158" i="16"/>
  <c r="N158" i="16"/>
  <c r="Q158" i="16" s="1"/>
  <c r="R158" i="16" s="1"/>
  <c r="M158" i="16"/>
  <c r="L158" i="16"/>
  <c r="K158" i="16"/>
  <c r="J158" i="16"/>
  <c r="H158" i="16"/>
  <c r="G158" i="16"/>
  <c r="F158" i="16"/>
  <c r="E158" i="16"/>
  <c r="I158" i="16" s="1"/>
  <c r="AA157" i="16"/>
  <c r="Z157" i="16"/>
  <c r="W157" i="16"/>
  <c r="Q157" i="16"/>
  <c r="R157" i="16" s="1"/>
  <c r="P157" i="16"/>
  <c r="O157" i="16"/>
  <c r="L157" i="16"/>
  <c r="K157" i="16"/>
  <c r="E157" i="16"/>
  <c r="Y157" i="16" s="1"/>
  <c r="AB150" i="16"/>
  <c r="Z150" i="16"/>
  <c r="AA150" i="16" s="1"/>
  <c r="V150" i="16"/>
  <c r="U150" i="16"/>
  <c r="W150" i="16" s="1"/>
  <c r="R150" i="16"/>
  <c r="S150" i="16" s="1"/>
  <c r="O150" i="16"/>
  <c r="N150" i="16"/>
  <c r="M150" i="16"/>
  <c r="J150" i="16"/>
  <c r="L150" i="16" s="1"/>
  <c r="H150" i="16"/>
  <c r="G150" i="16"/>
  <c r="F150" i="16"/>
  <c r="E150" i="16" s="1"/>
  <c r="Z149" i="16"/>
  <c r="AA149" i="16" s="1"/>
  <c r="Y149" i="16"/>
  <c r="X149" i="16"/>
  <c r="W149" i="16"/>
  <c r="R149" i="16"/>
  <c r="O149" i="16"/>
  <c r="L149" i="16"/>
  <c r="K149" i="16"/>
  <c r="I149" i="16"/>
  <c r="E149" i="16"/>
  <c r="Q149" i="16" s="1"/>
  <c r="AB142" i="16"/>
  <c r="V142" i="16"/>
  <c r="Z142" i="16" s="1"/>
  <c r="AA142" i="16" s="1"/>
  <c r="U142" i="16"/>
  <c r="N142" i="16"/>
  <c r="O142" i="16" s="1"/>
  <c r="M142" i="16"/>
  <c r="L142" i="16" s="1"/>
  <c r="J142" i="16"/>
  <c r="H142" i="16"/>
  <c r="K142" i="16" s="1"/>
  <c r="G142" i="16"/>
  <c r="F142" i="16"/>
  <c r="E142" i="16"/>
  <c r="X142" i="16" s="1"/>
  <c r="Z141" i="16"/>
  <c r="W141" i="16"/>
  <c r="R141" i="16"/>
  <c r="S141" i="16" s="1"/>
  <c r="Q141" i="16"/>
  <c r="O141" i="16"/>
  <c r="L141" i="16"/>
  <c r="K141" i="16"/>
  <c r="E141" i="16"/>
  <c r="Y141" i="16" s="1"/>
  <c r="AB134" i="16"/>
  <c r="V134" i="16"/>
  <c r="W134" i="16" s="1"/>
  <c r="U134" i="16"/>
  <c r="R134" i="16"/>
  <c r="S134" i="16" s="1"/>
  <c r="N134" i="16"/>
  <c r="O134" i="16" s="1"/>
  <c r="M134" i="16"/>
  <c r="J134" i="16"/>
  <c r="L134" i="16" s="1"/>
  <c r="H134" i="16"/>
  <c r="G134" i="16"/>
  <c r="F134" i="16"/>
  <c r="E134" i="16"/>
  <c r="Y134" i="16" s="1"/>
  <c r="Z133" i="16"/>
  <c r="AA133" i="16" s="1"/>
  <c r="Y133" i="16"/>
  <c r="X133" i="16"/>
  <c r="W133" i="16"/>
  <c r="R133" i="16"/>
  <c r="S133" i="16" s="1"/>
  <c r="Q133" i="16"/>
  <c r="P133" i="16"/>
  <c r="O133" i="16"/>
  <c r="L133" i="16"/>
  <c r="K133" i="16"/>
  <c r="E133" i="16"/>
  <c r="I133" i="16" s="1"/>
  <c r="AB126" i="16"/>
  <c r="Z126" i="16"/>
  <c r="AA126" i="16" s="1"/>
  <c r="W126" i="16"/>
  <c r="V126" i="16"/>
  <c r="U126" i="16"/>
  <c r="R126" i="16"/>
  <c r="O126" i="16"/>
  <c r="N126" i="16"/>
  <c r="M126" i="16"/>
  <c r="J126" i="16"/>
  <c r="L126" i="16" s="1"/>
  <c r="H126" i="16"/>
  <c r="G126" i="16"/>
  <c r="F126" i="16"/>
  <c r="E126" i="16" s="1"/>
  <c r="Z125" i="16"/>
  <c r="W125" i="16"/>
  <c r="R125" i="16"/>
  <c r="O125" i="16"/>
  <c r="L125" i="16"/>
  <c r="K125" i="16"/>
  <c r="E125" i="16"/>
  <c r="Q125" i="16" s="1"/>
  <c r="AB118" i="16"/>
  <c r="W118" i="16"/>
  <c r="V118" i="16"/>
  <c r="U118" i="16"/>
  <c r="T118" i="16"/>
  <c r="O118" i="16"/>
  <c r="N118" i="16"/>
  <c r="M118" i="16"/>
  <c r="L118" i="16"/>
  <c r="J118" i="16"/>
  <c r="H118" i="16"/>
  <c r="G118" i="16"/>
  <c r="F118" i="16"/>
  <c r="E118" i="16"/>
  <c r="Z117" i="16"/>
  <c r="Z118" i="16" s="1"/>
  <c r="W117" i="16"/>
  <c r="R117" i="16"/>
  <c r="R118" i="16" s="1"/>
  <c r="Q117" i="16"/>
  <c r="Q118" i="16" s="1"/>
  <c r="O117" i="16"/>
  <c r="L117" i="16"/>
  <c r="K117" i="16"/>
  <c r="K118" i="16" s="1"/>
  <c r="E117" i="16"/>
  <c r="Y117" i="16" s="1"/>
  <c r="Y118" i="16" s="1"/>
  <c r="R110" i="16"/>
  <c r="S110" i="16" s="1"/>
  <c r="O110" i="16"/>
  <c r="L110" i="16"/>
  <c r="K110" i="16"/>
  <c r="G110" i="16"/>
  <c r="F110" i="16"/>
  <c r="E110" i="16" s="1"/>
  <c r="V109" i="16"/>
  <c r="W109" i="16" s="1"/>
  <c r="U109" i="16"/>
  <c r="N109" i="16"/>
  <c r="R109" i="16" s="1"/>
  <c r="S109" i="16" s="1"/>
  <c r="M109" i="16"/>
  <c r="L109" i="16"/>
  <c r="J109" i="16"/>
  <c r="H109" i="16"/>
  <c r="K109" i="16" s="1"/>
  <c r="G109" i="16"/>
  <c r="F109" i="16"/>
  <c r="E109" i="16"/>
  <c r="Q109" i="16" s="1"/>
  <c r="AA108" i="16"/>
  <c r="Z108" i="16"/>
  <c r="W108" i="16"/>
  <c r="R108" i="16"/>
  <c r="S108" i="16" s="1"/>
  <c r="Q108" i="16"/>
  <c r="P108" i="16"/>
  <c r="O108" i="16"/>
  <c r="L108" i="16"/>
  <c r="K108" i="16"/>
  <c r="E108" i="16"/>
  <c r="Y108" i="16" s="1"/>
  <c r="Z107" i="16"/>
  <c r="AA107" i="16" s="1"/>
  <c r="Y107" i="16"/>
  <c r="W107" i="16"/>
  <c r="R107" i="16"/>
  <c r="S107" i="16" s="1"/>
  <c r="Q107" i="16"/>
  <c r="P107" i="16"/>
  <c r="O107" i="16"/>
  <c r="L107" i="16"/>
  <c r="K107" i="16"/>
  <c r="E107" i="16"/>
  <c r="I107" i="16" s="1"/>
  <c r="R100" i="16"/>
  <c r="S100" i="16" s="1"/>
  <c r="Q100" i="16"/>
  <c r="P100" i="16"/>
  <c r="O100" i="16"/>
  <c r="L100" i="16"/>
  <c r="K100" i="16"/>
  <c r="G100" i="16"/>
  <c r="F100" i="16"/>
  <c r="E100" i="16"/>
  <c r="I100" i="16" s="1"/>
  <c r="Z99" i="16"/>
  <c r="V99" i="16"/>
  <c r="W99" i="16" s="1"/>
  <c r="U99" i="16"/>
  <c r="R99" i="16"/>
  <c r="S99" i="16" s="1"/>
  <c r="N99" i="16"/>
  <c r="O99" i="16" s="1"/>
  <c r="M99" i="16"/>
  <c r="J99" i="16"/>
  <c r="K99" i="16" s="1"/>
  <c r="H99" i="16"/>
  <c r="G99" i="16"/>
  <c r="F99" i="16"/>
  <c r="E99" i="16" s="1"/>
  <c r="Z98" i="16"/>
  <c r="AA98" i="16" s="1"/>
  <c r="Y98" i="16"/>
  <c r="X98" i="16"/>
  <c r="W98" i="16"/>
  <c r="R98" i="16"/>
  <c r="S98" i="16" s="1"/>
  <c r="P98" i="16"/>
  <c r="O98" i="16"/>
  <c r="L98" i="16"/>
  <c r="K98" i="16"/>
  <c r="E98" i="16"/>
  <c r="Q98" i="16" s="1"/>
  <c r="Z97" i="16"/>
  <c r="W97" i="16"/>
  <c r="R97" i="16"/>
  <c r="O97" i="16"/>
  <c r="L97" i="16"/>
  <c r="K97" i="16"/>
  <c r="E97" i="16"/>
  <c r="Q97" i="16" s="1"/>
  <c r="V90" i="16"/>
  <c r="Z90" i="16" s="1"/>
  <c r="AA90" i="16" s="1"/>
  <c r="U90" i="16"/>
  <c r="N90" i="16"/>
  <c r="O90" i="16" s="1"/>
  <c r="M90" i="16"/>
  <c r="L90" i="16"/>
  <c r="K90" i="16"/>
  <c r="J90" i="16"/>
  <c r="H90" i="16"/>
  <c r="G90" i="16"/>
  <c r="F90" i="16"/>
  <c r="E90" i="16"/>
  <c r="Q90" i="16" s="1"/>
  <c r="Z89" i="16"/>
  <c r="AA89" i="16" s="1"/>
  <c r="W89" i="16"/>
  <c r="R89" i="16"/>
  <c r="S89" i="16" s="1"/>
  <c r="Q89" i="16"/>
  <c r="P89" i="16"/>
  <c r="O89" i="16"/>
  <c r="L89" i="16"/>
  <c r="K89" i="16"/>
  <c r="I89" i="16"/>
  <c r="E89" i="16"/>
  <c r="X89" i="16" s="1"/>
  <c r="Z82" i="16"/>
  <c r="V82" i="16"/>
  <c r="W82" i="16" s="1"/>
  <c r="U82" i="16"/>
  <c r="R82" i="16"/>
  <c r="S82" i="16" s="1"/>
  <c r="O82" i="16"/>
  <c r="N82" i="16"/>
  <c r="M82" i="16"/>
  <c r="J82" i="16"/>
  <c r="L82" i="16" s="1"/>
  <c r="H82" i="16"/>
  <c r="G82" i="16"/>
  <c r="E82" i="16" s="1"/>
  <c r="F82" i="16"/>
  <c r="Z81" i="16"/>
  <c r="W81" i="16"/>
  <c r="R81" i="16"/>
  <c r="O81" i="16"/>
  <c r="L81" i="16"/>
  <c r="K81" i="16"/>
  <c r="E81" i="16"/>
  <c r="V74" i="16"/>
  <c r="Z74" i="16" s="1"/>
  <c r="AA74" i="16" s="1"/>
  <c r="U74" i="16"/>
  <c r="N74" i="16"/>
  <c r="O74" i="16" s="1"/>
  <c r="M74" i="16"/>
  <c r="L74" i="16"/>
  <c r="K74" i="16"/>
  <c r="J74" i="16"/>
  <c r="H74" i="16"/>
  <c r="G74" i="16"/>
  <c r="F74" i="16"/>
  <c r="E74" i="16"/>
  <c r="Q74" i="16" s="1"/>
  <c r="Z73" i="16"/>
  <c r="AA73" i="16" s="1"/>
  <c r="W73" i="16"/>
  <c r="R73" i="16"/>
  <c r="S73" i="16" s="1"/>
  <c r="Q73" i="16"/>
  <c r="P73" i="16"/>
  <c r="O73" i="16"/>
  <c r="L73" i="16"/>
  <c r="K73" i="16"/>
  <c r="E73" i="16"/>
  <c r="X73" i="16" s="1"/>
  <c r="G66" i="16"/>
  <c r="F66" i="16"/>
  <c r="E65" i="16"/>
  <c r="E66" i="16" s="1"/>
  <c r="V64" i="16"/>
  <c r="Z64" i="16" s="1"/>
  <c r="AA64" i="16" s="1"/>
  <c r="U64" i="16"/>
  <c r="N64" i="16"/>
  <c r="O64" i="16" s="1"/>
  <c r="M64" i="16"/>
  <c r="L64" i="16"/>
  <c r="K64" i="16"/>
  <c r="J64" i="16"/>
  <c r="H64" i="16"/>
  <c r="G64" i="16"/>
  <c r="F64" i="16"/>
  <c r="E64" i="16"/>
  <c r="Q64" i="16" s="1"/>
  <c r="Z63" i="16"/>
  <c r="AA63" i="16" s="1"/>
  <c r="W63" i="16"/>
  <c r="R63" i="16"/>
  <c r="S63" i="16" s="1"/>
  <c r="Q63" i="16"/>
  <c r="P63" i="16"/>
  <c r="O63" i="16"/>
  <c r="L63" i="16"/>
  <c r="K63" i="16"/>
  <c r="E63" i="16"/>
  <c r="X63" i="16" s="1"/>
  <c r="G56" i="16"/>
  <c r="F56" i="16"/>
  <c r="E55" i="16"/>
  <c r="E56" i="16" s="1"/>
  <c r="V54" i="16"/>
  <c r="Z54" i="16" s="1"/>
  <c r="AA54" i="16" s="1"/>
  <c r="U54" i="16"/>
  <c r="N54" i="16"/>
  <c r="O54" i="16" s="1"/>
  <c r="M54" i="16"/>
  <c r="L54" i="16"/>
  <c r="K54" i="16"/>
  <c r="J54" i="16"/>
  <c r="H54" i="16"/>
  <c r="G54" i="16"/>
  <c r="F54" i="16"/>
  <c r="E54" i="16"/>
  <c r="Q54" i="16" s="1"/>
  <c r="Z53" i="16"/>
  <c r="AA53" i="16" s="1"/>
  <c r="W53" i="16"/>
  <c r="R53" i="16"/>
  <c r="S53" i="16" s="1"/>
  <c r="Q53" i="16"/>
  <c r="P53" i="16"/>
  <c r="O53" i="16"/>
  <c r="L53" i="16"/>
  <c r="K53" i="16"/>
  <c r="E53" i="16"/>
  <c r="X53" i="16" s="1"/>
  <c r="G46" i="16"/>
  <c r="F46" i="16"/>
  <c r="E45" i="16"/>
  <c r="E46" i="16" s="1"/>
  <c r="V44" i="16"/>
  <c r="Z44" i="16" s="1"/>
  <c r="AA44" i="16" s="1"/>
  <c r="U44" i="16"/>
  <c r="N44" i="16"/>
  <c r="O44" i="16" s="1"/>
  <c r="M44" i="16"/>
  <c r="L44" i="16"/>
  <c r="K44" i="16"/>
  <c r="J44" i="16"/>
  <c r="H44" i="16"/>
  <c r="G44" i="16"/>
  <c r="F44" i="16"/>
  <c r="E44" i="16"/>
  <c r="Q44" i="16" s="1"/>
  <c r="Z43" i="16"/>
  <c r="AA43" i="16" s="1"/>
  <c r="W43" i="16"/>
  <c r="R43" i="16"/>
  <c r="S43" i="16" s="1"/>
  <c r="Q43" i="16"/>
  <c r="P43" i="16"/>
  <c r="O43" i="16"/>
  <c r="L43" i="16"/>
  <c r="K43" i="16"/>
  <c r="E43" i="16"/>
  <c r="X43" i="16" s="1"/>
  <c r="G36" i="16"/>
  <c r="F36" i="16"/>
  <c r="E35" i="16"/>
  <c r="E36" i="16" s="1"/>
  <c r="V34" i="16"/>
  <c r="Z34" i="16" s="1"/>
  <c r="AA34" i="16" s="1"/>
  <c r="U34" i="16"/>
  <c r="N34" i="16"/>
  <c r="O34" i="16" s="1"/>
  <c r="M34" i="16"/>
  <c r="L34" i="16"/>
  <c r="K34" i="16"/>
  <c r="J34" i="16"/>
  <c r="H34" i="16"/>
  <c r="G34" i="16"/>
  <c r="F34" i="16"/>
  <c r="E34" i="16"/>
  <c r="Q34" i="16" s="1"/>
  <c r="Z33" i="16"/>
  <c r="AA33" i="16" s="1"/>
  <c r="W33" i="16"/>
  <c r="R33" i="16"/>
  <c r="S33" i="16" s="1"/>
  <c r="Q33" i="16"/>
  <c r="P33" i="16"/>
  <c r="O33" i="16"/>
  <c r="L33" i="16"/>
  <c r="K33" i="16"/>
  <c r="E33" i="16"/>
  <c r="X33" i="16" s="1"/>
  <c r="G26" i="16"/>
  <c r="F26" i="16"/>
  <c r="E25" i="16"/>
  <c r="E26" i="16" s="1"/>
  <c r="V24" i="16"/>
  <c r="Z24" i="16" s="1"/>
  <c r="AA24" i="16" s="1"/>
  <c r="U24" i="16"/>
  <c r="N24" i="16"/>
  <c r="O24" i="16" s="1"/>
  <c r="M24" i="16"/>
  <c r="L24" i="16"/>
  <c r="K24" i="16"/>
  <c r="J24" i="16"/>
  <c r="H24" i="16"/>
  <c r="G24" i="16"/>
  <c r="F24" i="16"/>
  <c r="E24" i="16"/>
  <c r="Q24" i="16" s="1"/>
  <c r="Z23" i="16"/>
  <c r="AA23" i="16" s="1"/>
  <c r="W23" i="16"/>
  <c r="R23" i="16"/>
  <c r="S23" i="16" s="1"/>
  <c r="Q23" i="16"/>
  <c r="P23" i="16"/>
  <c r="O23" i="16"/>
  <c r="L23" i="16"/>
  <c r="K23" i="16"/>
  <c r="E23" i="16"/>
  <c r="X23" i="16" s="1"/>
  <c r="AC16" i="16"/>
  <c r="Y16" i="16"/>
  <c r="Z16" i="16" s="1"/>
  <c r="X16" i="16"/>
  <c r="U16" i="16"/>
  <c r="R16" i="16"/>
  <c r="Q16" i="16"/>
  <c r="P16" i="16"/>
  <c r="O16" i="16" s="1"/>
  <c r="M16" i="16"/>
  <c r="N16" i="16" s="1"/>
  <c r="K16" i="16"/>
  <c r="J16" i="16"/>
  <c r="I16" i="16"/>
  <c r="AC15" i="16"/>
  <c r="AD15" i="16" s="1"/>
  <c r="Z15" i="16"/>
  <c r="U15" i="16"/>
  <c r="R15" i="16"/>
  <c r="O15" i="16"/>
  <c r="N15" i="16"/>
  <c r="H15" i="16"/>
  <c r="V221" i="15"/>
  <c r="Z221" i="15" s="1"/>
  <c r="U221" i="15"/>
  <c r="N221" i="15"/>
  <c r="M221" i="15"/>
  <c r="L221" i="15" s="1"/>
  <c r="K221" i="15"/>
  <c r="J221" i="15"/>
  <c r="G221" i="15"/>
  <c r="F221" i="15"/>
  <c r="E221" i="15"/>
  <c r="Z220" i="15"/>
  <c r="AA220" i="15" s="1"/>
  <c r="Y220" i="15"/>
  <c r="W220" i="15"/>
  <c r="R220" i="15"/>
  <c r="S220" i="15" s="1"/>
  <c r="Q220" i="15"/>
  <c r="P220" i="15"/>
  <c r="O220" i="15"/>
  <c r="L220" i="15"/>
  <c r="K220" i="15"/>
  <c r="I220" i="15"/>
  <c r="E220" i="15"/>
  <c r="X220" i="15" s="1"/>
  <c r="Z219" i="15"/>
  <c r="AA219" i="15" s="1"/>
  <c r="Y219" i="15"/>
  <c r="X219" i="15"/>
  <c r="W219" i="15"/>
  <c r="R219" i="15"/>
  <c r="S219" i="15" s="1"/>
  <c r="P219" i="15"/>
  <c r="O219" i="15"/>
  <c r="L219" i="15"/>
  <c r="K219" i="15"/>
  <c r="I219" i="15"/>
  <c r="E219" i="15"/>
  <c r="Q219" i="15" s="1"/>
  <c r="Z218" i="15"/>
  <c r="Y218" i="15"/>
  <c r="W218" i="15"/>
  <c r="R218" i="15"/>
  <c r="O218" i="15"/>
  <c r="L218" i="15"/>
  <c r="K218" i="15"/>
  <c r="I218" i="15"/>
  <c r="E218" i="15"/>
  <c r="Z217" i="15"/>
  <c r="W217" i="15"/>
  <c r="R217" i="15"/>
  <c r="S217" i="15" s="1"/>
  <c r="Q217" i="15"/>
  <c r="O217" i="15"/>
  <c r="L217" i="15"/>
  <c r="K217" i="15"/>
  <c r="E217" i="15"/>
  <c r="AB210" i="15"/>
  <c r="V210" i="15"/>
  <c r="U210" i="15"/>
  <c r="S210" i="15"/>
  <c r="R210" i="15"/>
  <c r="N210" i="15"/>
  <c r="M210" i="15"/>
  <c r="J210" i="15"/>
  <c r="L210" i="15" s="1"/>
  <c r="H210" i="15"/>
  <c r="G210" i="15"/>
  <c r="F210" i="15"/>
  <c r="E210" i="15"/>
  <c r="Z209" i="15"/>
  <c r="AA209" i="15" s="1"/>
  <c r="Y209" i="15"/>
  <c r="X209" i="15"/>
  <c r="W209" i="15"/>
  <c r="R209" i="15"/>
  <c r="Q209" i="15"/>
  <c r="P209" i="15"/>
  <c r="O209" i="15"/>
  <c r="L209" i="15"/>
  <c r="K209" i="15"/>
  <c r="E209" i="15"/>
  <c r="I209" i="15" s="1"/>
  <c r="Z208" i="15"/>
  <c r="AA208" i="15" s="1"/>
  <c r="Y208" i="15"/>
  <c r="X208" i="15"/>
  <c r="W208" i="15"/>
  <c r="R208" i="15"/>
  <c r="O208" i="15"/>
  <c r="L208" i="15"/>
  <c r="K208" i="15"/>
  <c r="I208" i="15"/>
  <c r="E208" i="15"/>
  <c r="Q208" i="15" s="1"/>
  <c r="Z207" i="15"/>
  <c r="AA207" i="15" s="1"/>
  <c r="W207" i="15"/>
  <c r="R207" i="15"/>
  <c r="S207" i="15" s="1"/>
  <c r="O207" i="15"/>
  <c r="L207" i="15"/>
  <c r="K207" i="15"/>
  <c r="I207" i="15"/>
  <c r="E207" i="15"/>
  <c r="Z206" i="15"/>
  <c r="W206" i="15"/>
  <c r="R206" i="15"/>
  <c r="S206" i="15" s="1"/>
  <c r="Q206" i="15"/>
  <c r="O206" i="15"/>
  <c r="L206" i="15"/>
  <c r="K206" i="15"/>
  <c r="E206" i="15"/>
  <c r="P206" i="15" s="1"/>
  <c r="Z199" i="15"/>
  <c r="W199" i="15"/>
  <c r="R199" i="15"/>
  <c r="O199" i="15"/>
  <c r="L199" i="15"/>
  <c r="K199" i="15"/>
  <c r="G199" i="15"/>
  <c r="F199" i="15"/>
  <c r="AB198" i="15"/>
  <c r="Z198" i="15"/>
  <c r="V198" i="15"/>
  <c r="U198" i="15"/>
  <c r="W198" i="15" s="1"/>
  <c r="R198" i="15"/>
  <c r="N198" i="15"/>
  <c r="O198" i="15" s="1"/>
  <c r="M198" i="15"/>
  <c r="J198" i="15"/>
  <c r="H198" i="15"/>
  <c r="G198" i="15"/>
  <c r="F198" i="15"/>
  <c r="Z197" i="15"/>
  <c r="AA197" i="15" s="1"/>
  <c r="Y197" i="15"/>
  <c r="X197" i="15"/>
  <c r="W197" i="15"/>
  <c r="R197" i="15"/>
  <c r="S197" i="15" s="1"/>
  <c r="Q197" i="15"/>
  <c r="P197" i="15"/>
  <c r="O197" i="15"/>
  <c r="L197" i="15"/>
  <c r="K197" i="15"/>
  <c r="I197" i="15"/>
  <c r="E197" i="15"/>
  <c r="Z196" i="15"/>
  <c r="AA196" i="15" s="1"/>
  <c r="W196" i="15"/>
  <c r="S196" i="15"/>
  <c r="R196" i="15"/>
  <c r="O196" i="15"/>
  <c r="L196" i="15"/>
  <c r="K196" i="15"/>
  <c r="E196" i="15"/>
  <c r="Z195" i="15"/>
  <c r="W195" i="15"/>
  <c r="R195" i="15"/>
  <c r="S195" i="15" s="1"/>
  <c r="Q195" i="15"/>
  <c r="O195" i="15"/>
  <c r="L195" i="15"/>
  <c r="K195" i="15"/>
  <c r="E195" i="15"/>
  <c r="Z194" i="15"/>
  <c r="AA194" i="15" s="1"/>
  <c r="W194" i="15"/>
  <c r="R194" i="15"/>
  <c r="S194" i="15" s="1"/>
  <c r="Q194" i="15"/>
  <c r="P194" i="15"/>
  <c r="O194" i="15"/>
  <c r="L194" i="15"/>
  <c r="K194" i="15"/>
  <c r="E194" i="15"/>
  <c r="X194" i="15" s="1"/>
  <c r="S187" i="15"/>
  <c r="R187" i="15"/>
  <c r="O187" i="15"/>
  <c r="L187" i="15"/>
  <c r="K187" i="15"/>
  <c r="G187" i="15"/>
  <c r="F187" i="15"/>
  <c r="AB186" i="15"/>
  <c r="V186" i="15"/>
  <c r="Z186" i="15" s="1"/>
  <c r="U186" i="15"/>
  <c r="N186" i="15"/>
  <c r="M186" i="15"/>
  <c r="L186" i="15" s="1"/>
  <c r="K186" i="15"/>
  <c r="J186" i="15"/>
  <c r="H186" i="15"/>
  <c r="G186" i="15"/>
  <c r="F186" i="15"/>
  <c r="E186" i="15"/>
  <c r="AA185" i="15"/>
  <c r="Z185" i="15"/>
  <c r="W185" i="15"/>
  <c r="R185" i="15"/>
  <c r="S185" i="15" s="1"/>
  <c r="Q185" i="15"/>
  <c r="P185" i="15"/>
  <c r="O185" i="15"/>
  <c r="L185" i="15"/>
  <c r="K185" i="15"/>
  <c r="I185" i="15"/>
  <c r="E185" i="15"/>
  <c r="X185" i="15" s="1"/>
  <c r="Z184" i="15"/>
  <c r="AA184" i="15" s="1"/>
  <c r="Y184" i="15"/>
  <c r="X184" i="15"/>
  <c r="W184" i="15"/>
  <c r="R184" i="15"/>
  <c r="S184" i="15" s="1"/>
  <c r="Q184" i="15"/>
  <c r="P184" i="15"/>
  <c r="O184" i="15"/>
  <c r="L184" i="15"/>
  <c r="K184" i="15"/>
  <c r="I184" i="15"/>
  <c r="E184" i="15"/>
  <c r="Z183" i="15"/>
  <c r="Y183" i="15"/>
  <c r="W183" i="15"/>
  <c r="S183" i="15"/>
  <c r="R183" i="15"/>
  <c r="O183" i="15"/>
  <c r="L183" i="15"/>
  <c r="K183" i="15"/>
  <c r="I183" i="15"/>
  <c r="E183" i="15"/>
  <c r="Z182" i="15"/>
  <c r="W182" i="15"/>
  <c r="R182" i="15"/>
  <c r="S182" i="15" s="1"/>
  <c r="Q182" i="15"/>
  <c r="O182" i="15"/>
  <c r="L182" i="15"/>
  <c r="K182" i="15"/>
  <c r="E182" i="15"/>
  <c r="E187" i="15" s="1"/>
  <c r="R175" i="15"/>
  <c r="O175" i="15"/>
  <c r="L175" i="15"/>
  <c r="K175" i="15"/>
  <c r="G175" i="15"/>
  <c r="F175" i="15"/>
  <c r="AB174" i="15"/>
  <c r="W174" i="15"/>
  <c r="V174" i="15"/>
  <c r="Z174" i="15" s="1"/>
  <c r="U174" i="15"/>
  <c r="N174" i="15"/>
  <c r="R174" i="15" s="1"/>
  <c r="M174" i="15"/>
  <c r="L174" i="15" s="1"/>
  <c r="J174" i="15"/>
  <c r="H174" i="15"/>
  <c r="G174" i="15"/>
  <c r="F174" i="15"/>
  <c r="Z173" i="15"/>
  <c r="W173" i="15"/>
  <c r="R173" i="15"/>
  <c r="S173" i="15" s="1"/>
  <c r="Q173" i="15"/>
  <c r="O173" i="15"/>
  <c r="L173" i="15"/>
  <c r="K173" i="15"/>
  <c r="E173" i="15"/>
  <c r="Z172" i="15"/>
  <c r="AA172" i="15" s="1"/>
  <c r="W172" i="15"/>
  <c r="R172" i="15"/>
  <c r="S172" i="15" s="1"/>
  <c r="Q172" i="15"/>
  <c r="P172" i="15"/>
  <c r="O172" i="15"/>
  <c r="L172" i="15"/>
  <c r="K172" i="15"/>
  <c r="I172" i="15"/>
  <c r="E172" i="15"/>
  <c r="X172" i="15" s="1"/>
  <c r="AA171" i="15"/>
  <c r="Z171" i="15"/>
  <c r="Y171" i="15"/>
  <c r="X171" i="15"/>
  <c r="W171" i="15"/>
  <c r="R171" i="15"/>
  <c r="S171" i="15" s="1"/>
  <c r="Q171" i="15"/>
  <c r="P171" i="15"/>
  <c r="O171" i="15"/>
  <c r="L171" i="15"/>
  <c r="K171" i="15"/>
  <c r="I171" i="15"/>
  <c r="E171" i="15"/>
  <c r="Z170" i="15"/>
  <c r="X170" i="15"/>
  <c r="W170" i="15"/>
  <c r="R170" i="15"/>
  <c r="O170" i="15"/>
  <c r="L170" i="15"/>
  <c r="K170" i="15"/>
  <c r="E170" i="15"/>
  <c r="R155" i="15"/>
  <c r="O155" i="15"/>
  <c r="L155" i="15"/>
  <c r="K155" i="15"/>
  <c r="G155" i="15"/>
  <c r="F155" i="15"/>
  <c r="AB154" i="15"/>
  <c r="Z154" i="15"/>
  <c r="V154" i="15"/>
  <c r="U154" i="15"/>
  <c r="W154" i="15" s="1"/>
  <c r="R154" i="15"/>
  <c r="O154" i="15"/>
  <c r="N154" i="15"/>
  <c r="M154" i="15"/>
  <c r="J154" i="15"/>
  <c r="H154" i="15"/>
  <c r="G154" i="15"/>
  <c r="F154" i="15"/>
  <c r="Z153" i="15"/>
  <c r="W153" i="15"/>
  <c r="S153" i="15"/>
  <c r="R153" i="15"/>
  <c r="O153" i="15"/>
  <c r="L153" i="15"/>
  <c r="K153" i="15"/>
  <c r="E153" i="15"/>
  <c r="Z152" i="15"/>
  <c r="W152" i="15"/>
  <c r="S152" i="15"/>
  <c r="R152" i="15"/>
  <c r="O152" i="15"/>
  <c r="L152" i="15"/>
  <c r="K152" i="15"/>
  <c r="E152" i="15"/>
  <c r="I152" i="15" s="1"/>
  <c r="Z151" i="15"/>
  <c r="AA151" i="15" s="1"/>
  <c r="W151" i="15"/>
  <c r="R151" i="15"/>
  <c r="S151" i="15" s="1"/>
  <c r="Q151" i="15"/>
  <c r="P151" i="15"/>
  <c r="O151" i="15"/>
  <c r="L151" i="15"/>
  <c r="K151" i="15"/>
  <c r="I151" i="15"/>
  <c r="E151" i="15"/>
  <c r="R144" i="15"/>
  <c r="S144" i="15" s="1"/>
  <c r="Q144" i="15"/>
  <c r="P144" i="15"/>
  <c r="O144" i="15"/>
  <c r="L144" i="15"/>
  <c r="K144" i="15"/>
  <c r="G144" i="15"/>
  <c r="F144" i="15"/>
  <c r="E144" i="15"/>
  <c r="I144" i="15" s="1"/>
  <c r="AB143" i="15"/>
  <c r="V143" i="15"/>
  <c r="Z143" i="15" s="1"/>
  <c r="AA143" i="15" s="1"/>
  <c r="U143" i="15"/>
  <c r="N143" i="15"/>
  <c r="M143" i="15"/>
  <c r="L143" i="15"/>
  <c r="K143" i="15"/>
  <c r="J143" i="15"/>
  <c r="H143" i="15"/>
  <c r="G143" i="15"/>
  <c r="F143" i="15"/>
  <c r="E143" i="15"/>
  <c r="Z142" i="15"/>
  <c r="AA142" i="15" s="1"/>
  <c r="W142" i="15"/>
  <c r="R142" i="15"/>
  <c r="S142" i="15" s="1"/>
  <c r="Q142" i="15"/>
  <c r="P142" i="15"/>
  <c r="O142" i="15"/>
  <c r="L142" i="15"/>
  <c r="K142" i="15"/>
  <c r="E142" i="15"/>
  <c r="X142" i="15" s="1"/>
  <c r="Z141" i="15"/>
  <c r="AA141" i="15" s="1"/>
  <c r="Y141" i="15"/>
  <c r="X141" i="15"/>
  <c r="W141" i="15"/>
  <c r="R141" i="15"/>
  <c r="S141" i="15" s="1"/>
  <c r="P141" i="15"/>
  <c r="O141" i="15"/>
  <c r="L141" i="15"/>
  <c r="K141" i="15"/>
  <c r="I141" i="15"/>
  <c r="F141" i="15"/>
  <c r="E141" i="15"/>
  <c r="Q141" i="15" s="1"/>
  <c r="Z140" i="15"/>
  <c r="AA140" i="15" s="1"/>
  <c r="X140" i="15"/>
  <c r="W140" i="15"/>
  <c r="R140" i="15"/>
  <c r="O140" i="15"/>
  <c r="L140" i="15"/>
  <c r="K140" i="15"/>
  <c r="I140" i="15"/>
  <c r="F140" i="15"/>
  <c r="E140" i="15" s="1"/>
  <c r="R133" i="15"/>
  <c r="O133" i="15"/>
  <c r="L133" i="15"/>
  <c r="K133" i="15"/>
  <c r="G133" i="15"/>
  <c r="F133" i="15"/>
  <c r="AB132" i="15"/>
  <c r="Z132" i="15"/>
  <c r="V132" i="15"/>
  <c r="U132" i="15"/>
  <c r="R132" i="15"/>
  <c r="N132" i="15"/>
  <c r="O132" i="15" s="1"/>
  <c r="M132" i="15"/>
  <c r="J132" i="15"/>
  <c r="L132" i="15" s="1"/>
  <c r="H132" i="15"/>
  <c r="G132" i="15"/>
  <c r="F132" i="15"/>
  <c r="Z131" i="15"/>
  <c r="AA131" i="15" s="1"/>
  <c r="Y131" i="15"/>
  <c r="X131" i="15"/>
  <c r="W131" i="15"/>
  <c r="R131" i="15"/>
  <c r="S131" i="15" s="1"/>
  <c r="Q131" i="15"/>
  <c r="P131" i="15"/>
  <c r="O131" i="15"/>
  <c r="L131" i="15"/>
  <c r="K131" i="15"/>
  <c r="I131" i="15"/>
  <c r="E131" i="15"/>
  <c r="Z130" i="15"/>
  <c r="W130" i="15"/>
  <c r="S130" i="15"/>
  <c r="R130" i="15"/>
  <c r="O130" i="15"/>
  <c r="L130" i="15"/>
  <c r="K130" i="15"/>
  <c r="I130" i="15"/>
  <c r="E130" i="15"/>
  <c r="R123" i="15"/>
  <c r="O123" i="15"/>
  <c r="L123" i="15"/>
  <c r="K123" i="15"/>
  <c r="G123" i="15"/>
  <c r="F123" i="15"/>
  <c r="Z122" i="15"/>
  <c r="W122" i="15"/>
  <c r="V122" i="15"/>
  <c r="U122" i="15"/>
  <c r="N122" i="15"/>
  <c r="R122" i="15" s="1"/>
  <c r="M122" i="15"/>
  <c r="L122" i="15" s="1"/>
  <c r="J122" i="15"/>
  <c r="K122" i="15" s="1"/>
  <c r="H122" i="15"/>
  <c r="G122" i="15"/>
  <c r="F122" i="15"/>
  <c r="Z121" i="15"/>
  <c r="W121" i="15"/>
  <c r="S121" i="15"/>
  <c r="R121" i="15"/>
  <c r="O121" i="15"/>
  <c r="L121" i="15"/>
  <c r="K121" i="15"/>
  <c r="E121" i="15"/>
  <c r="AA120" i="15"/>
  <c r="Z120" i="15"/>
  <c r="W120" i="15"/>
  <c r="R120" i="15"/>
  <c r="O120" i="15"/>
  <c r="L120" i="15"/>
  <c r="K120" i="15"/>
  <c r="E120" i="15"/>
  <c r="AA119" i="15"/>
  <c r="Z119" i="15"/>
  <c r="Y119" i="15"/>
  <c r="W119" i="15"/>
  <c r="R119" i="15"/>
  <c r="S119" i="15" s="1"/>
  <c r="Q119" i="15"/>
  <c r="P119" i="15"/>
  <c r="O119" i="15"/>
  <c r="L119" i="15"/>
  <c r="K119" i="15"/>
  <c r="E119" i="15"/>
  <c r="I119" i="15" s="1"/>
  <c r="Z118" i="15"/>
  <c r="AA118" i="15" s="1"/>
  <c r="Y118" i="15"/>
  <c r="X118" i="15"/>
  <c r="W118" i="15"/>
  <c r="R118" i="15"/>
  <c r="O118" i="15"/>
  <c r="L118" i="15"/>
  <c r="K118" i="15"/>
  <c r="I118" i="15"/>
  <c r="E118" i="15"/>
  <c r="R111" i="15"/>
  <c r="O111" i="15"/>
  <c r="L111" i="15"/>
  <c r="K111" i="15"/>
  <c r="G111" i="15"/>
  <c r="F111" i="15"/>
  <c r="Z110" i="15"/>
  <c r="V110" i="15"/>
  <c r="U110" i="15"/>
  <c r="W110" i="15" s="1"/>
  <c r="R110" i="15"/>
  <c r="O110" i="15"/>
  <c r="N110" i="15"/>
  <c r="M110" i="15"/>
  <c r="J110" i="15"/>
  <c r="H110" i="15"/>
  <c r="G110" i="15"/>
  <c r="F110" i="15"/>
  <c r="Z109" i="15"/>
  <c r="W109" i="15"/>
  <c r="R109" i="15"/>
  <c r="O109" i="15"/>
  <c r="L109" i="15"/>
  <c r="K109" i="15"/>
  <c r="E109" i="15"/>
  <c r="Z108" i="15"/>
  <c r="W108" i="15"/>
  <c r="R108" i="15"/>
  <c r="S108" i="15" s="1"/>
  <c r="Q108" i="15"/>
  <c r="P108" i="15"/>
  <c r="O108" i="15"/>
  <c r="L108" i="15"/>
  <c r="K108" i="15"/>
  <c r="E108" i="15"/>
  <c r="Y108" i="15" s="1"/>
  <c r="Z107" i="15"/>
  <c r="AA107" i="15" s="1"/>
  <c r="Y107" i="15"/>
  <c r="W107" i="15"/>
  <c r="R107" i="15"/>
  <c r="S107" i="15" s="1"/>
  <c r="Q107" i="15"/>
  <c r="P107" i="15"/>
  <c r="O107" i="15"/>
  <c r="L107" i="15"/>
  <c r="K107" i="15"/>
  <c r="E107" i="15"/>
  <c r="Z106" i="15"/>
  <c r="AA106" i="15" s="1"/>
  <c r="Y106" i="15"/>
  <c r="X106" i="15"/>
  <c r="W106" i="15"/>
  <c r="R106" i="15"/>
  <c r="S106" i="15" s="1"/>
  <c r="Q106" i="15"/>
  <c r="P106" i="15"/>
  <c r="O106" i="15"/>
  <c r="L106" i="15"/>
  <c r="K106" i="15"/>
  <c r="I106" i="15"/>
  <c r="E106" i="15"/>
  <c r="E110" i="15" s="1"/>
  <c r="R99" i="15"/>
  <c r="O99" i="15"/>
  <c r="L99" i="15"/>
  <c r="K99" i="15"/>
  <c r="G99" i="15"/>
  <c r="F99" i="15"/>
  <c r="E99" i="15"/>
  <c r="Z98" i="15"/>
  <c r="V98" i="15"/>
  <c r="U98" i="15"/>
  <c r="R98" i="15"/>
  <c r="O98" i="15"/>
  <c r="N98" i="15"/>
  <c r="M98" i="15"/>
  <c r="J98" i="15"/>
  <c r="L98" i="15" s="1"/>
  <c r="H98" i="15"/>
  <c r="G98" i="15"/>
  <c r="F98" i="15"/>
  <c r="Z97" i="15"/>
  <c r="AA97" i="15" s="1"/>
  <c r="X97" i="15"/>
  <c r="W97" i="15"/>
  <c r="R97" i="15"/>
  <c r="O97" i="15"/>
  <c r="L97" i="15"/>
  <c r="K97" i="15"/>
  <c r="I97" i="15"/>
  <c r="E97" i="15"/>
  <c r="Z96" i="15"/>
  <c r="W96" i="15"/>
  <c r="R96" i="15"/>
  <c r="S96" i="15" s="1"/>
  <c r="Q96" i="15"/>
  <c r="O96" i="15"/>
  <c r="L96" i="15"/>
  <c r="K96" i="15"/>
  <c r="E96" i="15"/>
  <c r="P96" i="15" s="1"/>
  <c r="Z95" i="15"/>
  <c r="W95" i="15"/>
  <c r="S95" i="15"/>
  <c r="R95" i="15"/>
  <c r="O95" i="15"/>
  <c r="L95" i="15"/>
  <c r="K95" i="15"/>
  <c r="E95" i="15"/>
  <c r="AA94" i="15"/>
  <c r="Z94" i="15"/>
  <c r="Y94" i="15"/>
  <c r="X94" i="15"/>
  <c r="W94" i="15"/>
  <c r="R94" i="15"/>
  <c r="S94" i="15" s="1"/>
  <c r="Q94" i="15"/>
  <c r="P94" i="15"/>
  <c r="O94" i="15"/>
  <c r="L94" i="15"/>
  <c r="K94" i="15"/>
  <c r="E94" i="15"/>
  <c r="I94" i="15" s="1"/>
  <c r="Z93" i="15"/>
  <c r="AA93" i="15" s="1"/>
  <c r="Y93" i="15"/>
  <c r="X93" i="15"/>
  <c r="W93" i="15"/>
  <c r="R93" i="15"/>
  <c r="P93" i="15"/>
  <c r="O93" i="15"/>
  <c r="L93" i="15"/>
  <c r="K93" i="15"/>
  <c r="I93" i="15"/>
  <c r="E93" i="15"/>
  <c r="E85" i="15"/>
  <c r="R84" i="15"/>
  <c r="O84" i="15"/>
  <c r="L84" i="15"/>
  <c r="K84" i="15"/>
  <c r="G84" i="15"/>
  <c r="G86" i="15" s="1"/>
  <c r="F84" i="15"/>
  <c r="F86" i="15" s="1"/>
  <c r="W83" i="15"/>
  <c r="V83" i="15"/>
  <c r="Z83" i="15" s="1"/>
  <c r="U83" i="15"/>
  <c r="N83" i="15"/>
  <c r="R83" i="15" s="1"/>
  <c r="M83" i="15"/>
  <c r="L83" i="15" s="1"/>
  <c r="J83" i="15"/>
  <c r="K83" i="15" s="1"/>
  <c r="H83" i="15"/>
  <c r="G83" i="15"/>
  <c r="F83" i="15"/>
  <c r="AA82" i="15"/>
  <c r="Z82" i="15"/>
  <c r="W82" i="15"/>
  <c r="R82" i="15"/>
  <c r="S82" i="15" s="1"/>
  <c r="Q82" i="15"/>
  <c r="P82" i="15"/>
  <c r="O82" i="15"/>
  <c r="L82" i="15"/>
  <c r="K82" i="15"/>
  <c r="E82" i="15"/>
  <c r="Z81" i="15"/>
  <c r="AA81" i="15" s="1"/>
  <c r="Y81" i="15"/>
  <c r="X81" i="15"/>
  <c r="W81" i="15"/>
  <c r="R81" i="15"/>
  <c r="S81" i="15" s="1"/>
  <c r="Q81" i="15"/>
  <c r="P81" i="15"/>
  <c r="O81" i="15"/>
  <c r="L81" i="15"/>
  <c r="K81" i="15"/>
  <c r="I81" i="15"/>
  <c r="E81" i="15"/>
  <c r="Z80" i="15"/>
  <c r="AA80" i="15" s="1"/>
  <c r="W80" i="15"/>
  <c r="R80" i="15"/>
  <c r="S80" i="15" s="1"/>
  <c r="O80" i="15"/>
  <c r="L80" i="15"/>
  <c r="K80" i="15"/>
  <c r="E80" i="15"/>
  <c r="Z79" i="15"/>
  <c r="W79" i="15"/>
  <c r="R79" i="15"/>
  <c r="O79" i="15"/>
  <c r="L79" i="15"/>
  <c r="K79" i="15"/>
  <c r="E79" i="15"/>
  <c r="E83" i="15" s="1"/>
  <c r="Z78" i="15"/>
  <c r="W78" i="15"/>
  <c r="R78" i="15"/>
  <c r="S78" i="15" s="1"/>
  <c r="Q78" i="15"/>
  <c r="P78" i="15"/>
  <c r="O78" i="15"/>
  <c r="L78" i="15"/>
  <c r="K78" i="15"/>
  <c r="E78" i="15"/>
  <c r="Y78" i="15" s="1"/>
  <c r="F71" i="15"/>
  <c r="E70" i="15"/>
  <c r="R69" i="15"/>
  <c r="O69" i="15"/>
  <c r="L69" i="15"/>
  <c r="K69" i="15"/>
  <c r="G69" i="15"/>
  <c r="G71" i="15" s="1"/>
  <c r="F69" i="15"/>
  <c r="V68" i="15"/>
  <c r="Z68" i="15" s="1"/>
  <c r="U68" i="15"/>
  <c r="N68" i="15"/>
  <c r="M68" i="15"/>
  <c r="L68" i="15" s="1"/>
  <c r="J68" i="15"/>
  <c r="K68" i="15" s="1"/>
  <c r="H68" i="15"/>
  <c r="G68" i="15"/>
  <c r="F68" i="15"/>
  <c r="Z67" i="15"/>
  <c r="X67" i="15"/>
  <c r="W67" i="15"/>
  <c r="R67" i="15"/>
  <c r="O67" i="15"/>
  <c r="L67" i="15"/>
  <c r="K67" i="15"/>
  <c r="E67" i="15"/>
  <c r="I67" i="15" s="1"/>
  <c r="Z66" i="15"/>
  <c r="W66" i="15"/>
  <c r="R66" i="15"/>
  <c r="S66" i="15" s="1"/>
  <c r="Q66" i="15"/>
  <c r="P66" i="15"/>
  <c r="O66" i="15"/>
  <c r="L66" i="15"/>
  <c r="K66" i="15"/>
  <c r="E66" i="15"/>
  <c r="I66" i="15" s="1"/>
  <c r="Z65" i="15"/>
  <c r="AA65" i="15" s="1"/>
  <c r="Y65" i="15"/>
  <c r="X65" i="15"/>
  <c r="W65" i="15"/>
  <c r="R65" i="15"/>
  <c r="S65" i="15" s="1"/>
  <c r="Q65" i="15"/>
  <c r="P65" i="15"/>
  <c r="O65" i="15"/>
  <c r="L65" i="15"/>
  <c r="K65" i="15"/>
  <c r="E65" i="15"/>
  <c r="I65" i="15" s="1"/>
  <c r="Z64" i="15"/>
  <c r="W64" i="15"/>
  <c r="S64" i="15"/>
  <c r="R64" i="15"/>
  <c r="P64" i="15"/>
  <c r="O64" i="15"/>
  <c r="L64" i="15"/>
  <c r="K64" i="15"/>
  <c r="E64" i="15"/>
  <c r="Q64" i="15" s="1"/>
  <c r="Z63" i="15"/>
  <c r="AA63" i="15" s="1"/>
  <c r="Y63" i="15"/>
  <c r="X63" i="15"/>
  <c r="W63" i="15"/>
  <c r="R63" i="15"/>
  <c r="S63" i="15" s="1"/>
  <c r="Q63" i="15"/>
  <c r="O63" i="15"/>
  <c r="L63" i="15"/>
  <c r="K63" i="15"/>
  <c r="I63" i="15"/>
  <c r="E63" i="15"/>
  <c r="E56" i="15"/>
  <c r="R55" i="15"/>
  <c r="O55" i="15"/>
  <c r="L55" i="15"/>
  <c r="K55" i="15"/>
  <c r="G55" i="15"/>
  <c r="G57" i="15" s="1"/>
  <c r="F55" i="15"/>
  <c r="F57" i="15" s="1"/>
  <c r="V54" i="15"/>
  <c r="W54" i="15" s="1"/>
  <c r="U54" i="15"/>
  <c r="R54" i="15"/>
  <c r="N54" i="15"/>
  <c r="M54" i="15"/>
  <c r="J54" i="15"/>
  <c r="H54" i="15"/>
  <c r="G54" i="15"/>
  <c r="F54" i="15"/>
  <c r="Z53" i="15"/>
  <c r="AA53" i="15" s="1"/>
  <c r="Y53" i="15"/>
  <c r="X53" i="15"/>
  <c r="W53" i="15"/>
  <c r="R53" i="15"/>
  <c r="S53" i="15" s="1"/>
  <c r="Q53" i="15"/>
  <c r="P53" i="15"/>
  <c r="O53" i="15"/>
  <c r="L53" i="15"/>
  <c r="K53" i="15"/>
  <c r="I53" i="15"/>
  <c r="E53" i="15"/>
  <c r="Z52" i="15"/>
  <c r="W52" i="15"/>
  <c r="R52" i="15"/>
  <c r="S52" i="15" s="1"/>
  <c r="P52" i="15"/>
  <c r="O52" i="15"/>
  <c r="L52" i="15"/>
  <c r="K52" i="15"/>
  <c r="E52" i="15"/>
  <c r="Q52" i="15" s="1"/>
  <c r="AA51" i="15"/>
  <c r="Z51" i="15"/>
  <c r="Y51" i="15"/>
  <c r="X51" i="15"/>
  <c r="W51" i="15"/>
  <c r="R51" i="15"/>
  <c r="S51" i="15" s="1"/>
  <c r="Q51" i="15"/>
  <c r="P51" i="15"/>
  <c r="O51" i="15"/>
  <c r="L51" i="15"/>
  <c r="K51" i="15"/>
  <c r="E51" i="15"/>
  <c r="I51" i="15" s="1"/>
  <c r="Z50" i="15"/>
  <c r="AA50" i="15" s="1"/>
  <c r="W50" i="15"/>
  <c r="R50" i="15"/>
  <c r="O50" i="15"/>
  <c r="L50" i="15"/>
  <c r="K50" i="15"/>
  <c r="I50" i="15"/>
  <c r="E50" i="15"/>
  <c r="AA49" i="15"/>
  <c r="Z49" i="15"/>
  <c r="Y49" i="15"/>
  <c r="X49" i="15"/>
  <c r="W49" i="15"/>
  <c r="R49" i="15"/>
  <c r="S49" i="15" s="1"/>
  <c r="Q49" i="15"/>
  <c r="P49" i="15"/>
  <c r="O49" i="15"/>
  <c r="L49" i="15"/>
  <c r="K49" i="15"/>
  <c r="I49" i="15"/>
  <c r="E49" i="15"/>
  <c r="G42" i="15"/>
  <c r="F42" i="15"/>
  <c r="E41" i="15"/>
  <c r="R40" i="15"/>
  <c r="O40" i="15"/>
  <c r="L40" i="15"/>
  <c r="K40" i="15"/>
  <c r="G40" i="15"/>
  <c r="F40" i="15"/>
  <c r="V39" i="15"/>
  <c r="Z39" i="15" s="1"/>
  <c r="U39" i="15"/>
  <c r="N39" i="15"/>
  <c r="M39" i="15"/>
  <c r="L39" i="15"/>
  <c r="J39" i="15"/>
  <c r="H39" i="15"/>
  <c r="K39" i="15" s="1"/>
  <c r="G39" i="15"/>
  <c r="F39" i="15"/>
  <c r="AA38" i="15"/>
  <c r="Z38" i="15"/>
  <c r="W38" i="15"/>
  <c r="R38" i="15"/>
  <c r="S38" i="15" s="1"/>
  <c r="Q38" i="15"/>
  <c r="P38" i="15"/>
  <c r="O38" i="15"/>
  <c r="L38" i="15"/>
  <c r="K38" i="15"/>
  <c r="E38" i="15"/>
  <c r="Y38" i="15" s="1"/>
  <c r="Z37" i="15"/>
  <c r="AA37" i="15" s="1"/>
  <c r="Y37" i="15"/>
  <c r="X37" i="15"/>
  <c r="W37" i="15"/>
  <c r="R37" i="15"/>
  <c r="S37" i="15" s="1"/>
  <c r="Q37" i="15"/>
  <c r="P37" i="15"/>
  <c r="O37" i="15"/>
  <c r="L37" i="15"/>
  <c r="K37" i="15"/>
  <c r="I37" i="15"/>
  <c r="E37" i="15"/>
  <c r="Z36" i="15"/>
  <c r="W36" i="15"/>
  <c r="S36" i="15"/>
  <c r="R36" i="15"/>
  <c r="O36" i="15"/>
  <c r="L36" i="15"/>
  <c r="K36" i="15"/>
  <c r="E36" i="15"/>
  <c r="I36" i="15" s="1"/>
  <c r="Z35" i="15"/>
  <c r="W35" i="15"/>
  <c r="S35" i="15"/>
  <c r="R35" i="15"/>
  <c r="O35" i="15"/>
  <c r="L35" i="15"/>
  <c r="K35" i="15"/>
  <c r="E35" i="15"/>
  <c r="E39" i="15" s="1"/>
  <c r="Z34" i="15"/>
  <c r="AA34" i="15" s="1"/>
  <c r="W34" i="15"/>
  <c r="R34" i="15"/>
  <c r="S34" i="15" s="1"/>
  <c r="Q34" i="15"/>
  <c r="P34" i="15"/>
  <c r="O34" i="15"/>
  <c r="L34" i="15"/>
  <c r="K34" i="15"/>
  <c r="E34" i="15"/>
  <c r="X34" i="15" s="1"/>
  <c r="AC27" i="15"/>
  <c r="Z27" i="15"/>
  <c r="Y27" i="15"/>
  <c r="X27" i="15"/>
  <c r="U27" i="15"/>
  <c r="R27" i="15"/>
  <c r="Q27" i="15"/>
  <c r="P27" i="15"/>
  <c r="M27" i="15"/>
  <c r="O27" i="15" s="1"/>
  <c r="K27" i="15"/>
  <c r="J27" i="15"/>
  <c r="I27" i="15"/>
  <c r="AC26" i="15"/>
  <c r="Z26" i="15"/>
  <c r="V26" i="15"/>
  <c r="U26" i="15"/>
  <c r="R26" i="15"/>
  <c r="O26" i="15"/>
  <c r="N26" i="15"/>
  <c r="H26" i="15"/>
  <c r="AA26" i="15" s="1"/>
  <c r="U19" i="15"/>
  <c r="R19" i="15"/>
  <c r="O19" i="15"/>
  <c r="N19" i="15"/>
  <c r="J19" i="15"/>
  <c r="I19" i="15"/>
  <c r="AC18" i="15"/>
  <c r="Z18" i="15"/>
  <c r="Y18" i="15"/>
  <c r="X18" i="15"/>
  <c r="Q18" i="15"/>
  <c r="U18" i="15" s="1"/>
  <c r="P18" i="15"/>
  <c r="O18" i="15" s="1"/>
  <c r="M18" i="15"/>
  <c r="K18" i="15"/>
  <c r="J18" i="15"/>
  <c r="I18" i="15"/>
  <c r="AC17" i="15"/>
  <c r="Z17" i="15"/>
  <c r="U17" i="15"/>
  <c r="V17" i="15" s="1"/>
  <c r="R17" i="15"/>
  <c r="O17" i="15"/>
  <c r="N17" i="15"/>
  <c r="L17" i="15"/>
  <c r="H17" i="15"/>
  <c r="AD16" i="15"/>
  <c r="AC16" i="15"/>
  <c r="Z16" i="15"/>
  <c r="U16" i="15"/>
  <c r="V16" i="15" s="1"/>
  <c r="T16" i="15"/>
  <c r="S16" i="15"/>
  <c r="R16" i="15"/>
  <c r="O16" i="15"/>
  <c r="N16" i="15"/>
  <c r="H16" i="15"/>
  <c r="AB16" i="15" s="1"/>
  <c r="AC15" i="15"/>
  <c r="AD15" i="15" s="1"/>
  <c r="AB15" i="15"/>
  <c r="AA15" i="15"/>
  <c r="Z15" i="15"/>
  <c r="U15" i="15"/>
  <c r="V15" i="15" s="1"/>
  <c r="T15" i="15"/>
  <c r="S15" i="15"/>
  <c r="R15" i="15"/>
  <c r="O15" i="15"/>
  <c r="N15" i="15"/>
  <c r="H15" i="15"/>
  <c r="L15" i="15" s="1"/>
  <c r="P117" i="18" l="1"/>
  <c r="I117" i="18"/>
  <c r="Q117" i="18"/>
  <c r="AA27" i="18"/>
  <c r="S117" i="18"/>
  <c r="P52" i="18"/>
  <c r="E54" i="18"/>
  <c r="I52" i="18"/>
  <c r="P62" i="18"/>
  <c r="Q74" i="18"/>
  <c r="I74" i="18"/>
  <c r="Y74" i="18"/>
  <c r="P74" i="18"/>
  <c r="Q86" i="18"/>
  <c r="I86" i="18"/>
  <c r="Y86" i="18"/>
  <c r="P86" i="18"/>
  <c r="Q125" i="18"/>
  <c r="P125" i="18"/>
  <c r="Y125" i="18"/>
  <c r="X125" i="18"/>
  <c r="AA125" i="18"/>
  <c r="Y139" i="18"/>
  <c r="P139" i="18"/>
  <c r="X139" i="18"/>
  <c r="R139" i="18"/>
  <c r="S139" i="18" s="1"/>
  <c r="O139" i="18"/>
  <c r="X149" i="18"/>
  <c r="I149" i="18"/>
  <c r="S149" i="18"/>
  <c r="Q149" i="18"/>
  <c r="Z116" i="18"/>
  <c r="AA116" i="18" s="1"/>
  <c r="W116" i="18"/>
  <c r="I125" i="18"/>
  <c r="V126" i="18"/>
  <c r="Y126" i="18" s="1"/>
  <c r="Q104" i="18"/>
  <c r="P104" i="18"/>
  <c r="Y104" i="18"/>
  <c r="X104" i="18"/>
  <c r="Q36" i="18"/>
  <c r="P36" i="18"/>
  <c r="Y36" i="18"/>
  <c r="X36" i="18"/>
  <c r="P140" i="18"/>
  <c r="X140" i="18"/>
  <c r="I140" i="18"/>
  <c r="E63" i="18"/>
  <c r="L96" i="18"/>
  <c r="S62" i="18"/>
  <c r="AA95" i="18"/>
  <c r="P95" i="18"/>
  <c r="X95" i="18"/>
  <c r="I95" i="18"/>
  <c r="AA104" i="18"/>
  <c r="O161" i="18"/>
  <c r="AB17" i="18"/>
  <c r="S17" i="18"/>
  <c r="AA17" i="18"/>
  <c r="O17" i="18"/>
  <c r="L27" i="18"/>
  <c r="K39" i="18"/>
  <c r="W74" i="18"/>
  <c r="O96" i="18"/>
  <c r="I104" i="18"/>
  <c r="K106" i="18"/>
  <c r="Y106" i="18"/>
  <c r="P107" i="18"/>
  <c r="O127" i="18"/>
  <c r="Q147" i="18"/>
  <c r="P147" i="18"/>
  <c r="Y147" i="18"/>
  <c r="X147" i="18"/>
  <c r="AA147" i="18"/>
  <c r="Q160" i="18"/>
  <c r="P160" i="18"/>
  <c r="Y160" i="18"/>
  <c r="X160" i="18"/>
  <c r="AA160" i="18"/>
  <c r="W161" i="18"/>
  <c r="O171" i="18"/>
  <c r="Q25" i="18"/>
  <c r="Y25" i="18"/>
  <c r="Q39" i="18"/>
  <c r="I39" i="18"/>
  <c r="Y39" i="18"/>
  <c r="P39" i="18"/>
  <c r="Q62" i="18"/>
  <c r="AA25" i="18"/>
  <c r="X137" i="18"/>
  <c r="I137" i="18"/>
  <c r="Q137" i="18"/>
  <c r="AA140" i="18"/>
  <c r="P25" i="18"/>
  <c r="X38" i="18"/>
  <c r="I38" i="18"/>
  <c r="Q38" i="18"/>
  <c r="Y38" i="18"/>
  <c r="X39" i="18"/>
  <c r="Q60" i="18"/>
  <c r="P60" i="18"/>
  <c r="Y60" i="18"/>
  <c r="X60" i="18"/>
  <c r="AA60" i="18"/>
  <c r="I62" i="18"/>
  <c r="X74" i="18"/>
  <c r="P87" i="18"/>
  <c r="Q96" i="18"/>
  <c r="I96" i="18"/>
  <c r="Y96" i="18"/>
  <c r="P96" i="18"/>
  <c r="O106" i="18"/>
  <c r="L106" i="18"/>
  <c r="Z106" i="18"/>
  <c r="AA106" i="18" s="1"/>
  <c r="F128" i="18"/>
  <c r="E127" i="18"/>
  <c r="AA137" i="18"/>
  <c r="I139" i="18"/>
  <c r="P149" i="18"/>
  <c r="Q161" i="18"/>
  <c r="I161" i="18"/>
  <c r="Y161" i="18"/>
  <c r="P161" i="18"/>
  <c r="X161" i="18"/>
  <c r="Y171" i="18"/>
  <c r="Q171" i="18"/>
  <c r="I171" i="18"/>
  <c r="X171" i="18"/>
  <c r="P171" i="18"/>
  <c r="S140" i="18"/>
  <c r="I25" i="18"/>
  <c r="Q48" i="18"/>
  <c r="Y48" i="18"/>
  <c r="X48" i="18"/>
  <c r="Q139" i="18"/>
  <c r="Y95" i="18"/>
  <c r="T17" i="18"/>
  <c r="AA24" i="18"/>
  <c r="P24" i="18"/>
  <c r="X24" i="18"/>
  <c r="I24" i="18"/>
  <c r="Y24" i="18"/>
  <c r="E27" i="18"/>
  <c r="F28" i="18"/>
  <c r="S40" i="18"/>
  <c r="P48" i="18"/>
  <c r="I60" i="18"/>
  <c r="K62" i="18"/>
  <c r="Y62" i="18"/>
  <c r="L74" i="18"/>
  <c r="X85" i="18"/>
  <c r="I85" i="18"/>
  <c r="Q85" i="18"/>
  <c r="Y85" i="18"/>
  <c r="X86" i="18"/>
  <c r="Q87" i="18"/>
  <c r="E97" i="18"/>
  <c r="Q116" i="18"/>
  <c r="I116" i="18"/>
  <c r="X116" i="18"/>
  <c r="Q140" i="18"/>
  <c r="I107" i="18"/>
  <c r="Q107" i="18"/>
  <c r="I48" i="18"/>
  <c r="E75" i="18"/>
  <c r="Q51" i="18"/>
  <c r="I51" i="18"/>
  <c r="X51" i="18"/>
  <c r="F65" i="18"/>
  <c r="Y116" i="18"/>
  <c r="U17" i="18"/>
  <c r="V17" i="18" s="1"/>
  <c r="S25" i="18"/>
  <c r="R27" i="18"/>
  <c r="S27" i="18" s="1"/>
  <c r="E40" i="18"/>
  <c r="Z51" i="18"/>
  <c r="AA51" i="18" s="1"/>
  <c r="W51" i="18"/>
  <c r="Q52" i="18"/>
  <c r="L62" i="18"/>
  <c r="Z62" i="18"/>
  <c r="AA62" i="18" s="1"/>
  <c r="AA73" i="18"/>
  <c r="P73" i="18"/>
  <c r="X73" i="18"/>
  <c r="I73" i="18"/>
  <c r="Y73" i="18"/>
  <c r="G75" i="18"/>
  <c r="S87" i="18"/>
  <c r="Q95" i="18"/>
  <c r="P106" i="18"/>
  <c r="P116" i="18"/>
  <c r="P137" i="18"/>
  <c r="Z150" i="18"/>
  <c r="Z171" i="18"/>
  <c r="AA171" i="18" s="1"/>
  <c r="W171" i="18"/>
  <c r="S16" i="18"/>
  <c r="P26" i="18"/>
  <c r="X126" i="18"/>
  <c r="E150" i="18"/>
  <c r="I170" i="18"/>
  <c r="T16" i="18"/>
  <c r="O51" i="18"/>
  <c r="P61" i="18"/>
  <c r="P84" i="18"/>
  <c r="AA84" i="18"/>
  <c r="W86" i="18"/>
  <c r="P105" i="18"/>
  <c r="O116" i="18"/>
  <c r="P126" i="18"/>
  <c r="P136" i="18"/>
  <c r="I138" i="18"/>
  <c r="W150" i="18"/>
  <c r="I158" i="18"/>
  <c r="I159" i="18"/>
  <c r="X170" i="18"/>
  <c r="X50" i="18"/>
  <c r="X72" i="18"/>
  <c r="X94" i="18"/>
  <c r="X115" i="18"/>
  <c r="W158" i="18"/>
  <c r="X169" i="18"/>
  <c r="Y170" i="18"/>
  <c r="E98" i="17"/>
  <c r="Y175" i="17"/>
  <c r="X175" i="17"/>
  <c r="I175" i="17"/>
  <c r="Q175" i="17"/>
  <c r="P175" i="17"/>
  <c r="S186" i="17"/>
  <c r="AA186" i="17"/>
  <c r="S85" i="17"/>
  <c r="F87" i="17"/>
  <c r="E85" i="17"/>
  <c r="L32" i="17"/>
  <c r="Y31" i="17"/>
  <c r="I43" i="17"/>
  <c r="S130" i="17"/>
  <c r="S131" i="17" s="1"/>
  <c r="Q141" i="17"/>
  <c r="W162" i="17"/>
  <c r="Q184" i="17"/>
  <c r="Y184" i="17"/>
  <c r="P184" i="17"/>
  <c r="X184" i="17"/>
  <c r="Q198" i="17"/>
  <c r="I55" i="17"/>
  <c r="E59" i="17"/>
  <c r="AA84" i="17"/>
  <c r="H24" i="17"/>
  <c r="V24" i="17" s="1"/>
  <c r="T23" i="17"/>
  <c r="AD23" i="17"/>
  <c r="S23" i="17"/>
  <c r="AA23" i="17"/>
  <c r="Y30" i="17"/>
  <c r="X30" i="17"/>
  <c r="P30" i="17"/>
  <c r="S31" i="17"/>
  <c r="Q81" i="17"/>
  <c r="P81" i="17"/>
  <c r="X81" i="17"/>
  <c r="I161" i="17"/>
  <c r="Y161" i="17"/>
  <c r="X161" i="17"/>
  <c r="P161" i="17"/>
  <c r="AA161" i="17"/>
  <c r="Q171" i="17"/>
  <c r="AA171" i="17"/>
  <c r="P171" i="17"/>
  <c r="Y171" i="17"/>
  <c r="X171" i="17"/>
  <c r="Q197" i="17"/>
  <c r="AA197" i="17"/>
  <c r="P197" i="17"/>
  <c r="Y197" i="17"/>
  <c r="X197" i="17"/>
  <c r="X198" i="17"/>
  <c r="S209" i="17"/>
  <c r="Q84" i="17"/>
  <c r="I84" i="17"/>
  <c r="Y84" i="17"/>
  <c r="P84" i="17"/>
  <c r="E87" i="17"/>
  <c r="X84" i="17"/>
  <c r="Q97" i="17"/>
  <c r="I97" i="17"/>
  <c r="Y97" i="17"/>
  <c r="P97" i="17"/>
  <c r="P141" i="17"/>
  <c r="AA162" i="17"/>
  <c r="Y183" i="17"/>
  <c r="X183" i="17"/>
  <c r="I183" i="17"/>
  <c r="P183" i="17"/>
  <c r="AA183" i="17"/>
  <c r="P198" i="17"/>
  <c r="AA198" i="17"/>
  <c r="T16" i="17"/>
  <c r="L16" i="17"/>
  <c r="AB16" i="17"/>
  <c r="S16" i="17"/>
  <c r="AA16" i="17"/>
  <c r="Y55" i="17"/>
  <c r="X55" i="17"/>
  <c r="P55" i="17"/>
  <c r="W71" i="17"/>
  <c r="Z71" i="17"/>
  <c r="AA71" i="17" s="1"/>
  <c r="AA97" i="17"/>
  <c r="Q110" i="17"/>
  <c r="I110" i="17"/>
  <c r="P110" i="17"/>
  <c r="Z174" i="17"/>
  <c r="AA174" i="17" s="1"/>
  <c r="W174" i="17"/>
  <c r="I184" i="17"/>
  <c r="AA184" i="17"/>
  <c r="K186" i="17"/>
  <c r="S198" i="17"/>
  <c r="Q30" i="17"/>
  <c r="E33" i="17"/>
  <c r="F35" i="17"/>
  <c r="L45" i="17"/>
  <c r="Q56" i="17"/>
  <c r="P56" i="17"/>
  <c r="X56" i="17"/>
  <c r="E72" i="17"/>
  <c r="W84" i="17"/>
  <c r="W97" i="17"/>
  <c r="E111" i="17"/>
  <c r="Q121" i="17"/>
  <c r="I121" i="17"/>
  <c r="Y121" i="17"/>
  <c r="P121" i="17"/>
  <c r="X121" i="17"/>
  <c r="O121" i="17"/>
  <c r="R121" i="17"/>
  <c r="S121" i="17" s="1"/>
  <c r="I122" i="17"/>
  <c r="I141" i="17"/>
  <c r="Z209" i="17"/>
  <c r="AA209" i="17" s="1"/>
  <c r="O84" i="17"/>
  <c r="R84" i="17"/>
  <c r="S84" i="17" s="1"/>
  <c r="Q31" i="17"/>
  <c r="P31" i="17"/>
  <c r="P208" i="17"/>
  <c r="X208" i="17"/>
  <c r="Y208" i="17"/>
  <c r="Q208" i="17"/>
  <c r="I208" i="17"/>
  <c r="AA31" i="17"/>
  <c r="Y130" i="17"/>
  <c r="Y131" i="17" s="1"/>
  <c r="X130" i="17"/>
  <c r="X131" i="17" s="1"/>
  <c r="I130" i="17"/>
  <c r="I131" i="17" s="1"/>
  <c r="AD16" i="17"/>
  <c r="V23" i="17"/>
  <c r="G33" i="17"/>
  <c r="G35" i="17" s="1"/>
  <c r="E32" i="17"/>
  <c r="AA68" i="17"/>
  <c r="P68" i="17"/>
  <c r="Y68" i="17"/>
  <c r="Q68" i="17"/>
  <c r="X68" i="17"/>
  <c r="S81" i="17"/>
  <c r="X97" i="17"/>
  <c r="AA110" i="17"/>
  <c r="AA130" i="17"/>
  <c r="AA131" i="17" s="1"/>
  <c r="AA139" i="17"/>
  <c r="P139" i="17"/>
  <c r="Y139" i="17"/>
  <c r="Q139" i="17"/>
  <c r="X139" i="17"/>
  <c r="S171" i="17"/>
  <c r="S175" i="17"/>
  <c r="Q183" i="17"/>
  <c r="S197" i="17"/>
  <c r="K209" i="17"/>
  <c r="W209" i="17"/>
  <c r="P118" i="17"/>
  <c r="Q118" i="17"/>
  <c r="P162" i="17"/>
  <c r="Q162" i="17"/>
  <c r="I162" i="17"/>
  <c r="Y162" i="17"/>
  <c r="E163" i="17"/>
  <c r="S163" i="17" s="1"/>
  <c r="Q174" i="17"/>
  <c r="I174" i="17"/>
  <c r="Y174" i="17"/>
  <c r="P174" i="17"/>
  <c r="X174" i="17"/>
  <c r="X31" i="17"/>
  <c r="AA43" i="17"/>
  <c r="P43" i="17"/>
  <c r="Y43" i="17"/>
  <c r="Q43" i="17"/>
  <c r="O97" i="17"/>
  <c r="AA208" i="17"/>
  <c r="R16" i="17"/>
  <c r="U16" i="17"/>
  <c r="V16" i="17" s="1"/>
  <c r="O110" i="17"/>
  <c r="I209" i="17"/>
  <c r="Q209" i="17"/>
  <c r="Y209" i="17"/>
  <c r="AA55" i="17"/>
  <c r="Z16" i="17"/>
  <c r="N24" i="17"/>
  <c r="S32" i="17"/>
  <c r="Y42" i="17"/>
  <c r="X42" i="17"/>
  <c r="I42" i="17"/>
  <c r="E48" i="17"/>
  <c r="X45" i="17"/>
  <c r="P45" i="17"/>
  <c r="AA56" i="17"/>
  <c r="I68" i="17"/>
  <c r="Y71" i="17"/>
  <c r="P71" i="17"/>
  <c r="E74" i="17"/>
  <c r="X71" i="17"/>
  <c r="Q71" i="17"/>
  <c r="I71" i="17"/>
  <c r="O71" i="17"/>
  <c r="Y96" i="17"/>
  <c r="X96" i="17"/>
  <c r="I96" i="17"/>
  <c r="AA107" i="17"/>
  <c r="X107" i="17"/>
  <c r="P107" i="17"/>
  <c r="W110" i="17"/>
  <c r="E131" i="17"/>
  <c r="I139" i="17"/>
  <c r="K141" i="17"/>
  <c r="S162" i="17"/>
  <c r="AA163" i="17"/>
  <c r="Y196" i="17"/>
  <c r="I196" i="17"/>
  <c r="X196" i="17"/>
  <c r="P196" i="17"/>
  <c r="AA196" i="17"/>
  <c r="X209" i="17"/>
  <c r="I57" i="17"/>
  <c r="X70" i="17"/>
  <c r="I82" i="17"/>
  <c r="Y83" i="17"/>
  <c r="I159" i="17"/>
  <c r="I172" i="17"/>
  <c r="R174" i="17"/>
  <c r="S174" i="17" s="1"/>
  <c r="I185" i="17"/>
  <c r="F46" i="17"/>
  <c r="Q57" i="17"/>
  <c r="E58" i="17"/>
  <c r="Q82" i="17"/>
  <c r="P94" i="17"/>
  <c r="P108" i="17"/>
  <c r="P140" i="17"/>
  <c r="F142" i="17"/>
  <c r="E142" i="17" s="1"/>
  <c r="Q159" i="17"/>
  <c r="Q172" i="17"/>
  <c r="Q185" i="17"/>
  <c r="E186" i="17"/>
  <c r="K198" i="17"/>
  <c r="I207" i="17"/>
  <c r="X207" i="17"/>
  <c r="H16" i="16"/>
  <c r="T15" i="16"/>
  <c r="S15" i="16"/>
  <c r="AB15" i="16"/>
  <c r="AA15" i="16"/>
  <c r="L15" i="16"/>
  <c r="Q82" i="16"/>
  <c r="I82" i="16"/>
  <c r="Y82" i="16"/>
  <c r="P82" i="16"/>
  <c r="X82" i="16"/>
  <c r="X99" i="16"/>
  <c r="Y99" i="16"/>
  <c r="P99" i="16"/>
  <c r="Q99" i="16"/>
  <c r="I99" i="16"/>
  <c r="V15" i="16"/>
  <c r="I126" i="16"/>
  <c r="Q126" i="16"/>
  <c r="Y126" i="16"/>
  <c r="P126" i="16"/>
  <c r="X126" i="16"/>
  <c r="AA82" i="16"/>
  <c r="AA99" i="16"/>
  <c r="P110" i="16"/>
  <c r="I110" i="16"/>
  <c r="Q110" i="16"/>
  <c r="V16" i="16"/>
  <c r="Q81" i="16"/>
  <c r="AA81" i="16"/>
  <c r="P81" i="16"/>
  <c r="Y81" i="16"/>
  <c r="X81" i="16"/>
  <c r="I81" i="16"/>
  <c r="S81" i="16"/>
  <c r="AD16" i="16"/>
  <c r="S126" i="16"/>
  <c r="X150" i="16"/>
  <c r="Q150" i="16"/>
  <c r="I150" i="16"/>
  <c r="Y150" i="16"/>
  <c r="P150" i="16"/>
  <c r="S97" i="16"/>
  <c r="S125" i="16"/>
  <c r="I97" i="16"/>
  <c r="I125" i="16"/>
  <c r="K134" i="16"/>
  <c r="W142" i="16"/>
  <c r="W24" i="16"/>
  <c r="W34" i="16"/>
  <c r="P142" i="16"/>
  <c r="Y23" i="16"/>
  <c r="R24" i="16"/>
  <c r="S24" i="16" s="1"/>
  <c r="Y33" i="16"/>
  <c r="R34" i="16"/>
  <c r="S34" i="16" s="1"/>
  <c r="Y43" i="16"/>
  <c r="R44" i="16"/>
  <c r="S44" i="16" s="1"/>
  <c r="Y53" i="16"/>
  <c r="R54" i="16"/>
  <c r="S54" i="16" s="1"/>
  <c r="Y63" i="16"/>
  <c r="R64" i="16"/>
  <c r="S64" i="16" s="1"/>
  <c r="Y73" i="16"/>
  <c r="R74" i="16"/>
  <c r="S74" i="16" s="1"/>
  <c r="Y89" i="16"/>
  <c r="R90" i="16"/>
  <c r="S90" i="16" s="1"/>
  <c r="I98" i="16"/>
  <c r="X107" i="16"/>
  <c r="P117" i="16"/>
  <c r="P118" i="16" s="1"/>
  <c r="AA117" i="16"/>
  <c r="AA118" i="16" s="1"/>
  <c r="I134" i="16"/>
  <c r="Q134" i="16"/>
  <c r="Z134" i="16"/>
  <c r="AA134" i="16" s="1"/>
  <c r="P141" i="16"/>
  <c r="AA141" i="16"/>
  <c r="S149" i="16"/>
  <c r="W44" i="16"/>
  <c r="W54" i="16"/>
  <c r="W64" i="16"/>
  <c r="W74" i="16"/>
  <c r="L99" i="16"/>
  <c r="X109" i="16"/>
  <c r="I117" i="16"/>
  <c r="I118" i="16" s="1"/>
  <c r="Y125" i="16"/>
  <c r="K150" i="16"/>
  <c r="X158" i="16"/>
  <c r="X24" i="16"/>
  <c r="X34" i="16"/>
  <c r="X44" i="16"/>
  <c r="X54" i="16"/>
  <c r="X64" i="16"/>
  <c r="X74" i="16"/>
  <c r="K82" i="16"/>
  <c r="X90" i="16"/>
  <c r="I108" i="16"/>
  <c r="P109" i="16"/>
  <c r="Y109" i="16"/>
  <c r="X117" i="16"/>
  <c r="X118" i="16" s="1"/>
  <c r="K126" i="16"/>
  <c r="X141" i="16"/>
  <c r="I142" i="16"/>
  <c r="Q142" i="16"/>
  <c r="P149" i="16"/>
  <c r="P158" i="16"/>
  <c r="Y158" i="16"/>
  <c r="S117" i="16"/>
  <c r="S118" i="16" s="1"/>
  <c r="W90" i="16"/>
  <c r="O109" i="16"/>
  <c r="I141" i="16"/>
  <c r="Y142" i="16"/>
  <c r="O158" i="16"/>
  <c r="I23" i="16"/>
  <c r="P24" i="16"/>
  <c r="Y24" i="16"/>
  <c r="I33" i="16"/>
  <c r="P34" i="16"/>
  <c r="Y34" i="16"/>
  <c r="I43" i="16"/>
  <c r="P44" i="16"/>
  <c r="Y44" i="16"/>
  <c r="I53" i="16"/>
  <c r="P54" i="16"/>
  <c r="Y54" i="16"/>
  <c r="I63" i="16"/>
  <c r="P64" i="16"/>
  <c r="Y64" i="16"/>
  <c r="I73" i="16"/>
  <c r="P74" i="16"/>
  <c r="Y74" i="16"/>
  <c r="P90" i="16"/>
  <c r="Y90" i="16"/>
  <c r="P97" i="16"/>
  <c r="AA97" i="16"/>
  <c r="X108" i="16"/>
  <c r="I109" i="16"/>
  <c r="Z109" i="16"/>
  <c r="AA109" i="16" s="1"/>
  <c r="P125" i="16"/>
  <c r="AA125" i="16"/>
  <c r="X134" i="16"/>
  <c r="R142" i="16"/>
  <c r="S142" i="16" s="1"/>
  <c r="I157" i="16"/>
  <c r="X157" i="16"/>
  <c r="Z158" i="16"/>
  <c r="AA158" i="16" s="1"/>
  <c r="X97" i="16"/>
  <c r="X125" i="16"/>
  <c r="Y97" i="16"/>
  <c r="I24" i="16"/>
  <c r="I34" i="16"/>
  <c r="I44" i="16"/>
  <c r="I54" i="16"/>
  <c r="I64" i="16"/>
  <c r="I74" i="16"/>
  <c r="I90" i="16"/>
  <c r="P134" i="16"/>
  <c r="Q39" i="15"/>
  <c r="I39" i="15"/>
  <c r="P39" i="15"/>
  <c r="Y39" i="15"/>
  <c r="X39" i="15"/>
  <c r="Q83" i="15"/>
  <c r="I83" i="15"/>
  <c r="Y83" i="15"/>
  <c r="P83" i="15"/>
  <c r="AA83" i="15"/>
  <c r="X83" i="15"/>
  <c r="X79" i="15"/>
  <c r="I99" i="15"/>
  <c r="P99" i="15"/>
  <c r="Q109" i="15"/>
  <c r="P109" i="15"/>
  <c r="S109" i="15"/>
  <c r="I109" i="15"/>
  <c r="S17" i="15"/>
  <c r="AB17" i="15"/>
  <c r="T17" i="15"/>
  <c r="AA17" i="15"/>
  <c r="AD17" i="15"/>
  <c r="X50" i="15"/>
  <c r="Q50" i="15"/>
  <c r="E54" i="15"/>
  <c r="P50" i="15"/>
  <c r="Y50" i="15"/>
  <c r="E55" i="15"/>
  <c r="S99" i="15"/>
  <c r="X109" i="15"/>
  <c r="I187" i="15"/>
  <c r="Q187" i="15"/>
  <c r="P187" i="15"/>
  <c r="O186" i="15"/>
  <c r="R186" i="15"/>
  <c r="S186" i="15" s="1"/>
  <c r="Y79" i="15"/>
  <c r="Q79" i="15"/>
  <c r="AA79" i="15"/>
  <c r="P79" i="15"/>
  <c r="I110" i="15"/>
  <c r="Q110" i="15"/>
  <c r="P110" i="15"/>
  <c r="Y109" i="15"/>
  <c r="Y67" i="15"/>
  <c r="I79" i="15"/>
  <c r="X36" i="15"/>
  <c r="AA36" i="15"/>
  <c r="AA39" i="15"/>
  <c r="W68" i="15"/>
  <c r="E84" i="15"/>
  <c r="S84" i="15"/>
  <c r="X110" i="15"/>
  <c r="R221" i="15"/>
  <c r="S221" i="15" s="1"/>
  <c r="O221" i="15"/>
  <c r="O68" i="15"/>
  <c r="W132" i="15"/>
  <c r="W39" i="15"/>
  <c r="S50" i="15"/>
  <c r="S83" i="15"/>
  <c r="Y95" i="15"/>
  <c r="X95" i="15"/>
  <c r="Q95" i="15"/>
  <c r="P95" i="15"/>
  <c r="AA95" i="15"/>
  <c r="K98" i="15"/>
  <c r="Y110" i="15"/>
  <c r="S111" i="15"/>
  <c r="K132" i="15"/>
  <c r="Q170" i="15"/>
  <c r="P170" i="15"/>
  <c r="E175" i="15"/>
  <c r="S170" i="15"/>
  <c r="E174" i="15"/>
  <c r="Y170" i="15"/>
  <c r="Q186" i="15"/>
  <c r="I186" i="15"/>
  <c r="Y186" i="15"/>
  <c r="P186" i="15"/>
  <c r="X186" i="15"/>
  <c r="P67" i="15"/>
  <c r="Q67" i="15"/>
  <c r="S67" i="15"/>
  <c r="AA109" i="15"/>
  <c r="K174" i="15"/>
  <c r="Y35" i="15"/>
  <c r="I35" i="15"/>
  <c r="AA35" i="15"/>
  <c r="P35" i="15"/>
  <c r="X35" i="15"/>
  <c r="R39" i="15"/>
  <c r="S39" i="15" s="1"/>
  <c r="O39" i="15"/>
  <c r="N18" i="15"/>
  <c r="Q36" i="15"/>
  <c r="P36" i="15"/>
  <c r="Y36" i="15"/>
  <c r="Y120" i="15"/>
  <c r="X120" i="15"/>
  <c r="I120" i="15"/>
  <c r="Q120" i="15"/>
  <c r="P120" i="15"/>
  <c r="S120" i="15"/>
  <c r="AA132" i="15"/>
  <c r="K198" i="15"/>
  <c r="L198" i="15"/>
  <c r="H27" i="15"/>
  <c r="AD27" i="15" s="1"/>
  <c r="T26" i="15"/>
  <c r="S26" i="15"/>
  <c r="AB26" i="15"/>
  <c r="R18" i="15"/>
  <c r="L26" i="15"/>
  <c r="AD26" i="15"/>
  <c r="Q35" i="15"/>
  <c r="L54" i="15"/>
  <c r="K54" i="15"/>
  <c r="S79" i="15"/>
  <c r="O83" i="15"/>
  <c r="I95" i="15"/>
  <c r="Q97" i="15"/>
  <c r="P97" i="15"/>
  <c r="S97" i="15"/>
  <c r="Y97" i="15"/>
  <c r="Q99" i="15"/>
  <c r="AA110" i="15"/>
  <c r="I170" i="15"/>
  <c r="S175" i="15"/>
  <c r="L16" i="15"/>
  <c r="N27" i="15"/>
  <c r="H18" i="15"/>
  <c r="V18" i="15" s="1"/>
  <c r="Y34" i="15"/>
  <c r="AA52" i="15"/>
  <c r="Z54" i="15"/>
  <c r="P63" i="15"/>
  <c r="E69" i="15"/>
  <c r="AA64" i="15"/>
  <c r="AA66" i="15"/>
  <c r="R68" i="15"/>
  <c r="AA78" i="15"/>
  <c r="E98" i="15"/>
  <c r="Q93" i="15"/>
  <c r="AA96" i="15"/>
  <c r="X107" i="15"/>
  <c r="I107" i="15"/>
  <c r="E111" i="15"/>
  <c r="AA108" i="15"/>
  <c r="L110" i="15"/>
  <c r="K110" i="15"/>
  <c r="Q143" i="15"/>
  <c r="I143" i="15"/>
  <c r="Y143" i="15"/>
  <c r="P143" i="15"/>
  <c r="X143" i="15"/>
  <c r="O143" i="15"/>
  <c r="R143" i="15"/>
  <c r="S143" i="15" s="1"/>
  <c r="E154" i="15"/>
  <c r="Q152" i="15"/>
  <c r="AA174" i="15"/>
  <c r="Q218" i="15"/>
  <c r="AA218" i="15"/>
  <c r="P218" i="15"/>
  <c r="X218" i="15"/>
  <c r="AA170" i="15"/>
  <c r="AA67" i="15"/>
  <c r="E123" i="15"/>
  <c r="P121" i="15"/>
  <c r="Y121" i="15"/>
  <c r="Q121" i="15"/>
  <c r="X121" i="15"/>
  <c r="W143" i="15"/>
  <c r="L154" i="15"/>
  <c r="K154" i="15"/>
  <c r="Y173" i="15"/>
  <c r="X173" i="15"/>
  <c r="AA173" i="15"/>
  <c r="P173" i="15"/>
  <c r="S174" i="15"/>
  <c r="Y195" i="15"/>
  <c r="X195" i="15"/>
  <c r="AA195" i="15"/>
  <c r="P195" i="15"/>
  <c r="Y206" i="15"/>
  <c r="X206" i="15"/>
  <c r="I206" i="15"/>
  <c r="K210" i="15"/>
  <c r="I121" i="15"/>
  <c r="AA121" i="15"/>
  <c r="O122" i="15"/>
  <c r="Q130" i="15"/>
  <c r="P130" i="15"/>
  <c r="E132" i="15"/>
  <c r="X130" i="15"/>
  <c r="Q153" i="15"/>
  <c r="P153" i="15"/>
  <c r="X153" i="15"/>
  <c r="I173" i="15"/>
  <c r="O174" i="15"/>
  <c r="Y182" i="15"/>
  <c r="X182" i="15"/>
  <c r="AA182" i="15"/>
  <c r="P182" i="15"/>
  <c r="AA186" i="15"/>
  <c r="I195" i="15"/>
  <c r="AA221" i="15"/>
  <c r="W210" i="15"/>
  <c r="Z210" i="15"/>
  <c r="AA210" i="15" s="1"/>
  <c r="Q221" i="15"/>
  <c r="I221" i="15"/>
  <c r="Y221" i="15"/>
  <c r="P221" i="15"/>
  <c r="X52" i="15"/>
  <c r="I64" i="15"/>
  <c r="W98" i="15"/>
  <c r="I108" i="15"/>
  <c r="AA16" i="15"/>
  <c r="H19" i="15"/>
  <c r="I34" i="15"/>
  <c r="I38" i="15"/>
  <c r="E40" i="15"/>
  <c r="Y52" i="15"/>
  <c r="Y64" i="15"/>
  <c r="Q80" i="15"/>
  <c r="P80" i="15"/>
  <c r="X80" i="15"/>
  <c r="X82" i="15"/>
  <c r="I82" i="15"/>
  <c r="I96" i="15"/>
  <c r="X96" i="15"/>
  <c r="X108" i="15"/>
  <c r="S110" i="15"/>
  <c r="Y130" i="15"/>
  <c r="E133" i="15"/>
  <c r="S133" i="15"/>
  <c r="I153" i="15"/>
  <c r="Y153" i="15"/>
  <c r="I182" i="15"/>
  <c r="W186" i="15"/>
  <c r="Q196" i="15"/>
  <c r="P196" i="15"/>
  <c r="X196" i="15"/>
  <c r="AA206" i="15"/>
  <c r="Y217" i="15"/>
  <c r="X217" i="15"/>
  <c r="AA217" i="15"/>
  <c r="P217" i="15"/>
  <c r="S218" i="15"/>
  <c r="W221" i="15"/>
  <c r="Y152" i="15"/>
  <c r="X152" i="15"/>
  <c r="AA152" i="15"/>
  <c r="P152" i="15"/>
  <c r="I52" i="15"/>
  <c r="X64" i="15"/>
  <c r="Y66" i="15"/>
  <c r="X66" i="15"/>
  <c r="E68" i="15"/>
  <c r="X78" i="15"/>
  <c r="I78" i="15"/>
  <c r="X38" i="15"/>
  <c r="O54" i="15"/>
  <c r="I80" i="15"/>
  <c r="Y80" i="15"/>
  <c r="Y82" i="15"/>
  <c r="S93" i="15"/>
  <c r="Y96" i="15"/>
  <c r="AA130" i="15"/>
  <c r="Q140" i="15"/>
  <c r="P140" i="15"/>
  <c r="S140" i="15"/>
  <c r="Y140" i="15"/>
  <c r="AA153" i="15"/>
  <c r="Q183" i="15"/>
  <c r="AA183" i="15"/>
  <c r="P183" i="15"/>
  <c r="X183" i="15"/>
  <c r="I196" i="15"/>
  <c r="Y196" i="15"/>
  <c r="E199" i="15"/>
  <c r="AA199" i="15" s="1"/>
  <c r="P207" i="15"/>
  <c r="Y207" i="15"/>
  <c r="Q207" i="15"/>
  <c r="X207" i="15"/>
  <c r="Y210" i="15"/>
  <c r="P210" i="15"/>
  <c r="X210" i="15"/>
  <c r="Q210" i="15"/>
  <c r="I210" i="15"/>
  <c r="O210" i="15"/>
  <c r="I217" i="15"/>
  <c r="X221" i="15"/>
  <c r="S118" i="15"/>
  <c r="X119" i="15"/>
  <c r="E122" i="15"/>
  <c r="S122" i="15" s="1"/>
  <c r="Y142" i="15"/>
  <c r="Y151" i="15"/>
  <c r="Y172" i="15"/>
  <c r="Y185" i="15"/>
  <c r="Y194" i="15"/>
  <c r="S208" i="15"/>
  <c r="P118" i="15"/>
  <c r="E198" i="15"/>
  <c r="AA198" i="15" s="1"/>
  <c r="P208" i="15"/>
  <c r="Q118" i="15"/>
  <c r="I142" i="15"/>
  <c r="E155" i="15"/>
  <c r="I194" i="15"/>
  <c r="S209" i="15"/>
  <c r="X151" i="15"/>
  <c r="Q150" i="18" l="1"/>
  <c r="I150" i="18"/>
  <c r="Y150" i="18"/>
  <c r="P150" i="18"/>
  <c r="X150" i="18"/>
  <c r="S150" i="18"/>
  <c r="E151" i="18"/>
  <c r="Q75" i="18"/>
  <c r="E77" i="18"/>
  <c r="S75" i="18"/>
  <c r="P75" i="18"/>
  <c r="I75" i="18"/>
  <c r="Q97" i="18"/>
  <c r="P97" i="18"/>
  <c r="I97" i="18"/>
  <c r="S97" i="18"/>
  <c r="E128" i="18"/>
  <c r="Q127" i="18"/>
  <c r="I127" i="18"/>
  <c r="P127" i="18"/>
  <c r="X127" i="18"/>
  <c r="Y127" i="18"/>
  <c r="V127" i="18"/>
  <c r="Z126" i="18"/>
  <c r="AA126" i="18" s="1"/>
  <c r="W126" i="18"/>
  <c r="AA150" i="18"/>
  <c r="F30" i="18"/>
  <c r="E28" i="18"/>
  <c r="S127" i="18"/>
  <c r="I40" i="18"/>
  <c r="Q40" i="18"/>
  <c r="P40" i="18"/>
  <c r="E42" i="18"/>
  <c r="Y27" i="18"/>
  <c r="P27" i="18"/>
  <c r="X27" i="18"/>
  <c r="Q27" i="18"/>
  <c r="I27" i="18"/>
  <c r="I63" i="18"/>
  <c r="Q63" i="18"/>
  <c r="S63" i="18"/>
  <c r="E65" i="18"/>
  <c r="P63" i="18"/>
  <c r="E61" i="17"/>
  <c r="X58" i="17"/>
  <c r="Y58" i="17"/>
  <c r="P58" i="17"/>
  <c r="I58" i="17"/>
  <c r="Q58" i="17"/>
  <c r="P85" i="17"/>
  <c r="Q85" i="17"/>
  <c r="I85" i="17"/>
  <c r="AD24" i="17"/>
  <c r="F48" i="17"/>
  <c r="E46" i="17"/>
  <c r="I59" i="17"/>
  <c r="P59" i="17"/>
  <c r="Q59" i="17"/>
  <c r="I72" i="17"/>
  <c r="P72" i="17"/>
  <c r="S72" i="17"/>
  <c r="Q72" i="17"/>
  <c r="T24" i="17"/>
  <c r="L24" i="17"/>
  <c r="S24" i="17"/>
  <c r="AA24" i="17"/>
  <c r="AB24" i="17"/>
  <c r="Q111" i="17"/>
  <c r="P111" i="17"/>
  <c r="I111" i="17"/>
  <c r="S111" i="17"/>
  <c r="I142" i="17"/>
  <c r="S142" i="17"/>
  <c r="Q142" i="17"/>
  <c r="P142" i="17"/>
  <c r="S33" i="17"/>
  <c r="Q33" i="17"/>
  <c r="I33" i="17"/>
  <c r="P33" i="17"/>
  <c r="AA58" i="17"/>
  <c r="Y32" i="17"/>
  <c r="X32" i="17"/>
  <c r="Q32" i="17"/>
  <c r="P32" i="17"/>
  <c r="I32" i="17"/>
  <c r="E35" i="17"/>
  <c r="S58" i="17"/>
  <c r="P163" i="17"/>
  <c r="X163" i="17"/>
  <c r="Y163" i="17"/>
  <c r="Q163" i="17"/>
  <c r="I163" i="17"/>
  <c r="X186" i="17"/>
  <c r="E187" i="17"/>
  <c r="Y186" i="17"/>
  <c r="P186" i="17"/>
  <c r="I186" i="17"/>
  <c r="Q186" i="17"/>
  <c r="S59" i="17"/>
  <c r="AA32" i="17"/>
  <c r="P98" i="17"/>
  <c r="Q98" i="17"/>
  <c r="S98" i="17"/>
  <c r="I98" i="17"/>
  <c r="T16" i="16"/>
  <c r="L16" i="16"/>
  <c r="AB16" i="16"/>
  <c r="S16" i="16"/>
  <c r="AA16" i="16"/>
  <c r="Y98" i="15"/>
  <c r="X98" i="15"/>
  <c r="P98" i="15"/>
  <c r="I98" i="15"/>
  <c r="Q98" i="15"/>
  <c r="AA98" i="15"/>
  <c r="E57" i="15"/>
  <c r="I55" i="15"/>
  <c r="Q55" i="15"/>
  <c r="P55" i="15"/>
  <c r="AA122" i="15"/>
  <c r="P175" i="15"/>
  <c r="Q175" i="15"/>
  <c r="I175" i="15"/>
  <c r="E86" i="15"/>
  <c r="I84" i="15"/>
  <c r="Q84" i="15"/>
  <c r="P84" i="15"/>
  <c r="P40" i="15"/>
  <c r="Q40" i="15"/>
  <c r="I40" i="15"/>
  <c r="E42" i="15"/>
  <c r="Q123" i="15"/>
  <c r="P123" i="15"/>
  <c r="S123" i="15"/>
  <c r="I123" i="15"/>
  <c r="AA54" i="15"/>
  <c r="Y154" i="15"/>
  <c r="I154" i="15"/>
  <c r="X154" i="15"/>
  <c r="AA154" i="15"/>
  <c r="P154" i="15"/>
  <c r="Q154" i="15"/>
  <c r="S98" i="15"/>
  <c r="S154" i="15"/>
  <c r="X132" i="15"/>
  <c r="Y132" i="15"/>
  <c r="P132" i="15"/>
  <c r="Q132" i="15"/>
  <c r="S132" i="15"/>
  <c r="I132" i="15"/>
  <c r="Q111" i="15"/>
  <c r="I111" i="15"/>
  <c r="P111" i="15"/>
  <c r="Q155" i="15"/>
  <c r="P155" i="15"/>
  <c r="S155" i="15"/>
  <c r="I155" i="15"/>
  <c r="AB27" i="15"/>
  <c r="AA27" i="15"/>
  <c r="T27" i="15"/>
  <c r="L27" i="15"/>
  <c r="S27" i="15"/>
  <c r="Q68" i="15"/>
  <c r="Y68" i="15"/>
  <c r="P68" i="15"/>
  <c r="X68" i="15"/>
  <c r="I68" i="15"/>
  <c r="I133" i="15"/>
  <c r="Q133" i="15"/>
  <c r="P133" i="15"/>
  <c r="T19" i="15"/>
  <c r="V19" i="15"/>
  <c r="S19" i="15"/>
  <c r="L19" i="15"/>
  <c r="S68" i="15"/>
  <c r="T18" i="15"/>
  <c r="L18" i="15"/>
  <c r="AB18" i="15"/>
  <c r="S18" i="15"/>
  <c r="AA18" i="15"/>
  <c r="AD18" i="15"/>
  <c r="I199" i="15"/>
  <c r="S199" i="15"/>
  <c r="X199" i="15"/>
  <c r="Q199" i="15"/>
  <c r="P199" i="15"/>
  <c r="Y199" i="15"/>
  <c r="AA68" i="15"/>
  <c r="Q174" i="15"/>
  <c r="I174" i="15"/>
  <c r="P174" i="15"/>
  <c r="Y174" i="15"/>
  <c r="X174" i="15"/>
  <c r="S40" i="15"/>
  <c r="S55" i="15"/>
  <c r="X54" i="15"/>
  <c r="Y54" i="15"/>
  <c r="P54" i="15"/>
  <c r="I54" i="15"/>
  <c r="Q54" i="15"/>
  <c r="X198" i="15"/>
  <c r="Y198" i="15"/>
  <c r="P198" i="15"/>
  <c r="Q198" i="15"/>
  <c r="S198" i="15"/>
  <c r="I198" i="15"/>
  <c r="Q122" i="15"/>
  <c r="P122" i="15"/>
  <c r="X122" i="15"/>
  <c r="Y122" i="15"/>
  <c r="I122" i="15"/>
  <c r="Q69" i="15"/>
  <c r="P69" i="15"/>
  <c r="S69" i="15"/>
  <c r="E71" i="15"/>
  <c r="I69" i="15"/>
  <c r="V27" i="15"/>
  <c r="S54" i="15"/>
  <c r="Z127" i="18" l="1"/>
  <c r="AA127" i="18" s="1"/>
  <c r="W127" i="18"/>
  <c r="Y151" i="18"/>
  <c r="X151" i="18"/>
  <c r="I151" i="18"/>
  <c r="Q151" i="18"/>
  <c r="P151" i="18"/>
  <c r="S151" i="18"/>
  <c r="AA151" i="18"/>
  <c r="E30" i="18"/>
  <c r="I28" i="18"/>
  <c r="Q28" i="18"/>
  <c r="P28" i="18"/>
  <c r="S28" i="18"/>
  <c r="Q128" i="18"/>
  <c r="Y128" i="18"/>
  <c r="P128" i="18"/>
  <c r="AA128" i="18"/>
  <c r="X128" i="18"/>
  <c r="I128" i="18"/>
  <c r="S128" i="18"/>
  <c r="I46" i="17"/>
  <c r="Q46" i="17"/>
  <c r="P46" i="17"/>
  <c r="S46" i="17"/>
  <c r="I187" i="17"/>
  <c r="S187" i="17"/>
  <c r="Q187" i="17"/>
  <c r="X187" i="17"/>
  <c r="Y187" i="17"/>
  <c r="AA187" i="17"/>
  <c r="P187" i="17"/>
  <c r="D21" i="3" l="1"/>
  <c r="I57" i="3" l="1"/>
  <c r="J57" i="3"/>
  <c r="N57" i="3"/>
  <c r="O57" i="3"/>
  <c r="P57" i="3"/>
  <c r="Q57" i="3" s="1"/>
  <c r="I58" i="3"/>
  <c r="J58" i="3"/>
  <c r="N58" i="3"/>
  <c r="O58" i="3"/>
  <c r="P58" i="3"/>
  <c r="Q58" i="3"/>
  <c r="I59" i="3"/>
  <c r="J59" i="3"/>
  <c r="N59" i="3"/>
  <c r="O59" i="3"/>
  <c r="P59" i="3"/>
  <c r="Q59" i="3" s="1"/>
  <c r="I60" i="3"/>
  <c r="J60" i="3"/>
  <c r="N60" i="3"/>
  <c r="O60" i="3"/>
  <c r="P60" i="3"/>
  <c r="Q60" i="3"/>
  <c r="I61" i="3"/>
  <c r="J61" i="3"/>
  <c r="N61" i="3"/>
  <c r="O61" i="3"/>
  <c r="P61" i="3"/>
  <c r="Q61" i="3" s="1"/>
  <c r="I62" i="3"/>
  <c r="J62" i="3"/>
  <c r="N62" i="3"/>
  <c r="O62" i="3"/>
  <c r="P62" i="3"/>
  <c r="Q62" i="3" s="1"/>
  <c r="I63" i="3"/>
  <c r="J63" i="3"/>
  <c r="N63" i="3"/>
  <c r="O63" i="3"/>
  <c r="P63" i="3"/>
  <c r="Q63" i="3"/>
  <c r="I64" i="3"/>
  <c r="J64" i="3"/>
  <c r="N64" i="3"/>
  <c r="O64" i="3"/>
  <c r="P64" i="3"/>
  <c r="Q64" i="3" s="1"/>
  <c r="I65" i="3"/>
  <c r="J65" i="3"/>
  <c r="N65" i="3"/>
  <c r="O65" i="3"/>
  <c r="P65" i="3"/>
  <c r="Q65" i="3" s="1"/>
  <c r="I66" i="3"/>
  <c r="J66" i="3"/>
  <c r="N66" i="3"/>
  <c r="O66" i="3"/>
  <c r="P66" i="3"/>
  <c r="Q66" i="3"/>
  <c r="D67" i="3"/>
  <c r="E67" i="3"/>
  <c r="G67" i="3"/>
  <c r="K67" i="3"/>
  <c r="L67" i="3"/>
  <c r="N67" i="3"/>
  <c r="I68" i="3"/>
  <c r="J68" i="3"/>
  <c r="N68" i="3"/>
  <c r="O68" i="3"/>
  <c r="P68" i="3"/>
  <c r="I69" i="3"/>
  <c r="J69" i="3"/>
  <c r="N69" i="3"/>
  <c r="O69" i="3"/>
  <c r="P69" i="3"/>
  <c r="Q69" i="3" s="1"/>
  <c r="I70" i="3"/>
  <c r="J70" i="3"/>
  <c r="N70" i="3"/>
  <c r="O70" i="3"/>
  <c r="P70" i="3"/>
  <c r="Q70" i="3" s="1"/>
  <c r="I71" i="3"/>
  <c r="J71" i="3"/>
  <c r="N71" i="3"/>
  <c r="O71" i="3"/>
  <c r="P71" i="3"/>
  <c r="Q71" i="3" s="1"/>
  <c r="I72" i="3"/>
  <c r="J72" i="3"/>
  <c r="O72" i="3"/>
  <c r="I73" i="3"/>
  <c r="J73" i="3"/>
  <c r="O73" i="3"/>
  <c r="J27" i="3"/>
  <c r="I20" i="3"/>
  <c r="I19" i="3"/>
  <c r="J19" i="3"/>
  <c r="J18" i="3"/>
  <c r="J17" i="3"/>
  <c r="P67" i="3" l="1"/>
  <c r="Q67" i="3" s="1"/>
  <c r="Q68" i="3"/>
  <c r="J67" i="3"/>
  <c r="O67" i="3"/>
  <c r="I67" i="3"/>
  <c r="R67" i="3"/>
  <c r="L21" i="3" l="1"/>
  <c r="K21" i="3"/>
  <c r="G21" i="3"/>
  <c r="E21" i="3"/>
  <c r="O27" i="3"/>
  <c r="O26" i="3"/>
  <c r="P25" i="3"/>
  <c r="Q25" i="3" s="1"/>
  <c r="O25" i="3"/>
  <c r="N25" i="3"/>
  <c r="J25" i="3"/>
  <c r="P24" i="3"/>
  <c r="Q24" i="3" s="1"/>
  <c r="O24" i="3"/>
  <c r="N24" i="3"/>
  <c r="J24" i="3"/>
  <c r="I24" i="3"/>
  <c r="P23" i="3"/>
  <c r="Q23" i="3" s="1"/>
  <c r="O23" i="3"/>
  <c r="N23" i="3"/>
  <c r="J23" i="3"/>
  <c r="I23" i="3"/>
  <c r="P22" i="3"/>
  <c r="O22" i="3"/>
  <c r="N22" i="3"/>
  <c r="J22" i="3"/>
  <c r="I22" i="3"/>
  <c r="P20" i="3"/>
  <c r="Q20" i="3" s="1"/>
  <c r="O20" i="3"/>
  <c r="N20" i="3"/>
  <c r="J20" i="3"/>
  <c r="P19" i="3"/>
  <c r="Q19" i="3" s="1"/>
  <c r="O19" i="3"/>
  <c r="N19" i="3"/>
  <c r="P18" i="3"/>
  <c r="Q18" i="3" s="1"/>
  <c r="O18" i="3"/>
  <c r="N18" i="3"/>
  <c r="I18" i="3"/>
  <c r="P17" i="3"/>
  <c r="Q17" i="3" s="1"/>
  <c r="O17" i="3"/>
  <c r="N17" i="3"/>
  <c r="P16" i="3"/>
  <c r="Q16" i="3" s="1"/>
  <c r="O16" i="3"/>
  <c r="N16" i="3"/>
  <c r="J16" i="3"/>
  <c r="I16" i="3"/>
  <c r="P15" i="3"/>
  <c r="Q15" i="3" s="1"/>
  <c r="O15" i="3"/>
  <c r="N15" i="3"/>
  <c r="J15" i="3"/>
  <c r="I15" i="3"/>
  <c r="P14" i="3"/>
  <c r="Q14" i="3" s="1"/>
  <c r="O14" i="3"/>
  <c r="N14" i="3"/>
  <c r="J14" i="3"/>
  <c r="I14" i="3"/>
  <c r="P13" i="3"/>
  <c r="Q13" i="3" s="1"/>
  <c r="O13" i="3"/>
  <c r="N13" i="3"/>
  <c r="J13" i="3"/>
  <c r="I13" i="3"/>
  <c r="P12" i="3"/>
  <c r="Q12" i="3" s="1"/>
  <c r="O12" i="3"/>
  <c r="N12" i="3"/>
  <c r="J12" i="3"/>
  <c r="I12" i="3"/>
  <c r="P11" i="3"/>
  <c r="Q11" i="3" s="1"/>
  <c r="O11" i="3"/>
  <c r="N11" i="3"/>
  <c r="J11" i="3"/>
  <c r="I11" i="3"/>
  <c r="O430" i="3"/>
  <c r="J430" i="3"/>
  <c r="I430" i="3"/>
  <c r="O429" i="3"/>
  <c r="J429" i="3"/>
  <c r="I429" i="3"/>
  <c r="O428" i="3"/>
  <c r="J428" i="3"/>
  <c r="I428" i="3"/>
  <c r="O427" i="3"/>
  <c r="J427" i="3"/>
  <c r="O426" i="3"/>
  <c r="J426" i="3"/>
  <c r="I426" i="3"/>
  <c r="I425" i="3"/>
  <c r="I424" i="3"/>
  <c r="I423" i="3"/>
  <c r="I422" i="3"/>
  <c r="I420" i="3"/>
  <c r="I419" i="3"/>
  <c r="I427" i="3" s="1"/>
  <c r="I418" i="3"/>
  <c r="I417" i="3"/>
  <c r="I416" i="3"/>
  <c r="I415" i="3"/>
  <c r="I414" i="3"/>
  <c r="O407" i="3"/>
  <c r="J407" i="3"/>
  <c r="I407" i="3"/>
  <c r="O406" i="3"/>
  <c r="J406" i="3"/>
  <c r="I406" i="3"/>
  <c r="O405" i="3"/>
  <c r="J405" i="3"/>
  <c r="I405" i="3"/>
  <c r="O403" i="3"/>
  <c r="J403" i="3"/>
  <c r="I403" i="3"/>
  <c r="P402" i="3"/>
  <c r="Q402" i="3" s="1"/>
  <c r="O402" i="3"/>
  <c r="N402" i="3"/>
  <c r="J402" i="3"/>
  <c r="I402" i="3"/>
  <c r="P401" i="3"/>
  <c r="Q401" i="3" s="1"/>
  <c r="O401" i="3"/>
  <c r="N401" i="3"/>
  <c r="J401" i="3"/>
  <c r="I401" i="3"/>
  <c r="P400" i="3"/>
  <c r="Q400" i="3" s="1"/>
  <c r="O400" i="3"/>
  <c r="N400" i="3"/>
  <c r="J400" i="3"/>
  <c r="I400" i="3"/>
  <c r="P399" i="3"/>
  <c r="Q399" i="3" s="1"/>
  <c r="O399" i="3"/>
  <c r="N399" i="3"/>
  <c r="J399" i="3"/>
  <c r="I399" i="3"/>
  <c r="P398" i="3"/>
  <c r="Q398" i="3" s="1"/>
  <c r="O398" i="3"/>
  <c r="N398" i="3"/>
  <c r="J398" i="3"/>
  <c r="I398" i="3"/>
  <c r="P397" i="3"/>
  <c r="Q397" i="3" s="1"/>
  <c r="O397" i="3"/>
  <c r="N397" i="3"/>
  <c r="J397" i="3"/>
  <c r="I397" i="3"/>
  <c r="P396" i="3"/>
  <c r="Q396" i="3" s="1"/>
  <c r="O396" i="3"/>
  <c r="O404" i="3" s="1"/>
  <c r="N396" i="3"/>
  <c r="J396" i="3"/>
  <c r="J404" i="3" s="1"/>
  <c r="I396" i="3"/>
  <c r="I404" i="3" s="1"/>
  <c r="P395" i="3"/>
  <c r="Q395" i="3" s="1"/>
  <c r="O395" i="3"/>
  <c r="N395" i="3"/>
  <c r="J395" i="3"/>
  <c r="I395" i="3"/>
  <c r="P394" i="3"/>
  <c r="Q394" i="3" s="1"/>
  <c r="O394" i="3"/>
  <c r="N394" i="3"/>
  <c r="J394" i="3"/>
  <c r="I394" i="3"/>
  <c r="P393" i="3"/>
  <c r="Q393" i="3" s="1"/>
  <c r="O393" i="3"/>
  <c r="N393" i="3"/>
  <c r="J393" i="3"/>
  <c r="I393" i="3"/>
  <c r="P392" i="3"/>
  <c r="Q392" i="3" s="1"/>
  <c r="O392" i="3"/>
  <c r="N392" i="3"/>
  <c r="J392" i="3"/>
  <c r="I392" i="3"/>
  <c r="P391" i="3"/>
  <c r="Q391" i="3" s="1"/>
  <c r="O391" i="3"/>
  <c r="N391" i="3"/>
  <c r="J391" i="3"/>
  <c r="I391" i="3"/>
  <c r="O384" i="3"/>
  <c r="J384" i="3"/>
  <c r="I384" i="3"/>
  <c r="O383" i="3"/>
  <c r="J383" i="3"/>
  <c r="I383" i="3"/>
  <c r="O382" i="3"/>
  <c r="J382" i="3"/>
  <c r="I382" i="3"/>
  <c r="O380" i="3"/>
  <c r="J380" i="3"/>
  <c r="I380" i="3"/>
  <c r="P379" i="3"/>
  <c r="Q379" i="3" s="1"/>
  <c r="O379" i="3"/>
  <c r="N379" i="3"/>
  <c r="J379" i="3"/>
  <c r="I379" i="3"/>
  <c r="P378" i="3"/>
  <c r="Q378" i="3" s="1"/>
  <c r="O378" i="3"/>
  <c r="N378" i="3"/>
  <c r="J378" i="3"/>
  <c r="I378" i="3"/>
  <c r="P377" i="3"/>
  <c r="Q377" i="3" s="1"/>
  <c r="O377" i="3"/>
  <c r="N377" i="3"/>
  <c r="J377" i="3"/>
  <c r="I377" i="3"/>
  <c r="P376" i="3"/>
  <c r="Q376" i="3" s="1"/>
  <c r="O376" i="3"/>
  <c r="N376" i="3"/>
  <c r="J376" i="3"/>
  <c r="I376" i="3"/>
  <c r="P375" i="3"/>
  <c r="Q375" i="3" s="1"/>
  <c r="O375" i="3"/>
  <c r="N375" i="3"/>
  <c r="J375" i="3"/>
  <c r="I375" i="3"/>
  <c r="P374" i="3"/>
  <c r="Q374" i="3" s="1"/>
  <c r="O374" i="3"/>
  <c r="N374" i="3"/>
  <c r="J374" i="3"/>
  <c r="I374" i="3"/>
  <c r="P373" i="3"/>
  <c r="Q373" i="3" s="1"/>
  <c r="O373" i="3"/>
  <c r="O381" i="3" s="1"/>
  <c r="N373" i="3"/>
  <c r="J373" i="3"/>
  <c r="J381" i="3" s="1"/>
  <c r="I373" i="3"/>
  <c r="I381" i="3" s="1"/>
  <c r="P372" i="3"/>
  <c r="Q372" i="3" s="1"/>
  <c r="O372" i="3"/>
  <c r="N372" i="3"/>
  <c r="J372" i="3"/>
  <c r="I372" i="3"/>
  <c r="P371" i="3"/>
  <c r="Q371" i="3" s="1"/>
  <c r="O371" i="3"/>
  <c r="N371" i="3"/>
  <c r="J371" i="3"/>
  <c r="I371" i="3"/>
  <c r="P370" i="3"/>
  <c r="Q370" i="3" s="1"/>
  <c r="O370" i="3"/>
  <c r="N370" i="3"/>
  <c r="J370" i="3"/>
  <c r="I370" i="3"/>
  <c r="P369" i="3"/>
  <c r="Q369" i="3" s="1"/>
  <c r="O369" i="3"/>
  <c r="N369" i="3"/>
  <c r="J369" i="3"/>
  <c r="I369" i="3"/>
  <c r="P368" i="3"/>
  <c r="Q368" i="3" s="1"/>
  <c r="O368" i="3"/>
  <c r="N368" i="3"/>
  <c r="J368" i="3"/>
  <c r="I368" i="3"/>
  <c r="P367" i="3"/>
  <c r="Q367" i="3" s="1"/>
  <c r="O367" i="3"/>
  <c r="N367" i="3"/>
  <c r="J367" i="3"/>
  <c r="I367" i="3"/>
  <c r="P366" i="3"/>
  <c r="Q366" i="3" s="1"/>
  <c r="O366" i="3"/>
  <c r="N366" i="3"/>
  <c r="J366" i="3"/>
  <c r="I366" i="3"/>
  <c r="O360" i="3"/>
  <c r="J360" i="3"/>
  <c r="I360" i="3"/>
  <c r="O359" i="3"/>
  <c r="J359" i="3"/>
  <c r="I359" i="3"/>
  <c r="O358" i="3"/>
  <c r="J358" i="3"/>
  <c r="I358" i="3"/>
  <c r="O356" i="3"/>
  <c r="J356" i="3"/>
  <c r="I356" i="3"/>
  <c r="P355" i="3"/>
  <c r="Q355" i="3" s="1"/>
  <c r="O355" i="3"/>
  <c r="N355" i="3"/>
  <c r="J355" i="3"/>
  <c r="I355" i="3"/>
  <c r="P354" i="3"/>
  <c r="Q354" i="3" s="1"/>
  <c r="O354" i="3"/>
  <c r="N354" i="3"/>
  <c r="J354" i="3"/>
  <c r="I354" i="3"/>
  <c r="P353" i="3"/>
  <c r="Q353" i="3" s="1"/>
  <c r="O353" i="3"/>
  <c r="N353" i="3"/>
  <c r="J353" i="3"/>
  <c r="I353" i="3"/>
  <c r="P352" i="3"/>
  <c r="Q352" i="3" s="1"/>
  <c r="O352" i="3"/>
  <c r="N352" i="3"/>
  <c r="J352" i="3"/>
  <c r="I352" i="3"/>
  <c r="P351" i="3"/>
  <c r="Q351" i="3" s="1"/>
  <c r="O351" i="3"/>
  <c r="N351" i="3"/>
  <c r="J351" i="3"/>
  <c r="I351" i="3"/>
  <c r="P350" i="3"/>
  <c r="Q350" i="3" s="1"/>
  <c r="O350" i="3"/>
  <c r="N350" i="3"/>
  <c r="J350" i="3"/>
  <c r="I350" i="3"/>
  <c r="P349" i="3"/>
  <c r="Q349" i="3" s="1"/>
  <c r="O349" i="3"/>
  <c r="O357" i="3" s="1"/>
  <c r="N349" i="3"/>
  <c r="J349" i="3"/>
  <c r="J357" i="3" s="1"/>
  <c r="I349" i="3"/>
  <c r="I357" i="3" s="1"/>
  <c r="P348" i="3"/>
  <c r="Q348" i="3" s="1"/>
  <c r="O348" i="3"/>
  <c r="N348" i="3"/>
  <c r="J348" i="3"/>
  <c r="I348" i="3"/>
  <c r="P347" i="3"/>
  <c r="Q347" i="3" s="1"/>
  <c r="O347" i="3"/>
  <c r="N347" i="3"/>
  <c r="J347" i="3"/>
  <c r="I347" i="3"/>
  <c r="P346" i="3"/>
  <c r="Q346" i="3" s="1"/>
  <c r="O346" i="3"/>
  <c r="N346" i="3"/>
  <c r="J346" i="3"/>
  <c r="I346" i="3"/>
  <c r="P345" i="3"/>
  <c r="Q345" i="3" s="1"/>
  <c r="O345" i="3"/>
  <c r="N345" i="3"/>
  <c r="J345" i="3"/>
  <c r="I345" i="3"/>
  <c r="P344" i="3"/>
  <c r="Q344" i="3" s="1"/>
  <c r="O344" i="3"/>
  <c r="N344" i="3"/>
  <c r="J344" i="3"/>
  <c r="I344" i="3"/>
  <c r="P343" i="3"/>
  <c r="Q343" i="3" s="1"/>
  <c r="O343" i="3"/>
  <c r="N343" i="3"/>
  <c r="J343" i="3"/>
  <c r="I343" i="3"/>
  <c r="P342" i="3"/>
  <c r="Q342" i="3" s="1"/>
  <c r="O342" i="3"/>
  <c r="N342" i="3"/>
  <c r="J342" i="3"/>
  <c r="I342" i="3"/>
  <c r="O336" i="3"/>
  <c r="J336" i="3"/>
  <c r="I336" i="3"/>
  <c r="O335" i="3"/>
  <c r="J335" i="3"/>
  <c r="I335" i="3"/>
  <c r="O334" i="3"/>
  <c r="J334" i="3"/>
  <c r="I334" i="3"/>
  <c r="O332" i="3"/>
  <c r="J332" i="3"/>
  <c r="I332" i="3"/>
  <c r="P331" i="3"/>
  <c r="Q331" i="3" s="1"/>
  <c r="O331" i="3"/>
  <c r="N331" i="3"/>
  <c r="J331" i="3"/>
  <c r="I331" i="3"/>
  <c r="P330" i="3"/>
  <c r="Q330" i="3" s="1"/>
  <c r="O330" i="3"/>
  <c r="N330" i="3"/>
  <c r="J330" i="3"/>
  <c r="I330" i="3"/>
  <c r="P329" i="3"/>
  <c r="Q329" i="3" s="1"/>
  <c r="P328" i="3"/>
  <c r="Q328" i="3" s="1"/>
  <c r="O328" i="3"/>
  <c r="N328" i="3"/>
  <c r="J328" i="3"/>
  <c r="I328" i="3"/>
  <c r="P327" i="3"/>
  <c r="Q327" i="3" s="1"/>
  <c r="O327" i="3"/>
  <c r="N327" i="3"/>
  <c r="J327" i="3"/>
  <c r="I327" i="3"/>
  <c r="P326" i="3"/>
  <c r="Q326" i="3" s="1"/>
  <c r="O326" i="3"/>
  <c r="N326" i="3"/>
  <c r="J326" i="3"/>
  <c r="I326" i="3"/>
  <c r="P325" i="3"/>
  <c r="Q325" i="3" s="1"/>
  <c r="O325" i="3"/>
  <c r="O333" i="3" s="1"/>
  <c r="N325" i="3"/>
  <c r="J325" i="3"/>
  <c r="J333" i="3" s="1"/>
  <c r="I325" i="3"/>
  <c r="I333" i="3" s="1"/>
  <c r="P324" i="3"/>
  <c r="Q324" i="3" s="1"/>
  <c r="O324" i="3"/>
  <c r="N324" i="3"/>
  <c r="J324" i="3"/>
  <c r="I324" i="3"/>
  <c r="P323" i="3"/>
  <c r="Q323" i="3" s="1"/>
  <c r="O323" i="3"/>
  <c r="N323" i="3"/>
  <c r="J323" i="3"/>
  <c r="I323" i="3"/>
  <c r="P322" i="3"/>
  <c r="Q322" i="3" s="1"/>
  <c r="O322" i="3"/>
  <c r="N322" i="3"/>
  <c r="J322" i="3"/>
  <c r="I322" i="3"/>
  <c r="P321" i="3"/>
  <c r="Q321" i="3" s="1"/>
  <c r="O321" i="3"/>
  <c r="N321" i="3"/>
  <c r="J321" i="3"/>
  <c r="I321" i="3"/>
  <c r="P320" i="3"/>
  <c r="Q320" i="3" s="1"/>
  <c r="O320" i="3"/>
  <c r="N320" i="3"/>
  <c r="J320" i="3"/>
  <c r="I320" i="3"/>
  <c r="P319" i="3"/>
  <c r="Q319" i="3" s="1"/>
  <c r="O319" i="3"/>
  <c r="N319" i="3"/>
  <c r="J319" i="3"/>
  <c r="I319" i="3"/>
  <c r="P318" i="3"/>
  <c r="Q318" i="3" s="1"/>
  <c r="O318" i="3"/>
  <c r="N318" i="3"/>
  <c r="J318" i="3"/>
  <c r="I318" i="3"/>
  <c r="O311" i="3"/>
  <c r="J311" i="3"/>
  <c r="I311" i="3"/>
  <c r="O310" i="3"/>
  <c r="J310" i="3"/>
  <c r="I310" i="3"/>
  <c r="O309" i="3"/>
  <c r="J309" i="3"/>
  <c r="I309" i="3"/>
  <c r="P307" i="3"/>
  <c r="Q307" i="3" s="1"/>
  <c r="O307" i="3"/>
  <c r="N307" i="3"/>
  <c r="J307" i="3"/>
  <c r="I307" i="3"/>
  <c r="P306" i="3"/>
  <c r="Q306" i="3" s="1"/>
  <c r="O306" i="3"/>
  <c r="N306" i="3"/>
  <c r="J306" i="3"/>
  <c r="I306" i="3"/>
  <c r="P304" i="3"/>
  <c r="Q304" i="3" s="1"/>
  <c r="O304" i="3"/>
  <c r="N304" i="3"/>
  <c r="J304" i="3"/>
  <c r="I304" i="3"/>
  <c r="P303" i="3"/>
  <c r="Q303" i="3" s="1"/>
  <c r="O303" i="3"/>
  <c r="N303" i="3"/>
  <c r="J303" i="3"/>
  <c r="I303" i="3"/>
  <c r="P302" i="3"/>
  <c r="Q302" i="3" s="1"/>
  <c r="O302" i="3"/>
  <c r="N302" i="3"/>
  <c r="J302" i="3"/>
  <c r="I302" i="3"/>
  <c r="P301" i="3"/>
  <c r="Q301" i="3" s="1"/>
  <c r="O301" i="3"/>
  <c r="N301" i="3"/>
  <c r="J301" i="3"/>
  <c r="I301" i="3"/>
  <c r="P300" i="3"/>
  <c r="Q300" i="3" s="1"/>
  <c r="O300" i="3"/>
  <c r="N300" i="3"/>
  <c r="J300" i="3"/>
  <c r="I300" i="3"/>
  <c r="P299" i="3"/>
  <c r="Q299" i="3" s="1"/>
  <c r="O299" i="3"/>
  <c r="N299" i="3"/>
  <c r="J299" i="3"/>
  <c r="I299" i="3"/>
  <c r="O293" i="3"/>
  <c r="J293" i="3"/>
  <c r="I293" i="3"/>
  <c r="O292" i="3"/>
  <c r="J292" i="3"/>
  <c r="I292" i="3"/>
  <c r="O291" i="3"/>
  <c r="J291" i="3"/>
  <c r="I291" i="3"/>
  <c r="O290" i="3"/>
  <c r="J290" i="3"/>
  <c r="I290" i="3"/>
  <c r="P289" i="3"/>
  <c r="Q289" i="3" s="1"/>
  <c r="O289" i="3"/>
  <c r="N289" i="3"/>
  <c r="J289" i="3"/>
  <c r="I289" i="3"/>
  <c r="P288" i="3"/>
  <c r="Q288" i="3" s="1"/>
  <c r="O288" i="3"/>
  <c r="N288" i="3"/>
  <c r="J288" i="3"/>
  <c r="I288" i="3"/>
  <c r="P287" i="3"/>
  <c r="Q287" i="3" s="1"/>
  <c r="O287" i="3"/>
  <c r="N287" i="3"/>
  <c r="J287" i="3"/>
  <c r="I287" i="3"/>
  <c r="P286" i="3"/>
  <c r="Q286" i="3" s="1"/>
  <c r="O286" i="3"/>
  <c r="N286" i="3"/>
  <c r="J286" i="3"/>
  <c r="I286" i="3"/>
  <c r="P285" i="3"/>
  <c r="Q285" i="3" s="1"/>
  <c r="O285" i="3"/>
  <c r="N285" i="3"/>
  <c r="J285" i="3"/>
  <c r="I285" i="3"/>
  <c r="P284" i="3"/>
  <c r="Q284" i="3" s="1"/>
  <c r="O284" i="3"/>
  <c r="N284" i="3"/>
  <c r="J284" i="3"/>
  <c r="I284" i="3"/>
  <c r="P283" i="3"/>
  <c r="Q283" i="3" s="1"/>
  <c r="O283" i="3"/>
  <c r="N283" i="3"/>
  <c r="J283" i="3"/>
  <c r="I283" i="3"/>
  <c r="P282" i="3"/>
  <c r="Q282" i="3" s="1"/>
  <c r="O282" i="3"/>
  <c r="N282" i="3"/>
  <c r="J282" i="3"/>
  <c r="I282" i="3"/>
  <c r="P281" i="3"/>
  <c r="Q281" i="3" s="1"/>
  <c r="O281" i="3"/>
  <c r="N281" i="3"/>
  <c r="J281" i="3"/>
  <c r="I281" i="3"/>
  <c r="P280" i="3"/>
  <c r="Q280" i="3" s="1"/>
  <c r="O280" i="3"/>
  <c r="N280" i="3"/>
  <c r="J280" i="3"/>
  <c r="I280" i="3"/>
  <c r="P279" i="3"/>
  <c r="Q279" i="3" s="1"/>
  <c r="O279" i="3"/>
  <c r="N279" i="3"/>
  <c r="J279" i="3"/>
  <c r="I279" i="3"/>
  <c r="P278" i="3"/>
  <c r="Q278" i="3" s="1"/>
  <c r="O278" i="3"/>
  <c r="N278" i="3"/>
  <c r="J278" i="3"/>
  <c r="I278" i="3"/>
  <c r="P277" i="3"/>
  <c r="Q277" i="3" s="1"/>
  <c r="O277" i="3"/>
  <c r="N277" i="3"/>
  <c r="J277" i="3"/>
  <c r="I277" i="3"/>
  <c r="P276" i="3"/>
  <c r="Q276" i="3" s="1"/>
  <c r="O276" i="3"/>
  <c r="N276" i="3"/>
  <c r="J276" i="3"/>
  <c r="I276" i="3"/>
  <c r="O249" i="3"/>
  <c r="J249" i="3"/>
  <c r="I249" i="3"/>
  <c r="O248" i="3"/>
  <c r="J248" i="3"/>
  <c r="I248" i="3"/>
  <c r="O247" i="3"/>
  <c r="J247" i="3"/>
  <c r="I247" i="3"/>
  <c r="O245" i="3"/>
  <c r="J245" i="3"/>
  <c r="I245" i="3"/>
  <c r="P244" i="3"/>
  <c r="Q244" i="3" s="1"/>
  <c r="O244" i="3"/>
  <c r="N244" i="3"/>
  <c r="J244" i="3"/>
  <c r="I244" i="3"/>
  <c r="P243" i="3"/>
  <c r="Q243" i="3" s="1"/>
  <c r="O243" i="3"/>
  <c r="N243" i="3"/>
  <c r="J243" i="3"/>
  <c r="I243" i="3"/>
  <c r="P242" i="3"/>
  <c r="Q242" i="3" s="1"/>
  <c r="O242" i="3"/>
  <c r="N242" i="3"/>
  <c r="J242" i="3"/>
  <c r="I242" i="3"/>
  <c r="P241" i="3"/>
  <c r="Q241" i="3" s="1"/>
  <c r="O241" i="3"/>
  <c r="N241" i="3"/>
  <c r="J241" i="3"/>
  <c r="I241" i="3"/>
  <c r="P240" i="3"/>
  <c r="Q240" i="3" s="1"/>
  <c r="O240" i="3"/>
  <c r="N240" i="3"/>
  <c r="J240" i="3"/>
  <c r="I240" i="3"/>
  <c r="P239" i="3"/>
  <c r="Q239" i="3" s="1"/>
  <c r="O239" i="3"/>
  <c r="N239" i="3"/>
  <c r="J239" i="3"/>
  <c r="I239" i="3"/>
  <c r="P238" i="3"/>
  <c r="Q238" i="3" s="1"/>
  <c r="O238" i="3"/>
  <c r="O246" i="3" s="1"/>
  <c r="N238" i="3"/>
  <c r="J238" i="3"/>
  <c r="J246" i="3" s="1"/>
  <c r="I238" i="3"/>
  <c r="I246" i="3" s="1"/>
  <c r="P237" i="3"/>
  <c r="Q237" i="3" s="1"/>
  <c r="O237" i="3"/>
  <c r="N237" i="3"/>
  <c r="J237" i="3"/>
  <c r="I237" i="3"/>
  <c r="P236" i="3"/>
  <c r="Q236" i="3" s="1"/>
  <c r="O236" i="3"/>
  <c r="N236" i="3"/>
  <c r="J236" i="3"/>
  <c r="I236" i="3"/>
  <c r="P235" i="3"/>
  <c r="Q235" i="3" s="1"/>
  <c r="O235" i="3"/>
  <c r="N235" i="3"/>
  <c r="J235" i="3"/>
  <c r="I235" i="3"/>
  <c r="P234" i="3"/>
  <c r="Q234" i="3" s="1"/>
  <c r="O234" i="3"/>
  <c r="N234" i="3"/>
  <c r="J234" i="3"/>
  <c r="I234" i="3"/>
  <c r="P233" i="3"/>
  <c r="Q233" i="3" s="1"/>
  <c r="O233" i="3"/>
  <c r="N233" i="3"/>
  <c r="J233" i="3"/>
  <c r="I233" i="3"/>
  <c r="P232" i="3"/>
  <c r="Q232" i="3" s="1"/>
  <c r="O232" i="3"/>
  <c r="N232" i="3"/>
  <c r="J232" i="3"/>
  <c r="I232" i="3"/>
  <c r="P231" i="3"/>
  <c r="Q231" i="3" s="1"/>
  <c r="O231" i="3"/>
  <c r="N231" i="3"/>
  <c r="J231" i="3"/>
  <c r="I231" i="3"/>
  <c r="O225" i="3"/>
  <c r="J225" i="3"/>
  <c r="I225" i="3"/>
  <c r="O224" i="3"/>
  <c r="J224" i="3"/>
  <c r="I224" i="3"/>
  <c r="O223" i="3"/>
  <c r="J223" i="3"/>
  <c r="I223" i="3"/>
  <c r="O221" i="3"/>
  <c r="J221" i="3"/>
  <c r="I221" i="3"/>
  <c r="P220" i="3"/>
  <c r="Q220" i="3" s="1"/>
  <c r="O220" i="3"/>
  <c r="N220" i="3"/>
  <c r="J220" i="3"/>
  <c r="I220" i="3"/>
  <c r="P219" i="3"/>
  <c r="Q219" i="3" s="1"/>
  <c r="O219" i="3"/>
  <c r="N219" i="3"/>
  <c r="J219" i="3"/>
  <c r="I219" i="3"/>
  <c r="P218" i="3"/>
  <c r="Q218" i="3" s="1"/>
  <c r="O218" i="3"/>
  <c r="N218" i="3"/>
  <c r="J218" i="3"/>
  <c r="I218" i="3"/>
  <c r="P217" i="3"/>
  <c r="Q217" i="3" s="1"/>
  <c r="O217" i="3"/>
  <c r="N217" i="3"/>
  <c r="J217" i="3"/>
  <c r="I217" i="3"/>
  <c r="P216" i="3"/>
  <c r="Q216" i="3" s="1"/>
  <c r="O216" i="3"/>
  <c r="N216" i="3"/>
  <c r="J216" i="3"/>
  <c r="I216" i="3"/>
  <c r="P215" i="3"/>
  <c r="Q215" i="3" s="1"/>
  <c r="O215" i="3"/>
  <c r="N215" i="3"/>
  <c r="J215" i="3"/>
  <c r="I215" i="3"/>
  <c r="P214" i="3"/>
  <c r="Q214" i="3" s="1"/>
  <c r="O214" i="3"/>
  <c r="O222" i="3" s="1"/>
  <c r="N214" i="3"/>
  <c r="J214" i="3"/>
  <c r="J222" i="3" s="1"/>
  <c r="I214" i="3"/>
  <c r="I222" i="3" s="1"/>
  <c r="P213" i="3"/>
  <c r="Q213" i="3" s="1"/>
  <c r="O213" i="3"/>
  <c r="N213" i="3"/>
  <c r="J213" i="3"/>
  <c r="I213" i="3"/>
  <c r="P212" i="3"/>
  <c r="Q212" i="3" s="1"/>
  <c r="O212" i="3"/>
  <c r="N212" i="3"/>
  <c r="J212" i="3"/>
  <c r="I212" i="3"/>
  <c r="P211" i="3"/>
  <c r="Q211" i="3" s="1"/>
  <c r="O211" i="3"/>
  <c r="N211" i="3"/>
  <c r="J211" i="3"/>
  <c r="I211" i="3"/>
  <c r="P210" i="3"/>
  <c r="Q210" i="3" s="1"/>
  <c r="O210" i="3"/>
  <c r="N210" i="3"/>
  <c r="J210" i="3"/>
  <c r="I210" i="3"/>
  <c r="P209" i="3"/>
  <c r="Q209" i="3" s="1"/>
  <c r="O209" i="3"/>
  <c r="N209" i="3"/>
  <c r="J209" i="3"/>
  <c r="I209" i="3"/>
  <c r="P208" i="3"/>
  <c r="Q208" i="3" s="1"/>
  <c r="O208" i="3"/>
  <c r="N208" i="3"/>
  <c r="J208" i="3"/>
  <c r="I208" i="3"/>
  <c r="P207" i="3"/>
  <c r="Q207" i="3" s="1"/>
  <c r="O207" i="3"/>
  <c r="N207" i="3"/>
  <c r="J207" i="3"/>
  <c r="I207" i="3"/>
  <c r="O200" i="3"/>
  <c r="J200" i="3"/>
  <c r="I200" i="3"/>
  <c r="O199" i="3"/>
  <c r="J199" i="3"/>
  <c r="I199" i="3"/>
  <c r="O198" i="3"/>
  <c r="J198" i="3"/>
  <c r="I198" i="3"/>
  <c r="O196" i="3"/>
  <c r="J196" i="3"/>
  <c r="I196" i="3"/>
  <c r="P195" i="3"/>
  <c r="Q195" i="3" s="1"/>
  <c r="O195" i="3"/>
  <c r="N195" i="3"/>
  <c r="J195" i="3"/>
  <c r="I195" i="3"/>
  <c r="P194" i="3"/>
  <c r="Q194" i="3" s="1"/>
  <c r="O194" i="3"/>
  <c r="N194" i="3"/>
  <c r="J194" i="3"/>
  <c r="I194" i="3"/>
  <c r="P193" i="3"/>
  <c r="Q193" i="3" s="1"/>
  <c r="O193" i="3"/>
  <c r="N193" i="3"/>
  <c r="J193" i="3"/>
  <c r="I193" i="3"/>
  <c r="P192" i="3"/>
  <c r="Q192" i="3" s="1"/>
  <c r="O192" i="3"/>
  <c r="N192" i="3"/>
  <c r="J192" i="3"/>
  <c r="I192" i="3"/>
  <c r="P191" i="3"/>
  <c r="Q191" i="3" s="1"/>
  <c r="O191" i="3"/>
  <c r="N191" i="3"/>
  <c r="J191" i="3"/>
  <c r="I191" i="3"/>
  <c r="P190" i="3"/>
  <c r="Q190" i="3" s="1"/>
  <c r="O190" i="3"/>
  <c r="N190" i="3"/>
  <c r="J190" i="3"/>
  <c r="I190" i="3"/>
  <c r="P189" i="3"/>
  <c r="Q189" i="3" s="1"/>
  <c r="O189" i="3"/>
  <c r="O197" i="3" s="1"/>
  <c r="N189" i="3"/>
  <c r="J189" i="3"/>
  <c r="J197" i="3" s="1"/>
  <c r="I189" i="3"/>
  <c r="I197" i="3" s="1"/>
  <c r="P188" i="3"/>
  <c r="Q188" i="3" s="1"/>
  <c r="O188" i="3"/>
  <c r="N188" i="3"/>
  <c r="J188" i="3"/>
  <c r="I188" i="3"/>
  <c r="P187" i="3"/>
  <c r="Q187" i="3" s="1"/>
  <c r="O187" i="3"/>
  <c r="N187" i="3"/>
  <c r="J187" i="3"/>
  <c r="I187" i="3"/>
  <c r="P186" i="3"/>
  <c r="Q186" i="3" s="1"/>
  <c r="O186" i="3"/>
  <c r="N186" i="3"/>
  <c r="J186" i="3"/>
  <c r="I186" i="3"/>
  <c r="P185" i="3"/>
  <c r="Q185" i="3" s="1"/>
  <c r="O185" i="3"/>
  <c r="N185" i="3"/>
  <c r="J185" i="3"/>
  <c r="I185" i="3"/>
  <c r="P184" i="3"/>
  <c r="Q184" i="3" s="1"/>
  <c r="O184" i="3"/>
  <c r="N184" i="3"/>
  <c r="J184" i="3"/>
  <c r="I184" i="3"/>
  <c r="P183" i="3"/>
  <c r="Q183" i="3" s="1"/>
  <c r="O183" i="3"/>
  <c r="N183" i="3"/>
  <c r="J183" i="3"/>
  <c r="I183" i="3"/>
  <c r="O176" i="3"/>
  <c r="J176" i="3"/>
  <c r="I176" i="3"/>
  <c r="O175" i="3"/>
  <c r="J175" i="3"/>
  <c r="I175" i="3"/>
  <c r="O174" i="3"/>
  <c r="J174" i="3"/>
  <c r="I174" i="3"/>
  <c r="O172" i="3"/>
  <c r="J172" i="3"/>
  <c r="I172" i="3"/>
  <c r="P171" i="3"/>
  <c r="Q171" i="3" s="1"/>
  <c r="O171" i="3"/>
  <c r="N171" i="3"/>
  <c r="J171" i="3"/>
  <c r="I171" i="3"/>
  <c r="P170" i="3"/>
  <c r="Q170" i="3" s="1"/>
  <c r="O170" i="3"/>
  <c r="N170" i="3"/>
  <c r="J170" i="3"/>
  <c r="I170" i="3"/>
  <c r="P169" i="3"/>
  <c r="Q169" i="3" s="1"/>
  <c r="O169" i="3"/>
  <c r="N169" i="3"/>
  <c r="J169" i="3"/>
  <c r="I169" i="3"/>
  <c r="P168" i="3"/>
  <c r="Q168" i="3" s="1"/>
  <c r="O168" i="3"/>
  <c r="N168" i="3"/>
  <c r="J168" i="3"/>
  <c r="I168" i="3"/>
  <c r="P167" i="3"/>
  <c r="Q167" i="3" s="1"/>
  <c r="O167" i="3"/>
  <c r="N167" i="3"/>
  <c r="J167" i="3"/>
  <c r="I167" i="3"/>
  <c r="P166" i="3"/>
  <c r="Q166" i="3" s="1"/>
  <c r="O166" i="3"/>
  <c r="N166" i="3"/>
  <c r="J166" i="3"/>
  <c r="I166" i="3"/>
  <c r="P165" i="3"/>
  <c r="Q165" i="3" s="1"/>
  <c r="O165" i="3"/>
  <c r="O173" i="3" s="1"/>
  <c r="N165" i="3"/>
  <c r="J165" i="3"/>
  <c r="J173" i="3" s="1"/>
  <c r="I165" i="3"/>
  <c r="I173" i="3" s="1"/>
  <c r="P164" i="3"/>
  <c r="Q164" i="3" s="1"/>
  <c r="O164" i="3"/>
  <c r="N164" i="3"/>
  <c r="J164" i="3"/>
  <c r="I164" i="3"/>
  <c r="P163" i="3"/>
  <c r="Q163" i="3" s="1"/>
  <c r="O163" i="3"/>
  <c r="N163" i="3"/>
  <c r="J163" i="3"/>
  <c r="I163" i="3"/>
  <c r="P162" i="3"/>
  <c r="Q162" i="3" s="1"/>
  <c r="O162" i="3"/>
  <c r="N162" i="3"/>
  <c r="J162" i="3"/>
  <c r="I162" i="3"/>
  <c r="P161" i="3"/>
  <c r="Q161" i="3" s="1"/>
  <c r="O161" i="3"/>
  <c r="N161" i="3"/>
  <c r="J161" i="3"/>
  <c r="I161" i="3"/>
  <c r="P160" i="3"/>
  <c r="Q160" i="3" s="1"/>
  <c r="O160" i="3"/>
  <c r="N160" i="3"/>
  <c r="J160" i="3"/>
  <c r="I160" i="3"/>
  <c r="P159" i="3"/>
  <c r="Q159" i="3" s="1"/>
  <c r="O159" i="3"/>
  <c r="N159" i="3"/>
  <c r="J159" i="3"/>
  <c r="I159" i="3"/>
  <c r="P158" i="3"/>
  <c r="Q158" i="3" s="1"/>
  <c r="O158" i="3"/>
  <c r="N158" i="3"/>
  <c r="J158" i="3"/>
  <c r="I158" i="3"/>
  <c r="O150" i="3"/>
  <c r="J150" i="3"/>
  <c r="I150" i="3"/>
  <c r="O148" i="3"/>
  <c r="J148" i="3"/>
  <c r="I148" i="3"/>
  <c r="O147" i="3"/>
  <c r="J147" i="3"/>
  <c r="I147" i="3"/>
  <c r="P146" i="3"/>
  <c r="Q146" i="3" s="1"/>
  <c r="O146" i="3"/>
  <c r="N146" i="3"/>
  <c r="J146" i="3"/>
  <c r="I146" i="3"/>
  <c r="P145" i="3"/>
  <c r="Q145" i="3" s="1"/>
  <c r="O145" i="3"/>
  <c r="N145" i="3"/>
  <c r="J145" i="3"/>
  <c r="I145" i="3"/>
  <c r="P144" i="3"/>
  <c r="Q144" i="3" s="1"/>
  <c r="O144" i="3"/>
  <c r="N144" i="3"/>
  <c r="J144" i="3"/>
  <c r="I144" i="3"/>
  <c r="P143" i="3"/>
  <c r="Q143" i="3" s="1"/>
  <c r="O143" i="3"/>
  <c r="N143" i="3"/>
  <c r="J143" i="3"/>
  <c r="I143" i="3"/>
  <c r="R142" i="3"/>
  <c r="P142" i="3" s="1"/>
  <c r="Q142" i="3" s="1"/>
  <c r="O142" i="3"/>
  <c r="N142" i="3"/>
  <c r="J142" i="3"/>
  <c r="I142" i="3"/>
  <c r="P141" i="3"/>
  <c r="Q141" i="3" s="1"/>
  <c r="O141" i="3"/>
  <c r="N141" i="3"/>
  <c r="J141" i="3"/>
  <c r="I141" i="3"/>
  <c r="P140" i="3"/>
  <c r="Q140" i="3" s="1"/>
  <c r="O140" i="3"/>
  <c r="N140" i="3"/>
  <c r="J140" i="3"/>
  <c r="I140" i="3"/>
  <c r="P139" i="3"/>
  <c r="Q139" i="3" s="1"/>
  <c r="O139" i="3"/>
  <c r="N139" i="3"/>
  <c r="J139" i="3"/>
  <c r="I139" i="3"/>
  <c r="P138" i="3"/>
  <c r="Q138" i="3" s="1"/>
  <c r="O138" i="3"/>
  <c r="N138" i="3"/>
  <c r="J138" i="3"/>
  <c r="I138" i="3"/>
  <c r="P137" i="3"/>
  <c r="Q137" i="3" s="1"/>
  <c r="O137" i="3"/>
  <c r="N137" i="3"/>
  <c r="J137" i="3"/>
  <c r="I137" i="3"/>
  <c r="P136" i="3"/>
  <c r="Q136" i="3" s="1"/>
  <c r="O136" i="3"/>
  <c r="N136" i="3"/>
  <c r="J136" i="3"/>
  <c r="I136" i="3"/>
  <c r="P135" i="3"/>
  <c r="Q135" i="3" s="1"/>
  <c r="O135" i="3"/>
  <c r="N135" i="3"/>
  <c r="J135" i="3"/>
  <c r="I135" i="3"/>
  <c r="P134" i="3"/>
  <c r="Q134" i="3" s="1"/>
  <c r="O134" i="3"/>
  <c r="N134" i="3"/>
  <c r="J134" i="3"/>
  <c r="I134" i="3"/>
  <c r="P133" i="3"/>
  <c r="Q133" i="3" s="1"/>
  <c r="O133" i="3"/>
  <c r="N133" i="3"/>
  <c r="J133" i="3"/>
  <c r="I133" i="3"/>
  <c r="P132" i="3"/>
  <c r="Q132" i="3" s="1"/>
  <c r="O132" i="3"/>
  <c r="N132" i="3"/>
  <c r="J132" i="3"/>
  <c r="I132" i="3"/>
  <c r="O123" i="3"/>
  <c r="J123" i="3"/>
  <c r="I123" i="3"/>
  <c r="O122" i="3"/>
  <c r="J122" i="3"/>
  <c r="I122" i="3"/>
  <c r="P121" i="3"/>
  <c r="Q121" i="3" s="1"/>
  <c r="O121" i="3"/>
  <c r="N121" i="3"/>
  <c r="J121" i="3"/>
  <c r="I121" i="3"/>
  <c r="P120" i="3"/>
  <c r="Q120" i="3" s="1"/>
  <c r="O120" i="3"/>
  <c r="N120" i="3"/>
  <c r="J120" i="3"/>
  <c r="I120" i="3"/>
  <c r="P119" i="3"/>
  <c r="Q119" i="3" s="1"/>
  <c r="O119" i="3"/>
  <c r="N119" i="3"/>
  <c r="J119" i="3"/>
  <c r="I119" i="3"/>
  <c r="P118" i="3"/>
  <c r="Q118" i="3" s="1"/>
  <c r="O118" i="3"/>
  <c r="N118" i="3"/>
  <c r="J118" i="3"/>
  <c r="I118" i="3"/>
  <c r="L117" i="3"/>
  <c r="K117" i="3"/>
  <c r="G117" i="3"/>
  <c r="E117" i="3"/>
  <c r="D117" i="3"/>
  <c r="P116" i="3"/>
  <c r="Q116" i="3" s="1"/>
  <c r="O116" i="3"/>
  <c r="N116" i="3"/>
  <c r="J116" i="3"/>
  <c r="I116" i="3"/>
  <c r="P115" i="3"/>
  <c r="Q115" i="3" s="1"/>
  <c r="O115" i="3"/>
  <c r="N115" i="3"/>
  <c r="J115" i="3"/>
  <c r="I115" i="3"/>
  <c r="P114" i="3"/>
  <c r="Q114" i="3" s="1"/>
  <c r="O114" i="3"/>
  <c r="N114" i="3"/>
  <c r="J114" i="3"/>
  <c r="I114" i="3"/>
  <c r="P113" i="3"/>
  <c r="Q113" i="3" s="1"/>
  <c r="O113" i="3"/>
  <c r="N113" i="3"/>
  <c r="J113" i="3"/>
  <c r="I113" i="3"/>
  <c r="P112" i="3"/>
  <c r="Q112" i="3" s="1"/>
  <c r="O112" i="3"/>
  <c r="N112" i="3"/>
  <c r="J112" i="3"/>
  <c r="I112" i="3"/>
  <c r="P111" i="3"/>
  <c r="Q111" i="3" s="1"/>
  <c r="O111" i="3"/>
  <c r="N111" i="3"/>
  <c r="J111" i="3"/>
  <c r="I111" i="3"/>
  <c r="P110" i="3"/>
  <c r="Q110" i="3" s="1"/>
  <c r="O110" i="3"/>
  <c r="N110" i="3"/>
  <c r="J110" i="3"/>
  <c r="I110" i="3"/>
  <c r="P109" i="3"/>
  <c r="Q109" i="3" s="1"/>
  <c r="O109" i="3"/>
  <c r="N109" i="3"/>
  <c r="J109" i="3"/>
  <c r="I109" i="3"/>
  <c r="P108" i="3"/>
  <c r="Q108" i="3" s="1"/>
  <c r="O108" i="3"/>
  <c r="N108" i="3"/>
  <c r="J108" i="3"/>
  <c r="I108" i="3"/>
  <c r="P107" i="3"/>
  <c r="Q107" i="3" s="1"/>
  <c r="O107" i="3"/>
  <c r="N107" i="3"/>
  <c r="J107" i="3"/>
  <c r="I107" i="3"/>
  <c r="O98" i="3"/>
  <c r="J98" i="3"/>
  <c r="I98" i="3"/>
  <c r="O97" i="3"/>
  <c r="J97" i="3"/>
  <c r="I97" i="3"/>
  <c r="P96" i="3"/>
  <c r="Q96" i="3" s="1"/>
  <c r="O96" i="3"/>
  <c r="N96" i="3"/>
  <c r="J96" i="3"/>
  <c r="I96" i="3"/>
  <c r="P95" i="3"/>
  <c r="Q95" i="3" s="1"/>
  <c r="O95" i="3"/>
  <c r="N95" i="3"/>
  <c r="J95" i="3"/>
  <c r="I95" i="3"/>
  <c r="P94" i="3"/>
  <c r="Q94" i="3" s="1"/>
  <c r="O94" i="3"/>
  <c r="N94" i="3"/>
  <c r="J94" i="3"/>
  <c r="I94" i="3"/>
  <c r="P93" i="3"/>
  <c r="O93" i="3"/>
  <c r="N93" i="3"/>
  <c r="J93" i="3"/>
  <c r="I93" i="3"/>
  <c r="L92" i="3"/>
  <c r="K92" i="3"/>
  <c r="G92" i="3"/>
  <c r="E92" i="3"/>
  <c r="I92" i="3" s="1"/>
  <c r="D92" i="3"/>
  <c r="P91" i="3"/>
  <c r="Q91" i="3" s="1"/>
  <c r="O91" i="3"/>
  <c r="N91" i="3"/>
  <c r="J91" i="3"/>
  <c r="I91" i="3"/>
  <c r="P90" i="3"/>
  <c r="Q90" i="3" s="1"/>
  <c r="O90" i="3"/>
  <c r="N90" i="3"/>
  <c r="J90" i="3"/>
  <c r="I90" i="3"/>
  <c r="P89" i="3"/>
  <c r="Q89" i="3" s="1"/>
  <c r="O89" i="3"/>
  <c r="N89" i="3"/>
  <c r="J89" i="3"/>
  <c r="I89" i="3"/>
  <c r="P88" i="3"/>
  <c r="Q88" i="3" s="1"/>
  <c r="O88" i="3"/>
  <c r="N88" i="3"/>
  <c r="J88" i="3"/>
  <c r="I88" i="3"/>
  <c r="P87" i="3"/>
  <c r="Q87" i="3" s="1"/>
  <c r="O87" i="3"/>
  <c r="N87" i="3"/>
  <c r="J87" i="3"/>
  <c r="I87" i="3"/>
  <c r="P86" i="3"/>
  <c r="Q86" i="3" s="1"/>
  <c r="O86" i="3"/>
  <c r="N86" i="3"/>
  <c r="J86" i="3"/>
  <c r="I86" i="3"/>
  <c r="P85" i="3"/>
  <c r="Q85" i="3" s="1"/>
  <c r="O85" i="3"/>
  <c r="N85" i="3"/>
  <c r="J85" i="3"/>
  <c r="I85" i="3"/>
  <c r="P84" i="3"/>
  <c r="Q84" i="3" s="1"/>
  <c r="O84" i="3"/>
  <c r="N84" i="3"/>
  <c r="J84" i="3"/>
  <c r="I84" i="3"/>
  <c r="P83" i="3"/>
  <c r="Q83" i="3" s="1"/>
  <c r="O83" i="3"/>
  <c r="N83" i="3"/>
  <c r="J83" i="3"/>
  <c r="I83" i="3"/>
  <c r="P82" i="3"/>
  <c r="Q82" i="3" s="1"/>
  <c r="O82" i="3"/>
  <c r="N82" i="3"/>
  <c r="J82" i="3"/>
  <c r="I82" i="3"/>
  <c r="Q22" i="3" l="1"/>
  <c r="P21" i="3"/>
  <c r="R21" i="3" s="1"/>
  <c r="N117" i="3"/>
  <c r="N92" i="3"/>
  <c r="I29" i="3"/>
  <c r="J29" i="3"/>
  <c r="O21" i="3"/>
  <c r="O29" i="3"/>
  <c r="J21" i="3"/>
  <c r="N21" i="3"/>
  <c r="I21" i="3"/>
  <c r="P92" i="3"/>
  <c r="Q92" i="3" s="1"/>
  <c r="J92" i="3"/>
  <c r="I75" i="3"/>
  <c r="J117" i="3"/>
  <c r="O117" i="3"/>
  <c r="O75" i="3"/>
  <c r="O92" i="3"/>
  <c r="J75" i="3"/>
  <c r="I100" i="3"/>
  <c r="P117" i="3"/>
  <c r="Q93" i="3"/>
  <c r="J100" i="3"/>
  <c r="I125" i="3"/>
  <c r="O100" i="3"/>
  <c r="I117" i="3"/>
  <c r="J125" i="3"/>
  <c r="O125" i="3"/>
  <c r="R92" i="3" l="1"/>
  <c r="Q21" i="3"/>
  <c r="R117" i="3"/>
  <c r="Q1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Penny Zhou</author>
  </authors>
  <commentList>
    <comment ref="AK113" authorId="0" shapeId="0" xr:uid="{CAD89B4C-A71C-3641-BE87-EB862CCA110E}">
      <text>
        <r>
          <rPr>
            <b/>
            <sz val="9"/>
            <rFont val="宋体"/>
            <family val="3"/>
            <charset val="134"/>
          </rPr>
          <t>Penny Zhou:</t>
        </r>
        <r>
          <rPr>
            <sz val="9"/>
            <rFont val="宋体"/>
            <family val="3"/>
            <charset val="134"/>
          </rPr>
          <t xml:space="preserve">
有更改</t>
        </r>
      </text>
    </comment>
  </commentList>
</comments>
</file>

<file path=xl/sharedStrings.xml><?xml version="1.0" encoding="utf-8"?>
<sst xmlns="http://schemas.openxmlformats.org/spreadsheetml/2006/main" count="8102" uniqueCount="920">
  <si>
    <t>Total</t>
  </si>
  <si>
    <t>（2025.10.01-11.14）</t>
    <phoneticPr fontId="6" type="noConversion"/>
  </si>
  <si>
    <t>（2025.10.01-10.15）</t>
    <phoneticPr fontId="6" type="noConversion"/>
  </si>
  <si>
    <t>单品客单价</t>
  </si>
  <si>
    <t>预估新客ROI</t>
  </si>
  <si>
    <t>预估新客GMV</t>
  </si>
  <si>
    <t>新客成本</t>
  </si>
  <si>
    <t>获客成本</t>
  </si>
  <si>
    <t>渠道新客%</t>
  </si>
  <si>
    <t>渠道新客</t>
  </si>
  <si>
    <t>购买</t>
  </si>
  <si>
    <t>全店新客客单价</t>
  </si>
  <si>
    <t>预估整体新客ROI
(=新客GMV/媒体花费)</t>
  </si>
  <si>
    <t>预估新客GMV
(=全店客单价*新客数)</t>
  </si>
  <si>
    <t>新客成本
(=媒体花费/渠道新客数)</t>
  </si>
  <si>
    <t>获客成本
（=媒体花费/购买人数）</t>
  </si>
  <si>
    <t>渠道新客占比
(=渠道新客/购买人数)</t>
  </si>
  <si>
    <t>渠道新客数</t>
  </si>
  <si>
    <t>购买人数</t>
  </si>
  <si>
    <t>购买转化率
(=购买人数/进店数)</t>
  </si>
  <si>
    <t>进店率
（=进店UV/阅读数)</t>
  </si>
  <si>
    <t>进店UV
（=商品页浏览）</t>
  </si>
  <si>
    <t>阅读成本
（=媒体花费/红书阅读数）</t>
  </si>
  <si>
    <t>红书阅读数</t>
  </si>
  <si>
    <t>KOL
（from Mkt)</t>
  </si>
  <si>
    <t>Paid media
(from EM)</t>
  </si>
  <si>
    <t>Media + KOL</t>
  </si>
  <si>
    <t>单品贡献：单品归因(直接成交)</t>
  </si>
  <si>
    <r>
      <t>Actual (全店贡献)</t>
    </r>
    <r>
      <rPr>
        <b/>
        <sz val="11"/>
        <color rgb="FFFF0000"/>
        <rFont val="微软雅黑"/>
        <family val="2"/>
        <charset val="134"/>
      </rPr>
      <t>*</t>
    </r>
  </si>
  <si>
    <t>媒体花费
（媒体费含税不含AC）</t>
  </si>
  <si>
    <t>Campaign Period</t>
  </si>
  <si>
    <t>Product</t>
  </si>
  <si>
    <t>Data Period</t>
  </si>
  <si>
    <t>（2025.10.01-11.14）</t>
    <phoneticPr fontId="21" type="noConversion"/>
  </si>
  <si>
    <t>（2025.10.01-10.20）</t>
    <phoneticPr fontId="21" type="noConversion"/>
  </si>
  <si>
    <t>（2025.10.01-10.20）</t>
    <phoneticPr fontId="6" type="noConversion"/>
  </si>
  <si>
    <t>Total（去重）</t>
    <phoneticPr fontId="6" type="noConversion"/>
  </si>
  <si>
    <t>Total（未去重）</t>
    <phoneticPr fontId="6" type="noConversion"/>
  </si>
  <si>
    <t>（2025.10.01-10.25）</t>
    <phoneticPr fontId="21" type="noConversion"/>
  </si>
  <si>
    <t>（2025.10.01-10.25）</t>
    <phoneticPr fontId="6" type="noConversion"/>
  </si>
  <si>
    <t>（2025.10.01-10.31）</t>
    <phoneticPr fontId="21" type="noConversion"/>
  </si>
  <si>
    <t>（2025.10.01-10.31）</t>
    <phoneticPr fontId="6" type="noConversion"/>
  </si>
  <si>
    <t>（2025.11.17-2026.01.31)</t>
    <phoneticPr fontId="6" type="noConversion"/>
  </si>
  <si>
    <t>（2025.12.01-12.31）</t>
    <phoneticPr fontId="6" type="noConversion"/>
  </si>
  <si>
    <t>阅读成本
（=媒体花费/红书阅读数）</t>
    <phoneticPr fontId="6" type="noConversion"/>
  </si>
  <si>
    <t>（2025.11.17-2026.02.11）</t>
    <phoneticPr fontId="6" type="noConversion"/>
  </si>
  <si>
    <t>（2026.1.1-1.31）</t>
    <phoneticPr fontId="6" type="noConversion"/>
  </si>
  <si>
    <t>（2026.01.15-2026.03.08）</t>
    <phoneticPr fontId="6" type="noConversion"/>
  </si>
  <si>
    <t>（2026.1.15-1.31）</t>
  </si>
  <si>
    <t>2025.11.17-2026.2.28</t>
    <phoneticPr fontId="6" type="noConversion"/>
  </si>
  <si>
    <t>（2025.11.17-2026.2.11）</t>
    <phoneticPr fontId="6" type="noConversion"/>
  </si>
  <si>
    <t>（2026.1.15-2026.2.28）</t>
    <phoneticPr fontId="6" type="noConversion"/>
  </si>
  <si>
    <t>（Campaign开始日期-26.2.28）</t>
    <phoneticPr fontId="6" type="noConversion"/>
  </si>
  <si>
    <t>（2026.1.15-2026.3.8）</t>
    <phoneticPr fontId="6" type="noConversion"/>
  </si>
  <si>
    <t>（26.1.15-26.3.8）</t>
    <phoneticPr fontId="6" type="noConversion"/>
  </si>
  <si>
    <t>（2026.1.15-2026.4.30）</t>
    <phoneticPr fontId="6" type="noConversion"/>
  </si>
  <si>
    <t>2026.4.7-2026.4.30</t>
    <phoneticPr fontId="6" type="noConversion"/>
  </si>
  <si>
    <t>（2026.4.7-2026.4.30）</t>
    <phoneticPr fontId="6" type="noConversion"/>
  </si>
  <si>
    <t>2026.3.12-2026.6.18</t>
    <phoneticPr fontId="6" type="noConversion"/>
  </si>
  <si>
    <t>（2026.3.12-2026.4.30）</t>
    <phoneticPr fontId="6" type="noConversion"/>
  </si>
  <si>
    <t>2026.1.15-2026.6.18</t>
    <phoneticPr fontId="6" type="noConversion"/>
  </si>
  <si>
    <t>（26.1.15-26.4.30）</t>
    <phoneticPr fontId="6" type="noConversion"/>
  </si>
  <si>
    <t>-</t>
    <phoneticPr fontId="6" type="noConversion"/>
  </si>
  <si>
    <t>2026.5.1-2026.6.18</t>
    <phoneticPr fontId="6" type="noConversion"/>
  </si>
  <si>
    <t>（2026.5.1-2026.5.9）</t>
    <phoneticPr fontId="6" type="noConversion"/>
  </si>
  <si>
    <t>（26.5.1-26.5.9）</t>
    <phoneticPr fontId="6" type="noConversion"/>
  </si>
  <si>
    <t>（2026.5.1-2026.5.16）</t>
    <phoneticPr fontId="6" type="noConversion"/>
  </si>
  <si>
    <t>渠道新客</t>
    <phoneticPr fontId="6" type="noConversion"/>
  </si>
  <si>
    <t>（26.5.1-26.5.16）</t>
    <phoneticPr fontId="6" type="noConversion"/>
  </si>
  <si>
    <t>（2026.05.01~06.18）</t>
  </si>
  <si>
    <t>（2026.5.1-2026.5.22）</t>
    <phoneticPr fontId="6" type="noConversion"/>
  </si>
  <si>
    <t>预估新客GMV</t>
    <phoneticPr fontId="6" type="noConversion"/>
  </si>
  <si>
    <t>（26.5.1-26.5.22）</t>
    <phoneticPr fontId="6" type="noConversion"/>
  </si>
  <si>
    <t>（2026.5.1-2026.5.31）</t>
    <phoneticPr fontId="6" type="noConversion"/>
  </si>
  <si>
    <t>（26.5.1-26.5.31）</t>
    <phoneticPr fontId="6" type="noConversion"/>
  </si>
  <si>
    <t>（2026.5.1-2026.6.07）</t>
    <phoneticPr fontId="6" type="noConversion"/>
  </si>
  <si>
    <t>（26.5.1-26.6.7）</t>
    <phoneticPr fontId="6" type="noConversion"/>
  </si>
  <si>
    <t>（2026.5.1-2026.6.18）</t>
    <phoneticPr fontId="6" type="noConversion"/>
  </si>
  <si>
    <t>（26.5.1-26.6.18）</t>
    <phoneticPr fontId="6" type="noConversion"/>
  </si>
  <si>
    <t>（2026.7.3-2026.7.31）</t>
    <phoneticPr fontId="6" type="noConversion"/>
  </si>
  <si>
    <t>RED KFS对天猫的贡献</t>
    <phoneticPr fontId="6" type="noConversion"/>
  </si>
  <si>
    <t>Data scope:</t>
  </si>
  <si>
    <t>Data Period:</t>
  </si>
  <si>
    <t xml:space="preserve">Updated:  </t>
    <phoneticPr fontId="6" type="noConversion"/>
  </si>
  <si>
    <t>（26.7.3-26.7.31）</t>
    <phoneticPr fontId="6" type="noConversion"/>
  </si>
  <si>
    <t>Brand</t>
  </si>
  <si>
    <t>Media Format</t>
  </si>
  <si>
    <t>媒体花费
包含KOL+投流</t>
  </si>
  <si>
    <t>归因逻辑</t>
  </si>
  <si>
    <t>进店UV vs 目标</t>
  </si>
  <si>
    <t>渠道新客数 vs 目标</t>
  </si>
  <si>
    <t>预估新客GMV
(=客单价*新客数)</t>
  </si>
  <si>
    <t>全店客单价</t>
  </si>
  <si>
    <t>RED KFS</t>
  </si>
  <si>
    <t>RED KFS</t>
    <phoneticPr fontId="6" type="noConversion"/>
  </si>
  <si>
    <t>Updated:</t>
    <phoneticPr fontId="6" type="noConversion"/>
  </si>
  <si>
    <t>Data Period:</t>
    <phoneticPr fontId="6" type="noConversion"/>
  </si>
  <si>
    <t>Data scope:</t>
    <phoneticPr fontId="40" type="noConversion"/>
  </si>
  <si>
    <t>RED KFS对天猫的贡献(全店归因)</t>
    <phoneticPr fontId="40" type="noConversion"/>
  </si>
  <si>
    <t>Data Period</t>
    <phoneticPr fontId="39" type="noConversion"/>
  </si>
  <si>
    <t>Product</t>
    <phoneticPr fontId="17" type="noConversion"/>
  </si>
  <si>
    <t>Campaign Period</t>
    <phoneticPr fontId="17" type="noConversion"/>
  </si>
  <si>
    <t>媒体花费
（媒体费含税不含AC）</t>
    <phoneticPr fontId="17" type="noConversion"/>
  </si>
  <si>
    <r>
      <t>Actual (全店贡献)</t>
    </r>
    <r>
      <rPr>
        <b/>
        <sz val="11"/>
        <color rgb="FFFF0000"/>
        <rFont val="微软雅黑"/>
        <family val="2"/>
        <charset val="134"/>
      </rPr>
      <t>*</t>
    </r>
    <phoneticPr fontId="39" type="noConversion"/>
  </si>
  <si>
    <t>Media + KOL</t>
    <phoneticPr fontId="39" type="noConversion"/>
  </si>
  <si>
    <t>Paid media</t>
    <phoneticPr fontId="39" type="noConversion"/>
  </si>
  <si>
    <t>KOL
（from Mkt)</t>
    <phoneticPr fontId="39" type="noConversion"/>
  </si>
  <si>
    <t>红书阅读数</t>
    <phoneticPr fontId="39" type="noConversion"/>
  </si>
  <si>
    <t>阅读成本
（=媒体花费/红书阅读数）</t>
    <phoneticPr fontId="39" type="noConversion"/>
  </si>
  <si>
    <t>进店UV
（=商品页浏览）</t>
    <phoneticPr fontId="39" type="noConversion"/>
  </si>
  <si>
    <t>进店率
（=进店UV/阅读数)</t>
    <phoneticPr fontId="39" type="noConversion"/>
  </si>
  <si>
    <t>购买转化率
(=购买人数/进店数)</t>
    <phoneticPr fontId="39" type="noConversion"/>
  </si>
  <si>
    <t>购买人数</t>
    <phoneticPr fontId="39" type="noConversion"/>
  </si>
  <si>
    <t>渠道新客数</t>
    <phoneticPr fontId="39" type="noConversion"/>
  </si>
  <si>
    <t>渠道新客占比
(=渠道新客/购买人数)</t>
    <phoneticPr fontId="39" type="noConversion"/>
  </si>
  <si>
    <t>获客成本
（=媒体花费/购买人数）</t>
    <phoneticPr fontId="39" type="noConversion"/>
  </si>
  <si>
    <t>（2026.07.01-07.31）</t>
    <phoneticPr fontId="39" type="noConversion"/>
  </si>
  <si>
    <t>Total</t>
    <phoneticPr fontId="40" type="noConversion"/>
  </si>
  <si>
    <t>Remark：</t>
    <phoneticPr fontId="40" type="noConversion"/>
  </si>
  <si>
    <t>*Paid media和KOL均为投放小红星的消耗金额</t>
    <phoneticPr fontId="40" type="noConversion"/>
  </si>
  <si>
    <t>*Actual 全店贡献 数据来源：阿里达摩盘DMP，该平台小红星数据回流时效为T+4（即在小红书上看到一篇内容，要T+4才能回流DMP查看）</t>
    <phoneticPr fontId="39" type="noConversion"/>
  </si>
  <si>
    <t>*后链路转化数据仅为天猫阿里平台数据，且为周期内去重逻辑（不包含全域）；</t>
    <phoneticPr fontId="40" type="noConversion"/>
  </si>
  <si>
    <t>相关指标定义：</t>
    <phoneticPr fontId="40" type="noConversion"/>
  </si>
  <si>
    <t>红书阅读数：统计时间内，通过淘宝联盟星任务投放活动的内容阅读/播放人数</t>
    <phoneticPr fontId="40" type="noConversion"/>
  </si>
  <si>
    <t>进店UV：近30天阅读/播放过淘宝联盟星任务投放活动内容 且 浏览过品牌店铺内类目产品</t>
    <phoneticPr fontId="40" type="noConversion"/>
  </si>
  <si>
    <t>购买人数：近30天阅读/播放过淘宝联盟星任务投放活动内容 且 购买过品牌店铺内类目产品</t>
    <phoneticPr fontId="40" type="noConversion"/>
  </si>
  <si>
    <t>渠道新客数：近30天阅读/播放过淘宝联盟星任务投放活动内容 并 购买过品牌店铺内类目产品  且 时间窗口前1年未有过品牌店铺内类目产品购买行为</t>
    <phoneticPr fontId="40" type="noConversion"/>
  </si>
  <si>
    <t>客单价=预估新客GMV/渠道新客数</t>
    <phoneticPr fontId="40" type="noConversion"/>
  </si>
  <si>
    <t>过往数据</t>
    <phoneticPr fontId="6" type="noConversion"/>
  </si>
  <si>
    <t>（2026.05.01-06.18）</t>
    <phoneticPr fontId="39" type="noConversion"/>
  </si>
  <si>
    <t>（2026.05.18-06.30）</t>
    <phoneticPr fontId="39" type="noConversion"/>
  </si>
  <si>
    <t>（2026.05.01-05.20）</t>
    <phoneticPr fontId="39" type="noConversion"/>
  </si>
  <si>
    <t>Total（未去重）</t>
    <phoneticPr fontId="39" type="noConversion"/>
  </si>
  <si>
    <t>Total（去重）</t>
    <phoneticPr fontId="39" type="noConversion"/>
  </si>
  <si>
    <t>*520后链路数据延至6月4日（T+15）</t>
    <phoneticPr fontId="39" type="noConversion"/>
  </si>
  <si>
    <t>（2026.05.01~06.18）</t>
    <phoneticPr fontId="39" type="noConversion"/>
  </si>
  <si>
    <t>（2026.05.01-06.07）</t>
    <phoneticPr fontId="39" type="noConversion"/>
  </si>
  <si>
    <t>（2026.05.01-05.31）</t>
  </si>
  <si>
    <t>Paid media</t>
  </si>
  <si>
    <t>（2026.05.01-05.31）</t>
    <phoneticPr fontId="39" type="noConversion"/>
  </si>
  <si>
    <t>*520后链路数据延至5月31日</t>
    <phoneticPr fontId="39" type="noConversion"/>
  </si>
  <si>
    <t>（2026.05.01-2026.05.22）</t>
    <phoneticPr fontId="39" type="noConversion"/>
  </si>
  <si>
    <t>（2026.05.01-05.22）</t>
    <phoneticPr fontId="39" type="noConversion"/>
  </si>
  <si>
    <t>（2026.05.01-2026.05.16）</t>
    <phoneticPr fontId="39" type="noConversion"/>
  </si>
  <si>
    <t>（2026.5.1-5.16）</t>
    <phoneticPr fontId="39" type="noConversion"/>
  </si>
  <si>
    <t>Total（未去重）</t>
  </si>
  <si>
    <t>Total（去重）</t>
  </si>
  <si>
    <t>（2026.03.01-2026.04.30）</t>
  </si>
  <si>
    <t>Data Period</t>
    <phoneticPr fontId="40" type="noConversion"/>
  </si>
  <si>
    <t>Product</t>
    <phoneticPr fontId="6" type="noConversion"/>
  </si>
  <si>
    <t>Campaign Period</t>
    <phoneticPr fontId="6" type="noConversion"/>
  </si>
  <si>
    <t>媒体花费
（媒体费含税不含AC）</t>
    <phoneticPr fontId="6" type="noConversion"/>
  </si>
  <si>
    <r>
      <t>Actual (全店贡献)</t>
    </r>
    <r>
      <rPr>
        <b/>
        <sz val="11"/>
        <color rgb="FFFF0000"/>
        <rFont val="微软雅黑"/>
        <family val="2"/>
        <charset val="134"/>
      </rPr>
      <t>*</t>
    </r>
    <phoneticPr fontId="6" type="noConversion"/>
  </si>
  <si>
    <t>单品贡献：单品归因(直接成交)</t>
    <phoneticPr fontId="6" type="noConversion"/>
  </si>
  <si>
    <t>Media + KOL</t>
    <phoneticPr fontId="6" type="noConversion"/>
  </si>
  <si>
    <t>Paid media
(from EM)</t>
    <phoneticPr fontId="6" type="noConversion"/>
  </si>
  <si>
    <t>KOL
（from Mkt)</t>
    <phoneticPr fontId="6" type="noConversion"/>
  </si>
  <si>
    <t>进店UV
（=商品页浏览）</t>
    <phoneticPr fontId="6" type="noConversion"/>
  </si>
  <si>
    <t>全店新客客单价</t>
    <phoneticPr fontId="6" type="noConversion"/>
  </si>
  <si>
    <t>购买</t>
    <phoneticPr fontId="39" type="noConversion"/>
  </si>
  <si>
    <t>渠道新客%</t>
    <phoneticPr fontId="6" type="noConversion"/>
  </si>
  <si>
    <t>预估新客ROI</t>
    <phoneticPr fontId="6" type="noConversion"/>
  </si>
  <si>
    <t>（2026.03.01-2026.04.30）</t>
    <phoneticPr fontId="39" type="noConversion"/>
  </si>
  <si>
    <t>（2026.01.20-2026.02.28）</t>
  </si>
  <si>
    <t>（2026.01.20-2026.02.28）</t>
    <phoneticPr fontId="6" type="noConversion"/>
  </si>
  <si>
    <t>(2026.01.01-2026.01.31)</t>
    <phoneticPr fontId="6" type="noConversion"/>
  </si>
  <si>
    <t>（2025.12.26-2026.01.19）</t>
    <phoneticPr fontId="6" type="noConversion"/>
  </si>
  <si>
    <t>-</t>
  </si>
  <si>
    <t>Total（未去重）</t>
    <phoneticPr fontId="40" type="noConversion"/>
  </si>
  <si>
    <t>（2025.10.01-12.25）</t>
  </si>
  <si>
    <t>（2025.10.01-12.25）</t>
    <phoneticPr fontId="6" type="noConversion"/>
  </si>
  <si>
    <t>（2025.10.13-12.25）</t>
    <phoneticPr fontId="6" type="noConversion"/>
  </si>
  <si>
    <t>（2025.10.01-11.14）</t>
  </si>
  <si>
    <t>（2025.10.13-11.14）</t>
  </si>
  <si>
    <t>（2025.10.01-10.31）</t>
  </si>
  <si>
    <t>（2025.10.01-10.25）</t>
  </si>
  <si>
    <t>（2025.10.01-10.20）</t>
  </si>
  <si>
    <t>（2025.10.13-11.14）</t>
    <phoneticPr fontId="6" type="noConversion"/>
  </si>
  <si>
    <t xml:space="preserve">Updated: </t>
    <phoneticPr fontId="39" type="noConversion"/>
  </si>
  <si>
    <t>RED KFS对天猫的贡献</t>
    <phoneticPr fontId="39" type="noConversion"/>
  </si>
  <si>
    <t>（2026.07.01-07.31）</t>
  </si>
  <si>
    <t>-</t>
    <phoneticPr fontId="39" type="noConversion"/>
  </si>
  <si>
    <t>*Paid media和KOL均为投放小红星的消耗金额</t>
  </si>
  <si>
    <t>*后链路转化数据仅为天猫阿里平台数据，且为周期内去重逻辑（不包含全域）；</t>
  </si>
  <si>
    <t>（2026.05.01-06.18）</t>
  </si>
  <si>
    <t>（2026.05.01-06.07）</t>
  </si>
  <si>
    <t>（2026.05.01-05.16）</t>
  </si>
  <si>
    <t>（2026.05.01-05.16）</t>
    <phoneticPr fontId="39" type="noConversion"/>
  </si>
  <si>
    <t>（2026.04.01-05.09）</t>
    <phoneticPr fontId="39" type="noConversion"/>
  </si>
  <si>
    <t>（2026.4.1-5.9）</t>
    <phoneticPr fontId="39" type="noConversion"/>
  </si>
  <si>
    <t>（2026.04.10-05.20）</t>
    <phoneticPr fontId="39" type="noConversion"/>
  </si>
  <si>
    <t>（2026.04.01-06.18）</t>
    <phoneticPr fontId="39" type="noConversion"/>
  </si>
  <si>
    <t>（2026.04.01-05.02）</t>
    <phoneticPr fontId="39" type="noConversion"/>
  </si>
  <si>
    <t>（2026.4.1-5.2）</t>
  </si>
  <si>
    <t>（2026.04.01-04.30）</t>
  </si>
  <si>
    <t>Data Period</t>
    <phoneticPr fontId="17" type="noConversion"/>
  </si>
  <si>
    <t>Product</t>
    <phoneticPr fontId="34" type="noConversion"/>
  </si>
  <si>
    <t>Campaign Period</t>
    <phoneticPr fontId="34" type="noConversion"/>
  </si>
  <si>
    <t>媒体花费
（媒体费含税不含AC）</t>
    <phoneticPr fontId="34" type="noConversion"/>
  </si>
  <si>
    <t>Media + KOL</t>
    <phoneticPr fontId="17" type="noConversion"/>
  </si>
  <si>
    <t>Paid media</t>
    <phoneticPr fontId="17" type="noConversion"/>
  </si>
  <si>
    <t>KOL
（from Mkt)</t>
    <phoneticPr fontId="17" type="noConversion"/>
  </si>
  <si>
    <t>红书阅读数</t>
    <phoneticPr fontId="17" type="noConversion"/>
  </si>
  <si>
    <t>阅读成本
（=媒体花费/红书阅读数）</t>
    <phoneticPr fontId="17" type="noConversion"/>
  </si>
  <si>
    <t>进店UV
（=商品页浏览）</t>
    <phoneticPr fontId="17" type="noConversion"/>
  </si>
  <si>
    <t>进店率
（=进店UV/阅读数)</t>
    <phoneticPr fontId="17" type="noConversion"/>
  </si>
  <si>
    <t>购买转化率
(=购买人数/进店数)</t>
    <phoneticPr fontId="17" type="noConversion"/>
  </si>
  <si>
    <t>购买人数</t>
    <phoneticPr fontId="17" type="noConversion"/>
  </si>
  <si>
    <t>（2026.04.01-04.30）</t>
    <phoneticPr fontId="17" type="noConversion"/>
  </si>
  <si>
    <t>（2026.04.10-05.20）</t>
    <phoneticPr fontId="17" type="noConversion"/>
  </si>
  <si>
    <t>（2026.04.01-06.18）</t>
    <phoneticPr fontId="17" type="noConversion"/>
  </si>
  <si>
    <t>Total（未去重）</t>
    <phoneticPr fontId="17" type="noConversion"/>
  </si>
  <si>
    <t>Total（去重）</t>
    <phoneticPr fontId="17" type="noConversion"/>
  </si>
  <si>
    <t>（2025.11.14-12.31）</t>
  </si>
  <si>
    <t>（2025.11.14-12.31）</t>
    <phoneticPr fontId="6" type="noConversion"/>
  </si>
  <si>
    <t>（2025.11.14-2026.01.13）</t>
    <phoneticPr fontId="6" type="noConversion"/>
  </si>
  <si>
    <t xml:space="preserve">Updated: </t>
    <phoneticPr fontId="6" type="noConversion"/>
  </si>
  <si>
    <t>*当前单品贡献均不包含李佳琦</t>
    <phoneticPr fontId="6" type="noConversion"/>
  </si>
  <si>
    <t>Campaign起始日期-2026.06.18</t>
    <phoneticPr fontId="6" type="noConversion"/>
  </si>
  <si>
    <t>Campaign KPI</t>
  </si>
  <si>
    <t>Brand</t>
    <phoneticPr fontId="6" type="noConversion"/>
  </si>
  <si>
    <t>Media Format</t>
    <phoneticPr fontId="6" type="noConversion"/>
  </si>
  <si>
    <t>媒体花费
包含KOL+投流</t>
    <phoneticPr fontId="6" type="noConversion"/>
  </si>
  <si>
    <t>红书阅读数</t>
    <phoneticPr fontId="6" type="noConversion"/>
  </si>
  <si>
    <t>进店率
（=进店UV/阅读数)</t>
    <phoneticPr fontId="6" type="noConversion"/>
  </si>
  <si>
    <t>Campaign起始日期-2026.06.07</t>
    <phoneticPr fontId="6" type="noConversion"/>
  </si>
  <si>
    <t>Campaign起始日期-2026.05.31</t>
    <phoneticPr fontId="6" type="noConversion"/>
  </si>
  <si>
    <t>Campaign起始日期-2026.05.22</t>
    <phoneticPr fontId="6" type="noConversion"/>
  </si>
  <si>
    <t>Campaign起始日期-2026.05.16</t>
    <phoneticPr fontId="6" type="noConversion"/>
  </si>
  <si>
    <t>Campaign起始日期-2026.05.09</t>
    <phoneticPr fontId="6" type="noConversion"/>
  </si>
  <si>
    <t>Campaign起始日期-2026.04.30</t>
    <phoneticPr fontId="6" type="noConversion"/>
  </si>
  <si>
    <t>Campaign起始日期-2026.03.08</t>
    <phoneticPr fontId="6" type="noConversion"/>
  </si>
  <si>
    <t>Campaign起始日期-2026.02.28</t>
    <phoneticPr fontId="6" type="noConversion"/>
  </si>
  <si>
    <t>RED KFS</t>
    <phoneticPr fontId="7" type="noConversion"/>
  </si>
  <si>
    <t>「过程」</t>
  </si>
  <si>
    <t>「未来预期」</t>
  </si>
  <si>
    <t>Remark：</t>
  </si>
  <si>
    <t>*Actual 全店贡献 数据来源：阿里达摩盘DMP，该平台小红星数据回流时效为T+4（即在小红书上看到一篇内容，要T+4才能回流DMP查看）；同时小红星相关回流数据无法自定义时间，圈选时间窗口仅为R15/30/90天，故数据可能无法精确匹配campaign周期；</t>
  </si>
  <si>
    <t xml:space="preserve">Updated: </t>
  </si>
  <si>
    <t>2026.8.10</t>
  </si>
  <si>
    <t>2026.7.1-2026.7.31</t>
  </si>
  <si>
    <t>*RC为8月上市新品，故暂不统计单品购买</t>
    <phoneticPr fontId="6" type="noConversion"/>
  </si>
  <si>
    <t>目标 (媒体投资贡献) from Brand</t>
  </si>
  <si>
    <r>
      <rPr>
        <b/>
        <sz val="11"/>
        <color theme="1" tint="0.14993743705557422"/>
        <rFont val="微软雅黑"/>
        <family val="2"/>
        <charset val="134"/>
      </rPr>
      <t>Actual (全店贡献)</t>
    </r>
    <r>
      <rPr>
        <b/>
        <sz val="11"/>
        <color rgb="FFFF0000"/>
        <rFont val="微软雅黑"/>
        <family val="2"/>
        <charset val="134"/>
      </rPr>
      <t>*</t>
    </r>
  </si>
  <si>
    <t>红星KOL</t>
  </si>
  <si>
    <t>红星Paid</t>
  </si>
  <si>
    <t>红星PFM</t>
  </si>
  <si>
    <t>销量</t>
  </si>
  <si>
    <t>新客数</t>
  </si>
  <si>
    <t>新客占比</t>
  </si>
  <si>
    <t>KOL</t>
  </si>
  <si>
    <t>进店UV</t>
  </si>
  <si>
    <t>7.1-7.31</t>
  </si>
  <si>
    <t>7.1-8.19</t>
  </si>
  <si>
    <t>3.5g 支</t>
  </si>
  <si>
    <t>7.14-7.31</t>
  </si>
  <si>
    <t>7.14-9.30</t>
  </si>
  <si>
    <t>30ml</t>
  </si>
  <si>
    <t>6.18-8.31</t>
  </si>
  <si>
    <t>100ml 510/200ml 950</t>
  </si>
  <si>
    <t>全店TTL去重</t>
  </si>
  <si>
    <t>2026.6.24</t>
  </si>
  <si>
    <t>GOAT/DWC/ARE/X5/Orbit/RNBC/ARL/SOFT/TLML/Serum：2026.5.1-6.20</t>
  </si>
  <si>
    <t>Key highlights:</t>
  </si>
  <si>
    <t>「整体概述」</t>
  </si>
  <si>
    <t>618 Campaign完整周期的新客占比为71.3%，新客成本为￥113</t>
  </si>
  <si>
    <t>1. 随着活动周期结束，有购买意向用户大概率从种草向浏览和购买进行行为转化，使得进店和购买用户显著提升，带动进店率和后端转化率也显著提升</t>
  </si>
  <si>
    <t>2. 同时活动期观望新客也在活动尾声进行购买行为，新客成本下降显著，但受大促复购影响，使得整体新客率较活动初期基本持平</t>
  </si>
  <si>
    <t>后续活动也会keep优化CPC/CPUV投放策略以缩短种草到转化的路径，同时优化KOL内容矩阵、筛选高互动笔记×精准人群组合，寻求进店率和后端转化率的提升</t>
  </si>
  <si>
    <t>Total spenging KOL</t>
  </si>
  <si>
    <t>红书Total Spending（合约）</t>
  </si>
  <si>
    <t>红书Total Spending（竞价）</t>
  </si>
  <si>
    <t>主看竞品 1-2个</t>
  </si>
  <si>
    <t>合约</t>
  </si>
  <si>
    <t>竞价</t>
  </si>
  <si>
    <t>投流总计</t>
  </si>
  <si>
    <t>（2026.5.1-6.20）</t>
  </si>
  <si>
    <t>2026.5.1-2026.6.20</t>
  </si>
  <si>
    <t>兰蔻持妆粉底液/YSL恒久粉底液</t>
  </si>
  <si>
    <t>12g</t>
  </si>
  <si>
    <t>毛戈平黑白羽翼气垫/欧莱雅黑胖子气垫</t>
  </si>
  <si>
    <t>2026.3.9-2026.6.20</t>
  </si>
  <si>
    <t>15ml</t>
  </si>
  <si>
    <t>兰蔻菁纯眼霜/CPB眼霜</t>
  </si>
  <si>
    <t>2026.4.1-2026.6.20</t>
  </si>
  <si>
    <t>兰蔻小黑瓶/娇韵诗双萃精华</t>
  </si>
  <si>
    <t>兰蔻发光眼霜/紫熨斗眼霜</t>
  </si>
  <si>
    <t>兰蔻菁纯面霜，赫莲娜黑绷带面霜、Lamer晚霜</t>
  </si>
  <si>
    <t>200ml</t>
  </si>
  <si>
    <t>SKII 神仙水 /赫莲娜小露珠精华水</t>
  </si>
  <si>
    <t>50ml</t>
  </si>
  <si>
    <t>修丽可AGE面霜/珀莱雅红宝石面霜</t>
  </si>
  <si>
    <t>200ml+300ml</t>
  </si>
  <si>
    <t>娇韵诗牛奶水乳/资生堂悦薇水乳</t>
  </si>
  <si>
    <t>2026.4.13-2026.6.20</t>
  </si>
  <si>
    <t>修丽可多肽抗皱精华/娇韵诗双萃精华</t>
  </si>
  <si>
    <t>Red Total Spending</t>
  </si>
  <si>
    <t>Spending Progress</t>
  </si>
  <si>
    <t>2026.6.11</t>
  </si>
  <si>
    <t>GOAT/DWC/ARE/X5/Orbit/RNBC/ARL/SOFT/TLML/Serum：2026.5.1-6.7</t>
  </si>
  <si>
    <t>618 Campaign Week6的新客占比为70.3%，较上周+0.2%；新客成本为￥144，较上周降低￥26</t>
  </si>
  <si>
    <t>1. 随着活动周期进入尾声，用户逐步从种草向浏览和购买进行行为转化，进店和购买用户显著提升，使得进店率和后端转化率显著提升</t>
  </si>
  <si>
    <t>2. 同时活动期观望新客也在活动尾声逐步进行购买行为，使得整体新客率较上周略有提升，新客成本也有所下降</t>
  </si>
  <si>
    <t>基于目前表现情况及Campaign的进程，可继续筛选高互动笔记×精准人群组合，寻求进店率和后端转化率的进一步提升</t>
  </si>
  <si>
    <t>Till 6/7</t>
  </si>
  <si>
    <t>618 Total</t>
  </si>
  <si>
    <t>（2026.5.1-6.7）</t>
  </si>
  <si>
    <t>2026.6.4</t>
  </si>
  <si>
    <t>GOAT/DWC/ARE/X5/Orbit/RNBC/ARL/SOFT/TLML/Serum：2026.5.1-5.31</t>
  </si>
  <si>
    <t>Till 5/31</t>
  </si>
  <si>
    <t>截止5/31跑量占比</t>
  </si>
  <si>
    <t>（2026.5.1-5.31）</t>
  </si>
  <si>
    <t>2026.5.26</t>
  </si>
  <si>
    <t>GOAT/DWC/ARE/X5/Orbit/RNBC/ARL/SOFT/TLML/Serum：2026.5.1-5.22</t>
  </si>
  <si>
    <t>Till 5/22</t>
  </si>
  <si>
    <t>截止5/22跑量占比</t>
  </si>
  <si>
    <t>（2026.5.1-5.22）</t>
  </si>
  <si>
    <t>2026.5.20</t>
  </si>
  <si>
    <t>GOAT/ARE/X5/Orbit/RNBC/ARL/SOFT/TLML/Serum：2026.5.1-5.16</t>
  </si>
  <si>
    <t>（2026.5.1-5.16）</t>
  </si>
  <si>
    <t>2026.5.13</t>
  </si>
  <si>
    <t>ARE: 2026.3.9-5.9
DW：2026.5.1-5.9
DWC：2026.4.29-5.9
X5/RNBC/ARL/SOFT：2026.4.1-5.9</t>
  </si>
  <si>
    <t>（2026.5.1-5.9）</t>
  </si>
  <si>
    <t>（2026.3.9-5.9）</t>
  </si>
  <si>
    <t>（2026.4.1-5.9）</t>
  </si>
  <si>
    <t>*活动期内DWC共14条跨域计划，仅6条正常回流，故本次Tracking不含DWC数据</t>
  </si>
  <si>
    <t>2026.5.8</t>
  </si>
  <si>
    <t>ARE: 2026.3.9-2026.4.30
X5/RNBC/ARL/SOFT：2026.4.1-4.30</t>
  </si>
  <si>
    <t>（2026.5.1-XXX）</t>
  </si>
  <si>
    <t>（2026.4.29-XXX）</t>
  </si>
  <si>
    <t>2026.4.20-2026.6.20</t>
  </si>
  <si>
    <t>（2026.3.9-4.30）</t>
  </si>
  <si>
    <t>（2026.4.1-4.30）</t>
  </si>
  <si>
    <t>*活动期内SOFT共6条跨域计划，仅1条正常回流，故本次Tracking不含SOFT数据</t>
  </si>
  <si>
    <t>2026.5.18</t>
  </si>
  <si>
    <t>Lip: 2026.3.20-2026.4.30
TLML：2026.2.1-2026.4.30</t>
  </si>
  <si>
    <t>（2026.3.20-4.30）</t>
  </si>
  <si>
    <t>2026.3.20-2026.5.20</t>
  </si>
  <si>
    <t>（2026.2.1-4.30）</t>
  </si>
  <si>
    <t>2026.2.1-2026.4.30</t>
  </si>
  <si>
    <t>（2026.1.20-4.30）</t>
  </si>
  <si>
    <t>2026.1.20-2026.4.30</t>
  </si>
  <si>
    <t>2026.4.7</t>
  </si>
  <si>
    <t>Orbit\X5\RNBC: 2025.12.1-2026.2.28           DWF：2026.1.20-3.8    SOFT/TLML:2026.2.1-3.31</t>
  </si>
  <si>
    <t>（2025.12.01-2.28）</t>
  </si>
  <si>
    <t>2025.12.1-2026.2.28</t>
  </si>
  <si>
    <t>2026.1.1-2026.2.16</t>
  </si>
  <si>
    <t>（2026.1.20-3.8）</t>
  </si>
  <si>
    <t>2026.1.20-2026.3.31</t>
  </si>
  <si>
    <t>30ml（DWF二代）</t>
  </si>
  <si>
    <t>（2026.2.1-3.31）</t>
  </si>
  <si>
    <t>2026.2.1-2026.3.31</t>
  </si>
  <si>
    <t>2026.3.25</t>
  </si>
  <si>
    <t>DWF：2026.1.20-3.8 （orbit\X5\RNBC-2025.12.1-2026.2.28）</t>
  </si>
  <si>
    <t>2026.3.9</t>
  </si>
  <si>
    <t>2025.12.1-2026.2.28（DWF：2026.1.20-2.28）</t>
  </si>
  <si>
    <t>（2026.1.20-2.28）</t>
  </si>
  <si>
    <t>2026.2.11</t>
  </si>
  <si>
    <t>2025.12.1-2026.1.31（RNF：2025.11.7-2026.1.31）</t>
  </si>
  <si>
    <t>近90天</t>
  </si>
  <si>
    <t>店铺行为时间参考Data Period，因后台限制RNF时间从2025/11/8开始</t>
  </si>
  <si>
    <t>店铺行为时间参考Data Period</t>
  </si>
  <si>
    <t>单品行为时间参考Data Period</t>
  </si>
  <si>
    <t>SP</t>
  </si>
  <si>
    <t>（2025.12.01-1.31）</t>
  </si>
  <si>
    <t>（2025.11.07-2026.1.31）</t>
  </si>
  <si>
    <t>2025.11.7-2016.1.31</t>
  </si>
  <si>
    <t>2026.1.6</t>
  </si>
  <si>
    <t>2025.12.1-12.31</t>
  </si>
  <si>
    <t>（2025.12.01-12.31）</t>
  </si>
  <si>
    <t>2025.12.5-2026.2.28</t>
  </si>
  <si>
    <t>2025.11.7-2025.2.14</t>
  </si>
  <si>
    <t>2025.11.19</t>
  </si>
  <si>
    <t>2025.10.1-2025.11.14</t>
  </si>
  <si>
    <t>(2025.10.01-11.14)</t>
  </si>
  <si>
    <t>2025.11.05</t>
  </si>
  <si>
    <t>2025.10.1-2025.10.31</t>
  </si>
  <si>
    <t>2025.10.29</t>
  </si>
  <si>
    <t>2025.10.1-2025.10.25</t>
  </si>
  <si>
    <t>（2025.10.01-10.26）</t>
  </si>
  <si>
    <t>2025.10.23</t>
  </si>
  <si>
    <t>2025.10.1-2025.10.20</t>
  </si>
  <si>
    <t>2025.10.16</t>
  </si>
  <si>
    <t>2025.10.1-2025.10.12</t>
  </si>
  <si>
    <t>（2025.10.01-10.12）</t>
  </si>
  <si>
    <t>2025.10.9</t>
  </si>
  <si>
    <t>2025.07-09</t>
  </si>
  <si>
    <r>
      <rPr>
        <b/>
        <sz val="11"/>
        <color theme="1" tint="0.14996795556505021"/>
        <rFont val="微软雅黑"/>
        <family val="2"/>
        <charset val="134"/>
      </rPr>
      <t>Actual (全店贡献)</t>
    </r>
    <r>
      <rPr>
        <b/>
        <sz val="11"/>
        <color rgb="FFFF0000"/>
        <rFont val="微软雅黑"/>
        <family val="2"/>
        <charset val="134"/>
      </rPr>
      <t>*</t>
    </r>
  </si>
  <si>
    <t>（2025.07.07-09.02）</t>
  </si>
  <si>
    <t>(2025.07.01-08.31)</t>
  </si>
  <si>
    <t>（2025.08.03-09.02）</t>
  </si>
  <si>
    <t>（2025.08.01-08..29）</t>
  </si>
  <si>
    <t>X5+R3 SET套装价格</t>
  </si>
  <si>
    <t>（2025.07.07-10.05）</t>
  </si>
  <si>
    <t>（2025.07.05-08.29）</t>
  </si>
  <si>
    <t>（2025.07.01-09.30）</t>
  </si>
  <si>
    <t>周期7.1-9.30</t>
  </si>
  <si>
    <t>（2025.09.05-10.05）</t>
  </si>
  <si>
    <t>（2025.09.01-11.11）</t>
  </si>
  <si>
    <t>周期9.1-9.30</t>
  </si>
  <si>
    <t>2025.09.10</t>
  </si>
  <si>
    <t>2025.07-08</t>
  </si>
  <si>
    <t>KOL
（From Mkt)</t>
  </si>
  <si>
    <t>阅读成本
（=红书阅读数/媒体花费）</t>
  </si>
  <si>
    <t>（2025.08.11-09.10）</t>
  </si>
  <si>
    <t>2025.08.11</t>
  </si>
  <si>
    <t>近30天（2025.07.07-08.05）</t>
  </si>
  <si>
    <t>Media</t>
  </si>
  <si>
    <t>Actual (全店贡献)</t>
  </si>
  <si>
    <t>KOL
(from KPS)</t>
  </si>
  <si>
    <t>Total</t>
    <phoneticPr fontId="6" type="noConversion"/>
  </si>
  <si>
    <t>Cream</t>
  </si>
  <si>
    <t>RED KFS对天猫的贡献</t>
  </si>
  <si>
    <t>（2026.07.01~07.31）</t>
    <phoneticPr fontId="6" type="noConversion"/>
  </si>
  <si>
    <t>*SFBP单品购买链接包含羽柔、粉饼、紫饼三个品</t>
    <phoneticPr fontId="6" type="noConversion"/>
  </si>
  <si>
    <t>**客单价受到7月大量【U先试用】小样销售的影响，整体偏低</t>
    <phoneticPr fontId="6" type="noConversion"/>
  </si>
  <si>
    <t>（2026.05.01~06.20)</t>
    <phoneticPr fontId="6" type="noConversion"/>
  </si>
  <si>
    <t>（2026.05.01~06.20）</t>
    <phoneticPr fontId="6" type="noConversion"/>
  </si>
  <si>
    <t>（2026.05.01~06.18）</t>
    <phoneticPr fontId="6" type="noConversion"/>
  </si>
  <si>
    <t>待填写</t>
  </si>
  <si>
    <t>（2026.05.01~06.07)</t>
    <phoneticPr fontId="6" type="noConversion"/>
  </si>
  <si>
    <t>（2026.05.01~06.07）</t>
    <phoneticPr fontId="6" type="noConversion"/>
  </si>
  <si>
    <t>（2026.05.01~05.31)</t>
    <phoneticPr fontId="6" type="noConversion"/>
  </si>
  <si>
    <t>（2026.05.01~05.31）</t>
    <phoneticPr fontId="6" type="noConversion"/>
  </si>
  <si>
    <t>（2026.05.01~05.22)</t>
    <phoneticPr fontId="6" type="noConversion"/>
  </si>
  <si>
    <t>（2026.05.01~05.22）</t>
    <phoneticPr fontId="6" type="noConversion"/>
  </si>
  <si>
    <t>** GMV中包含大量回购券，导致全店客单价较低</t>
  </si>
  <si>
    <t>（2026.05.01~05.16)</t>
    <phoneticPr fontId="6" type="noConversion"/>
  </si>
  <si>
    <t>（2026.05.01~05.16）</t>
  </si>
  <si>
    <t>待填写</t>
    <phoneticPr fontId="6" type="noConversion"/>
  </si>
  <si>
    <t>（2026.01.01~1.31）</t>
  </si>
  <si>
    <t>（2026.01.01~01.31）</t>
  </si>
  <si>
    <r>
      <t xml:space="preserve">KOL Period：
</t>
    </r>
    <r>
      <rPr>
        <sz val="10"/>
        <color theme="0"/>
        <rFont val="微软雅黑"/>
        <family val="2"/>
        <charset val="134"/>
      </rPr>
      <t>SFBP 9.20-10.31
VEFB 10.1-10.31
WSC 10.15-10.31</t>
    </r>
  </si>
  <si>
    <t>* 已check数据，去重数据&gt;未去重为DMP后台数据误差导致，无人为干扰</t>
  </si>
  <si>
    <t>（2025.10.06-10.20）</t>
  </si>
  <si>
    <r>
      <t>Actual (全店贡献)</t>
    </r>
    <r>
      <rPr>
        <b/>
        <sz val="11"/>
        <color rgb="FFFF0000"/>
        <rFont val="Optima LT Std"/>
        <family val="2"/>
      </rPr>
      <t>*</t>
    </r>
  </si>
  <si>
    <r>
      <rPr>
        <sz val="11"/>
        <color theme="1" tint="0.14999847407452621"/>
        <rFont val="微软雅黑"/>
        <family val="2"/>
        <charset val="134"/>
      </rPr>
      <t>（</t>
    </r>
    <r>
      <rPr>
        <sz val="11"/>
        <color theme="1" tint="0.14999847407452621"/>
        <rFont val="Optima LT Std"/>
        <family val="2"/>
      </rPr>
      <t>2025.10.06-10.20</t>
    </r>
    <r>
      <rPr>
        <sz val="11"/>
        <color theme="1" tint="0.14999847407452621"/>
        <rFont val="微软雅黑"/>
        <family val="2"/>
        <charset val="134"/>
      </rPr>
      <t>）</t>
    </r>
  </si>
  <si>
    <t>Category</t>
  </si>
  <si>
    <t>Category</t>
    <phoneticPr fontId="6" type="noConversion"/>
  </si>
  <si>
    <t>Sub-category</t>
  </si>
  <si>
    <t>Sub-category</t>
    <phoneticPr fontId="6" type="noConversion"/>
  </si>
  <si>
    <t>Campaign Type</t>
  </si>
  <si>
    <t>Campaign Type</t>
    <phoneticPr fontId="6" type="noConversion"/>
  </si>
  <si>
    <t>Lip</t>
    <phoneticPr fontId="6" type="noConversion"/>
  </si>
  <si>
    <t>Lotion</t>
    <phoneticPr fontId="6" type="noConversion"/>
  </si>
  <si>
    <t>Cream</t>
    <phoneticPr fontId="6" type="noConversion"/>
  </si>
  <si>
    <t>Foundation</t>
    <phoneticPr fontId="6" type="noConversion"/>
  </si>
  <si>
    <t>NPL</t>
    <phoneticPr fontId="6" type="noConversion"/>
  </si>
  <si>
    <t>Skincare</t>
    <phoneticPr fontId="6" type="noConversion"/>
  </si>
  <si>
    <t>Makeup</t>
    <phoneticPr fontId="6" type="noConversion"/>
  </si>
  <si>
    <t>Essences &amp; Serums</t>
  </si>
  <si>
    <t>Compact Powders</t>
  </si>
  <si>
    <t>Repush/Upgrade</t>
    <phoneticPr fontId="6" type="noConversion"/>
  </si>
  <si>
    <t>Primers</t>
  </si>
  <si>
    <t>Repush</t>
    <phoneticPr fontId="6" type="noConversion"/>
  </si>
  <si>
    <t>07.01~08.31</t>
    <phoneticPr fontId="6" type="noConversion"/>
  </si>
  <si>
    <t>Data Period</t>
    <phoneticPr fontId="6" type="noConversion"/>
  </si>
  <si>
    <t>Product</t>
    <phoneticPr fontId="106" type="noConversion"/>
  </si>
  <si>
    <t>Paid media</t>
    <phoneticPr fontId="6" type="noConversion"/>
  </si>
  <si>
    <t>(2026.05.01-06.18)</t>
    <phoneticPr fontId="6" type="noConversion"/>
  </si>
  <si>
    <t>(2026.05.01-06.20)</t>
    <phoneticPr fontId="6" type="noConversion"/>
  </si>
  <si>
    <t>Red Total Spending</t>
    <phoneticPr fontId="2" type="noConversion"/>
  </si>
  <si>
    <t>（2026.05.01~06.18）</t>
    <phoneticPr fontId="2" type="noConversion"/>
  </si>
  <si>
    <t>Spending Progress</t>
    <phoneticPr fontId="2" type="noConversion"/>
  </si>
  <si>
    <t>(2026.05.01-06.07)</t>
    <phoneticPr fontId="6" type="noConversion"/>
  </si>
  <si>
    <t>(2026.05.01-05.31)</t>
    <phoneticPr fontId="6" type="noConversion"/>
  </si>
  <si>
    <t>(2026.05.01-05.22)</t>
    <phoneticPr fontId="6" type="noConversion"/>
  </si>
  <si>
    <t>Data Period</t>
    <phoneticPr fontId="2" type="noConversion"/>
  </si>
  <si>
    <t>Product</t>
    <phoneticPr fontId="108" type="noConversion"/>
  </si>
  <si>
    <t>Campaign Period</t>
    <phoneticPr fontId="2" type="noConversion"/>
  </si>
  <si>
    <t>媒体花费
（媒体费含税不含AC）</t>
    <phoneticPr fontId="2" type="noConversion"/>
  </si>
  <si>
    <t>Media + KOL</t>
    <phoneticPr fontId="2" type="noConversion"/>
  </si>
  <si>
    <t>Paid media</t>
    <phoneticPr fontId="2" type="noConversion"/>
  </si>
  <si>
    <t>KOL
（from Mkt)</t>
    <phoneticPr fontId="2" type="noConversion"/>
  </si>
  <si>
    <t>红书阅读数</t>
    <phoneticPr fontId="2" type="noConversion"/>
  </si>
  <si>
    <t>阅读成本
（=媒体花费/红书阅读数）</t>
    <phoneticPr fontId="2" type="noConversion"/>
  </si>
  <si>
    <t>(2026.05.01-05.16)</t>
    <phoneticPr fontId="2" type="noConversion"/>
  </si>
  <si>
    <t>(2026.05.01-06.20)</t>
    <phoneticPr fontId="2" type="noConversion"/>
  </si>
  <si>
    <t>(2026.05.01-06.18)</t>
    <phoneticPr fontId="2" type="noConversion"/>
  </si>
  <si>
    <t>Total（未去重）</t>
    <phoneticPr fontId="2" type="noConversion"/>
  </si>
  <si>
    <t>Total（去重）</t>
    <phoneticPr fontId="2" type="noConversion"/>
  </si>
  <si>
    <t>（2026.03.10-05.09）</t>
    <phoneticPr fontId="2" type="noConversion"/>
  </si>
  <si>
    <t>(2026.04.01-05.09)</t>
    <phoneticPr fontId="2" type="noConversion"/>
  </si>
  <si>
    <t>(2026.04.01-06.20)</t>
    <phoneticPr fontId="2" type="noConversion"/>
  </si>
  <si>
    <t>(2026.03.10-05.09)</t>
    <phoneticPr fontId="2" type="noConversion"/>
  </si>
  <si>
    <t>(2026.03.10-06.20)</t>
    <phoneticPr fontId="2" type="noConversion"/>
  </si>
  <si>
    <t>(2026.04.29-05.09)</t>
    <phoneticPr fontId="2" type="noConversion"/>
  </si>
  <si>
    <t>(2026.04.29-06.18)</t>
    <phoneticPr fontId="2" type="noConversion"/>
  </si>
  <si>
    <t>（2026.03.10-05.02）</t>
    <phoneticPr fontId="2" type="noConversion"/>
  </si>
  <si>
    <t>(2026.04.01-05.02)</t>
    <phoneticPr fontId="2" type="noConversion"/>
  </si>
  <si>
    <t>-</t>
    <phoneticPr fontId="2" type="noConversion"/>
  </si>
  <si>
    <t>(2026.03.10-05.02)</t>
    <phoneticPr fontId="2" type="noConversion"/>
  </si>
  <si>
    <t>(2026.04.29-05.02)</t>
    <phoneticPr fontId="2" type="noConversion"/>
  </si>
  <si>
    <t>（2026.03.10-04.30）</t>
    <phoneticPr fontId="2" type="noConversion"/>
  </si>
  <si>
    <t>2026.04.01-04.30</t>
    <phoneticPr fontId="2" type="noConversion"/>
  </si>
  <si>
    <t>2026.04.01-06.20</t>
    <phoneticPr fontId="2" type="noConversion"/>
  </si>
  <si>
    <t>2026.03.10-04.30</t>
    <phoneticPr fontId="2" type="noConversion"/>
  </si>
  <si>
    <t>2026.03.10-06.20</t>
    <phoneticPr fontId="2" type="noConversion"/>
  </si>
  <si>
    <t>2026.04.29-04.30</t>
    <phoneticPr fontId="2" type="noConversion"/>
  </si>
  <si>
    <t>2026.04.29-06.18</t>
    <phoneticPr fontId="2" type="noConversion"/>
  </si>
  <si>
    <t>（2026.01.01-3.08）</t>
    <phoneticPr fontId="2" type="noConversion"/>
  </si>
  <si>
    <t>单品贡献：单品归因(直接成交)</t>
    <phoneticPr fontId="2" type="noConversion"/>
  </si>
  <si>
    <t>进店UV
（=商品页浏览）</t>
    <phoneticPr fontId="2" type="noConversion"/>
  </si>
  <si>
    <t>（2026.02.05-03.08）</t>
    <phoneticPr fontId="2" type="noConversion"/>
  </si>
  <si>
    <t>Total</t>
    <phoneticPr fontId="2" type="noConversion"/>
  </si>
  <si>
    <t>（2026.01.01-1.31）</t>
    <phoneticPr fontId="2" type="noConversion"/>
  </si>
  <si>
    <t>（2026.1.01-1.31）</t>
    <phoneticPr fontId="2" type="noConversion"/>
  </si>
  <si>
    <t>（2025.12.12-2026.01.31）</t>
    <phoneticPr fontId="2" type="noConversion"/>
  </si>
  <si>
    <t>（2025.12.11-2026.01.31）</t>
    <phoneticPr fontId="108" type="noConversion"/>
  </si>
  <si>
    <t>（2025.12.11-12.31）</t>
    <phoneticPr fontId="2" type="noConversion"/>
  </si>
  <si>
    <t>（2025.10.01-11.14）</t>
    <phoneticPr fontId="2" type="noConversion"/>
  </si>
  <si>
    <t>Product</t>
    <phoneticPr fontId="10" type="noConversion"/>
  </si>
  <si>
    <t>媒体花费
（媒体费含税不含AC）</t>
    <phoneticPr fontId="10" type="noConversion"/>
  </si>
  <si>
    <t>（2025.10.01-11.14）</t>
    <phoneticPr fontId="10" type="noConversion"/>
  </si>
  <si>
    <t>（2025.10.01-10.20）</t>
    <phoneticPr fontId="10" type="noConversion"/>
  </si>
  <si>
    <t>（2025.10.01-10.16）</t>
  </si>
  <si>
    <t>（2025.10.02-10.16）</t>
  </si>
  <si>
    <t>（2026.05.01-06.18）</t>
    <phoneticPr fontId="6" type="noConversion"/>
  </si>
  <si>
    <t>（2026.05.01-06.07）</t>
    <phoneticPr fontId="6" type="noConversion"/>
  </si>
  <si>
    <t>（2026.05.01-05.31）</t>
    <phoneticPr fontId="6" type="noConversion"/>
  </si>
  <si>
    <t>（2026.05.01-05.22）</t>
    <phoneticPr fontId="6" type="noConversion"/>
  </si>
  <si>
    <t>（2026.05.01-05.16）</t>
    <phoneticPr fontId="6" type="noConversion"/>
  </si>
  <si>
    <t>(2026.07.08-08.31)</t>
    <phoneticPr fontId="6" type="noConversion"/>
  </si>
  <si>
    <t>2026.7.3-2026.9.30</t>
    <phoneticPr fontId="6" type="noConversion"/>
  </si>
  <si>
    <t>FY27 Monthly E2E Performance Tracking _ ALL Brand Summary</t>
    <phoneticPr fontId="6" type="noConversion"/>
  </si>
  <si>
    <t>Data Scope:</t>
    <phoneticPr fontId="6" type="noConversion"/>
  </si>
  <si>
    <t>（2026.07.08-08.12）</t>
    <phoneticPr fontId="6" type="noConversion"/>
  </si>
  <si>
    <t>（2026.1.01-1.31）</t>
    <phoneticPr fontId="6" type="noConversion"/>
  </si>
  <si>
    <t>（2026.1.01-1.30）</t>
    <phoneticPr fontId="6" type="noConversion"/>
  </si>
  <si>
    <t>Campaign起始日期-2026.07.31</t>
  </si>
  <si>
    <t>* Data Period: Campaign起始日期-2026.08.12</t>
  </si>
  <si>
    <t>2026.09.04</t>
    <phoneticPr fontId="6" type="noConversion"/>
  </si>
  <si>
    <t>Campaign起始日期-2026.08.31</t>
    <phoneticPr fontId="6" type="noConversion"/>
  </si>
  <si>
    <t>2026.9.4</t>
    <phoneticPr fontId="6" type="noConversion"/>
  </si>
  <si>
    <t>2026.6.18-8.31</t>
    <phoneticPr fontId="6" type="noConversion"/>
  </si>
  <si>
    <t>Make up</t>
  </si>
  <si>
    <t>Lip</t>
  </si>
  <si>
    <t>RP+CVD</t>
  </si>
  <si>
    <t>7.14-8.31</t>
  </si>
  <si>
    <t>Liquid Foundation</t>
  </si>
  <si>
    <t>AO</t>
  </si>
  <si>
    <t>7.1-8.31</t>
    <phoneticPr fontId="6" type="noConversion"/>
  </si>
  <si>
    <t>Skincare</t>
  </si>
  <si>
    <t>NPL</t>
  </si>
  <si>
    <t>7.1-11.11</t>
    <phoneticPr fontId="6" type="noConversion"/>
  </si>
  <si>
    <t>30ml</t>
    <phoneticPr fontId="6" type="noConversion"/>
  </si>
  <si>
    <t>6.18-8.31</t>
    <phoneticPr fontId="6" type="noConversion"/>
  </si>
  <si>
    <t>Lotion</t>
  </si>
  <si>
    <t>6.18-7.31</t>
  </si>
  <si>
    <t>2026.6.19-2026.8.31</t>
    <phoneticPr fontId="2" type="noConversion"/>
  </si>
  <si>
    <t>（26.6.19-26.8.31）</t>
    <phoneticPr fontId="6" type="noConversion"/>
  </si>
  <si>
    <t>（2026.6.19-2026.8.31）</t>
    <phoneticPr fontId="6" type="noConversion"/>
  </si>
  <si>
    <t>New Launch</t>
    <phoneticPr fontId="6" type="noConversion"/>
  </si>
  <si>
    <t>2026.6.19-2026.11.11</t>
    <phoneticPr fontId="6" type="noConversion"/>
  </si>
  <si>
    <t>（2026.8.10-2026.8.31）</t>
    <phoneticPr fontId="6" type="noConversion"/>
  </si>
  <si>
    <t>2026.8.10-2026.11.11</t>
    <phoneticPr fontId="6" type="noConversion"/>
  </si>
  <si>
    <t>（2026.7.15-2026.8.21）</t>
    <phoneticPr fontId="6" type="noConversion"/>
  </si>
  <si>
    <t>Cleansing</t>
    <phoneticPr fontId="6" type="noConversion"/>
  </si>
  <si>
    <t>2026.7.15-2026.8.21</t>
    <phoneticPr fontId="6" type="noConversion"/>
  </si>
  <si>
    <t>（2026.6.19-2026.8.31）</t>
  </si>
  <si>
    <t>2026.08.10-08.31</t>
    <phoneticPr fontId="21" type="noConversion"/>
  </si>
  <si>
    <t>Data scope:</t>
    <phoneticPr fontId="6" type="noConversion"/>
  </si>
  <si>
    <t>（2026.08.10-2026.08.31）</t>
    <phoneticPr fontId="6" type="noConversion"/>
  </si>
  <si>
    <t>2026.08.10-2026.09.30</t>
    <phoneticPr fontId="6" type="noConversion"/>
  </si>
  <si>
    <t>（2026.05.01-06.18）</t>
    <phoneticPr fontId="17" type="noConversion"/>
  </si>
  <si>
    <t>Total</t>
    <phoneticPr fontId="17" type="noConversion"/>
  </si>
  <si>
    <t>（2026.05.01-06.07）</t>
    <phoneticPr fontId="17" type="noConversion"/>
  </si>
  <si>
    <t>（2026.05.01-05.31）</t>
    <phoneticPr fontId="17" type="noConversion"/>
  </si>
  <si>
    <t>（2026.05.01-05.22）</t>
    <phoneticPr fontId="17" type="noConversion"/>
  </si>
  <si>
    <t>（2026.05.01-05.16）</t>
    <phoneticPr fontId="17" type="noConversion"/>
  </si>
  <si>
    <t>（2026.03.26-05.09）</t>
    <phoneticPr fontId="6" type="noConversion"/>
  </si>
  <si>
    <t>（2026.03.26-05.09）</t>
    <phoneticPr fontId="17" type="noConversion"/>
  </si>
  <si>
    <t>（2026.03.26-06.18）</t>
  </si>
  <si>
    <t>（2026.03.26-05.02）</t>
    <phoneticPr fontId="6" type="noConversion"/>
  </si>
  <si>
    <t>（2026.03.26-05.02）</t>
    <phoneticPr fontId="17" type="noConversion"/>
  </si>
  <si>
    <t>（2026.03.26-04.30）</t>
    <phoneticPr fontId="6" type="noConversion"/>
  </si>
  <si>
    <t>（2026.03.26-04.30）</t>
    <phoneticPr fontId="17" type="noConversion"/>
  </si>
  <si>
    <t>（2026.01.02-03.08）</t>
    <phoneticPr fontId="6" type="noConversion"/>
  </si>
  <si>
    <t>（2026.01.02-03.08）</t>
    <phoneticPr fontId="106" type="noConversion"/>
  </si>
  <si>
    <t>（2026.01.30-03.08）</t>
    <phoneticPr fontId="6" type="noConversion"/>
  </si>
  <si>
    <t>（2026.01.30-03.08）</t>
    <phoneticPr fontId="106" type="noConversion"/>
  </si>
  <si>
    <t>（2026.01.02-02.28）</t>
    <phoneticPr fontId="6" type="noConversion"/>
  </si>
  <si>
    <t>（2026.01.30-02.28）</t>
    <phoneticPr fontId="6" type="noConversion"/>
  </si>
  <si>
    <t>（2026.01.02-01.31）</t>
    <phoneticPr fontId="6" type="noConversion"/>
  </si>
  <si>
    <t>（2025.10.01-11.14）</t>
    <phoneticPr fontId="17" type="noConversion"/>
  </si>
  <si>
    <t>（2025.10.01-10.31)</t>
    <phoneticPr fontId="17" type="noConversion"/>
  </si>
  <si>
    <t>（2025.10.01-10.31）</t>
    <phoneticPr fontId="17" type="noConversion"/>
  </si>
  <si>
    <t>（2025.10.01-10.25）</t>
    <phoneticPr fontId="17" type="noConversion"/>
  </si>
  <si>
    <t>（2025.10.01-10.20）</t>
    <phoneticPr fontId="17" type="noConversion"/>
  </si>
  <si>
    <t>（2025.10.01-10.15）</t>
    <phoneticPr fontId="17" type="noConversion"/>
  </si>
  <si>
    <t>Remark：</t>
    <phoneticPr fontId="6" type="noConversion"/>
  </si>
  <si>
    <t>*Paid media和KOL均为投放小红星的消耗金额</t>
    <phoneticPr fontId="6" type="noConversion"/>
  </si>
  <si>
    <t>*Actual 全店贡献 数据来源：阿里达摩盘DMP，该平台小红星数据回流时效为T+4（即在小红书上看到一篇内容，要T+4才能回流DMP查看）</t>
    <phoneticPr fontId="6" type="noConversion"/>
  </si>
  <si>
    <t>*后链路转化数据仅为天猫阿里平台数据，且为周期内去重逻辑（不包含全域）；</t>
    <phoneticPr fontId="6" type="noConversion"/>
  </si>
  <si>
    <t>相关指标定义：</t>
    <phoneticPr fontId="6" type="noConversion"/>
  </si>
  <si>
    <t>红书阅读数：统计时间内，通过淘宝联盟星任务投放活动的内容阅读/播放人数</t>
    <phoneticPr fontId="6" type="noConversion"/>
  </si>
  <si>
    <t>进店UV：周期内阅读/播放过淘宝联盟星任务投放活动内容 且 浏览过品牌店铺内类目产品</t>
    <phoneticPr fontId="6" type="noConversion"/>
  </si>
  <si>
    <t>购买人数：周期内阅读/播放过淘宝联盟星任务投放活动内容 且 购买过品牌店铺内类目产品</t>
    <phoneticPr fontId="6" type="noConversion"/>
  </si>
  <si>
    <t>渠道新客数：周期内阅读/播放过淘宝联盟星任务投放活动内容 并 购买过品牌店铺内类目产品  且 时间窗口前1年未有过品牌店铺内类目产品购买行为</t>
    <phoneticPr fontId="6" type="noConversion"/>
  </si>
  <si>
    <t>2026.07.08-2026.08.31</t>
    <phoneticPr fontId="2" type="noConversion"/>
  </si>
  <si>
    <t>（2026.07.08-08.31）</t>
    <phoneticPr fontId="6" type="noConversion"/>
  </si>
  <si>
    <t xml:space="preserve">Data Period: </t>
    <phoneticPr fontId="6" type="noConversion"/>
  </si>
  <si>
    <t>2026.08.01-08.31</t>
    <phoneticPr fontId="6" type="noConversion"/>
  </si>
  <si>
    <t>（2026.08.01-08.31）</t>
    <phoneticPr fontId="6" type="noConversion"/>
  </si>
  <si>
    <t>小红星</t>
    <phoneticPr fontId="6" type="noConversion"/>
  </si>
  <si>
    <t>(2026.08.01-08.31)</t>
    <phoneticPr fontId="6" type="noConversion"/>
  </si>
  <si>
    <t>(2026.05.01-06.18)</t>
    <phoneticPr fontId="17" type="noConversion"/>
  </si>
  <si>
    <t>(2026.05.13-06.18)</t>
    <phoneticPr fontId="6" type="noConversion"/>
  </si>
  <si>
    <t>(2026.05.01-06.07)</t>
    <phoneticPr fontId="17" type="noConversion"/>
  </si>
  <si>
    <t>(2026.05.13-06.07)</t>
    <phoneticPr fontId="6" type="noConversion"/>
  </si>
  <si>
    <t>(2026.05.01-05.31)</t>
    <phoneticPr fontId="17" type="noConversion"/>
  </si>
  <si>
    <t>(2026.05.13-05.31)</t>
    <phoneticPr fontId="6" type="noConversion"/>
  </si>
  <si>
    <t>(2026.05.01-05.22)</t>
    <phoneticPr fontId="17" type="noConversion"/>
  </si>
  <si>
    <t>(2026.05.01-05.16)</t>
    <phoneticPr fontId="17" type="noConversion"/>
  </si>
  <si>
    <t>(2026.05.01-05.16)</t>
    <phoneticPr fontId="6" type="noConversion"/>
  </si>
  <si>
    <t>(2026.04.22-05.09)</t>
    <phoneticPr fontId="17" type="noConversion"/>
  </si>
  <si>
    <t>(2026.04.22-05.09)</t>
    <phoneticPr fontId="6" type="noConversion"/>
  </si>
  <si>
    <t>(2026.04.22-06.18)</t>
    <phoneticPr fontId="6" type="noConversion"/>
  </si>
  <si>
    <t>(2026.04.22-05.02)</t>
    <phoneticPr fontId="17" type="noConversion"/>
  </si>
  <si>
    <t>(2026.04.22-05.02)</t>
    <phoneticPr fontId="6" type="noConversion"/>
  </si>
  <si>
    <t>（2026.04.22-04.30）</t>
    <phoneticPr fontId="17" type="noConversion"/>
  </si>
  <si>
    <t>(2026.04.22-04.30)</t>
    <phoneticPr fontId="6" type="noConversion"/>
  </si>
  <si>
    <t>（2026.02.01-03.08）</t>
    <phoneticPr fontId="17" type="noConversion"/>
  </si>
  <si>
    <t>(2026.02.01-03.08)</t>
    <phoneticPr fontId="6" type="noConversion"/>
  </si>
  <si>
    <t>（2026.02.01-03.08）</t>
    <phoneticPr fontId="6" type="noConversion"/>
  </si>
  <si>
    <t>（2025.10.01- 11.14）</t>
    <phoneticPr fontId="17" type="noConversion"/>
  </si>
  <si>
    <t>(2025.10.01-11.14）</t>
    <phoneticPr fontId="17" type="noConversion"/>
  </si>
  <si>
    <t>(2025.10.01-10.31)</t>
  </si>
  <si>
    <t>(2025.10.01-10.25)</t>
  </si>
  <si>
    <t>(2025.10.01-10.20)</t>
    <phoneticPr fontId="17" type="noConversion"/>
  </si>
  <si>
    <t>-</t>
    <phoneticPr fontId="17" type="noConversion"/>
  </si>
  <si>
    <t>渠道新客数</t>
    <phoneticPr fontId="17" type="noConversion"/>
  </si>
  <si>
    <t>渠道新客占比
(=渠道新客/购买人数)</t>
    <phoneticPr fontId="17" type="noConversion"/>
  </si>
  <si>
    <t>获客成本
（=媒体花费/购买人数）</t>
    <phoneticPr fontId="17" type="noConversion"/>
  </si>
  <si>
    <t>新客成本
(=媒体花费/渠道新客数)</t>
    <phoneticPr fontId="17" type="noConversion"/>
  </si>
  <si>
    <t>预估新客GMV
(=全店客单价*新客数)</t>
    <phoneticPr fontId="17" type="noConversion"/>
  </si>
  <si>
    <t>预估整体新客ROI
(=新客GMV/媒体花费)</t>
    <phoneticPr fontId="17" type="noConversion"/>
  </si>
  <si>
    <t>Remark：</t>
    <phoneticPr fontId="17" type="noConversion"/>
  </si>
  <si>
    <t>*Paid media和KOL均为投放小红星的消耗金额</t>
    <phoneticPr fontId="17" type="noConversion"/>
  </si>
  <si>
    <t>*Actual 全店贡献 数据来源：阿里达摩盘DMP，该平台小红星数据回流时效为T+4（即在小红书上看到一篇内容，要T+4才能回流DMP查看）</t>
    <phoneticPr fontId="17" type="noConversion"/>
  </si>
  <si>
    <t>*后链路转化数据仅为天猫阿里平台数据，且为周期内去重逻辑（不包含全域）；</t>
    <phoneticPr fontId="17" type="noConversion"/>
  </si>
  <si>
    <t>相关指标定义：</t>
    <phoneticPr fontId="17" type="noConversion"/>
  </si>
  <si>
    <t>红书阅读数：统计时间内，通过淘宝联盟星任务投放活动的内容阅读/播放人数</t>
    <phoneticPr fontId="17" type="noConversion"/>
  </si>
  <si>
    <t>进店UV：周期内阅读/播放过淘宝联盟星任务投放活动内容 且 浏览过品牌店铺内类目产品</t>
    <phoneticPr fontId="17" type="noConversion"/>
  </si>
  <si>
    <t>购买人数：周期内阅读/播放过淘宝联盟星任务投放活动内容 且 购买过品牌店铺内类目产品</t>
    <phoneticPr fontId="17" type="noConversion"/>
  </si>
  <si>
    <t>渠道新客数：周期内阅读/播放过淘宝联盟星任务投放活动内容 并 购买过品牌店铺内类目产品  且 时间窗口前1年未有过品牌店铺内类目产品购买行为</t>
    <phoneticPr fontId="17" type="noConversion"/>
  </si>
  <si>
    <t xml:space="preserve">Updated: </t>
    <phoneticPr fontId="2" type="noConversion"/>
  </si>
  <si>
    <t>2026.09.04</t>
    <phoneticPr fontId="2" type="noConversion"/>
  </si>
  <si>
    <t>Data Period:</t>
    <phoneticPr fontId="2" type="noConversion"/>
  </si>
  <si>
    <t>2026.07.01~08.31</t>
    <phoneticPr fontId="2" type="noConversion"/>
  </si>
  <si>
    <t>Data scope:</t>
    <phoneticPr fontId="2" type="noConversion"/>
  </si>
  <si>
    <t>Category</t>
    <phoneticPr fontId="17" type="noConversion"/>
  </si>
  <si>
    <t>Paid media
(from EM)</t>
    <phoneticPr fontId="39" type="noConversion"/>
  </si>
  <si>
    <t>阅读成本
（=红书阅读数/媒体花费）</t>
    <phoneticPr fontId="2" type="noConversion"/>
  </si>
  <si>
    <t>进店率
（=进店UV/阅读数)</t>
    <phoneticPr fontId="2" type="noConversion"/>
  </si>
  <si>
    <t>购买转化率
(=购买人数/进店数)</t>
    <phoneticPr fontId="2" type="noConversion"/>
  </si>
  <si>
    <t>购买人数</t>
    <phoneticPr fontId="2" type="noConversion"/>
  </si>
  <si>
    <t>渠道新客数</t>
    <phoneticPr fontId="2" type="noConversion"/>
  </si>
  <si>
    <t>渠道新客占比
(=渠道新客/购买人数)</t>
    <phoneticPr fontId="2" type="noConversion"/>
  </si>
  <si>
    <t>获客成本
（=媒体花费/购买人数）</t>
    <phoneticPr fontId="2" type="noConversion"/>
  </si>
  <si>
    <t>新客成本
(=媒体花费/渠道新客数)</t>
    <phoneticPr fontId="2" type="noConversion"/>
  </si>
  <si>
    <t>预估新客GMV
(=全店客单价*新客数)</t>
    <phoneticPr fontId="2" type="noConversion"/>
  </si>
  <si>
    <t>预估整体新客ROI
(=新客GMV/媒体花费)</t>
    <phoneticPr fontId="2" type="noConversion"/>
  </si>
  <si>
    <t>全店新客客单价</t>
    <phoneticPr fontId="2" type="noConversion"/>
  </si>
  <si>
    <t>购买*</t>
    <phoneticPr fontId="2" type="noConversion"/>
  </si>
  <si>
    <t>渠道新客</t>
    <phoneticPr fontId="2" type="noConversion"/>
  </si>
  <si>
    <t>渠道新客%</t>
    <phoneticPr fontId="2" type="noConversion"/>
  </si>
  <si>
    <t>预估新客GMV</t>
    <phoneticPr fontId="2" type="noConversion"/>
  </si>
  <si>
    <t>预估新客ROI</t>
    <phoneticPr fontId="2" type="noConversion"/>
  </si>
  <si>
    <t>（2026.07.01~08.31）</t>
    <phoneticPr fontId="6" type="noConversion"/>
  </si>
  <si>
    <t>07.01~09.14</t>
    <phoneticPr fontId="6" type="noConversion"/>
  </si>
  <si>
    <t>（2026.07.01~07.31)</t>
    <phoneticPr fontId="6" type="noConversion"/>
  </si>
  <si>
    <t>全店新客客单价**</t>
    <phoneticPr fontId="2" type="noConversion"/>
  </si>
  <si>
    <t>（2026.07.01~07.31）</t>
    <phoneticPr fontId="2" type="noConversion"/>
  </si>
  <si>
    <t>Product</t>
    <phoneticPr fontId="2" type="noConversion"/>
  </si>
  <si>
    <t>Paid media
(from EM)</t>
    <phoneticPr fontId="2" type="noConversion"/>
  </si>
  <si>
    <t>进店UV*
（=商品页浏览）</t>
    <phoneticPr fontId="2" type="noConversion"/>
  </si>
  <si>
    <t>渠道新客*</t>
    <phoneticPr fontId="2" type="noConversion"/>
  </si>
  <si>
    <t>（2026.05.01~06.20）</t>
    <phoneticPr fontId="2" type="noConversion"/>
  </si>
  <si>
    <t>（2026.05.01~06.07）</t>
    <phoneticPr fontId="2" type="noConversion"/>
  </si>
  <si>
    <t>（2026.05.01~05.31）</t>
    <phoneticPr fontId="2" type="noConversion"/>
  </si>
  <si>
    <t>（2026.05.01~05.22）</t>
    <phoneticPr fontId="2" type="noConversion"/>
  </si>
  <si>
    <t>* 已check数据，去重数据&gt;未去重为DMP后台数据误差导致，无人为干扰</t>
    <phoneticPr fontId="2" type="noConversion"/>
  </si>
  <si>
    <t>（2026.05.01~05.16）</t>
    <phoneticPr fontId="2" type="noConversion"/>
  </si>
  <si>
    <t>** GMV中包含大量回购券，导致全店客单价较低</t>
    <phoneticPr fontId="2" type="noConversion"/>
  </si>
  <si>
    <t>（Campaign开始~05.09)</t>
    <phoneticPr fontId="2" type="noConversion"/>
  </si>
  <si>
    <t>（2026.03.15~05.09）</t>
    <phoneticPr fontId="2" type="noConversion"/>
  </si>
  <si>
    <t>（2026.03.15~05.30）</t>
    <phoneticPr fontId="2" type="noConversion"/>
  </si>
  <si>
    <t>（2026.05.01~05.09）</t>
    <phoneticPr fontId="2" type="noConversion"/>
  </si>
  <si>
    <t>（2026.01.10~03.08）</t>
    <phoneticPr fontId="2" type="noConversion"/>
  </si>
  <si>
    <t>（2026.02.15~03.08）</t>
    <phoneticPr fontId="2" type="noConversion"/>
  </si>
  <si>
    <t>(2026.02.15~03.08)</t>
    <phoneticPr fontId="2" type="noConversion"/>
  </si>
  <si>
    <t>(2026.01.10~03.08)</t>
    <phoneticPr fontId="2" type="noConversion"/>
  </si>
  <si>
    <t>（2026.01.10~02.28）</t>
    <phoneticPr fontId="2" type="noConversion"/>
  </si>
  <si>
    <t>（2026.02.15~2.28）</t>
    <phoneticPr fontId="2" type="noConversion"/>
  </si>
  <si>
    <t>（2026.01.10~2.28）</t>
    <phoneticPr fontId="2" type="noConversion"/>
  </si>
  <si>
    <t>（2026.01.01~01.31）</t>
    <phoneticPr fontId="2" type="noConversion"/>
  </si>
  <si>
    <t>（2025.10.01-10.31）</t>
    <phoneticPr fontId="2" type="noConversion"/>
  </si>
  <si>
    <t>* 因后台数据丢失，无法直接tracking10.1-10.05的数据</t>
    <phoneticPr fontId="2" type="noConversion"/>
  </si>
  <si>
    <t>2026.07.01-2026.08.26</t>
    <phoneticPr fontId="39" type="noConversion"/>
  </si>
  <si>
    <t>（2026.07.01-08.26）</t>
    <phoneticPr fontId="39" type="noConversion"/>
  </si>
  <si>
    <t>Fragrance</t>
    <phoneticPr fontId="39" type="noConversion"/>
  </si>
  <si>
    <t>repush</t>
    <phoneticPr fontId="39" type="noConversion"/>
  </si>
  <si>
    <t>* SPD为7月+8月金额</t>
    <phoneticPr fontId="39" type="noConversion"/>
  </si>
  <si>
    <t>2026.09.04</t>
    <phoneticPr fontId="39" type="noConversion"/>
  </si>
  <si>
    <t>2026.07.01-2026.08.31</t>
    <phoneticPr fontId="39" type="noConversion"/>
  </si>
  <si>
    <t>（2026.07.01-08.31）</t>
    <phoneticPr fontId="39" type="noConversion"/>
  </si>
  <si>
    <t>NPL</t>
    <phoneticPr fontId="39" type="noConversion"/>
  </si>
  <si>
    <t>*Actual 全店贡献 数据来源：阿里达摩盘DMP，该平台小红星数据回流时效为T+4（即在小红书上看到一篇内容，要T+4才能回流DMP查看）；同时小红星相关回流数据无法自定义时间，圈选时间窗口仅为R15/30/90天，故数据可能无法精确匹配campaign周期；</t>
    <phoneticPr fontId="6" type="noConversion"/>
  </si>
  <si>
    <t>E2E Monthly Performance Tracking _Lab</t>
    <phoneticPr fontId="6" type="noConversion"/>
  </si>
  <si>
    <t>2026.8.1-8.31</t>
    <phoneticPr fontId="21" type="noConversion"/>
  </si>
  <si>
    <t>（2026.8.1-2026.8.31）</t>
    <phoneticPr fontId="6" type="noConversion"/>
  </si>
  <si>
    <t>Men skincare</t>
  </si>
  <si>
    <t>2026.8.1-2026.8.31</t>
    <phoneticPr fontId="6" type="noConversion"/>
  </si>
  <si>
    <t>(2026.05.20-06.18)</t>
    <phoneticPr fontId="17" type="noConversion"/>
  </si>
  <si>
    <t>（2026.05.20-06.18）</t>
  </si>
  <si>
    <t>（2026.05.06-06.18）</t>
  </si>
  <si>
    <t>(2026.05.20-06.07)</t>
    <phoneticPr fontId="17" type="noConversion"/>
  </si>
  <si>
    <t>（2026.05.20-06.07）</t>
  </si>
  <si>
    <t>(2026.05.20-05.31)</t>
    <phoneticPr fontId="17" type="noConversion"/>
  </si>
  <si>
    <t>（2026.05.20-05.31）</t>
  </si>
  <si>
    <t>(2026.05.20-05.22)</t>
    <phoneticPr fontId="17" type="noConversion"/>
  </si>
  <si>
    <t>（2026.05.20-05.22）</t>
  </si>
  <si>
    <t>KOL Period:
10.1-10.31</t>
    <phoneticPr fontId="6" type="noConversion"/>
  </si>
  <si>
    <t>TBD</t>
    <phoneticPr fontId="17" type="noConversion"/>
  </si>
  <si>
    <t>Campaign起始日期-2026.8.31</t>
    <phoneticPr fontId="6" type="noConversion"/>
  </si>
  <si>
    <t xml:space="preserve"> *Actual 全店贡献 数据来源：阿里达摩盘DMP，该平台小红星数据回流时效为T+4（即在小红书上看到一篇内容，要T+4才能回流DMP查看）；同时小红星相关回流数据无法自定义时间，圈选时间窗口仅为R15/30/90天，故数据可能无法精确匹配campaign周期； </t>
  </si>
  <si>
    <t xml:space="preserve"> *后链路转化数据仅为天猫阿里平台数据，且为周期内去重逻辑（不包含全域）； </t>
  </si>
  <si>
    <t>2026.07.01-2026.08.31</t>
    <phoneticPr fontId="6" type="noConversion"/>
  </si>
  <si>
    <t>RED KFS对天猫的贡献(全店归因)</t>
  </si>
  <si>
    <t>（2026.07.01-2026.08.31)</t>
    <phoneticPr fontId="6" type="noConversion"/>
  </si>
  <si>
    <t>媒体花费
  （媒体费含税不含AC）</t>
  </si>
  <si>
    <r>
      <t>Actual (全店贡献)</t>
    </r>
    <r>
      <rPr>
        <b/>
        <sz val="11"/>
        <color rgb="FFFF0000"/>
        <rFont val="等线"/>
        <family val="3"/>
        <charset val="134"/>
      </rPr>
      <t>*</t>
    </r>
  </si>
  <si>
    <t>Paid media
  (from EM)</t>
  </si>
  <si>
    <t>阅读成本
  （=媒体花费/红书阅读数）</t>
  </si>
  <si>
    <t>进店UV
  （=商品页浏览）</t>
  </si>
  <si>
    <t>进店率
  （=进店UV/阅读数)</t>
  </si>
  <si>
    <t>购买转化率
  (=购买人数/进店数)</t>
  </si>
  <si>
    <t>渠道新客占比
  (=渠道新客/购买人数)</t>
  </si>
  <si>
    <t>获客成本
  （=媒体花费/购买人数）</t>
  </si>
  <si>
    <t>新客成本
  (=媒体花费/渠道新客数)</t>
  </si>
  <si>
    <t>预估新客GMV
  (=全店客单价*新客数)</t>
  </si>
  <si>
    <t>预估整体新客ROI
  (=新客GMV/媒体花费)</t>
  </si>
  <si>
    <t>（2026.07.03-08.31)</t>
    <phoneticPr fontId="6" type="noConversion"/>
  </si>
  <si>
    <t>Creams</t>
    <phoneticPr fontId="6" type="noConversion"/>
  </si>
  <si>
    <t>Repush/Reno</t>
  </si>
  <si>
    <t>07.03-09.15</t>
    <phoneticPr fontId="6" type="noConversion"/>
  </si>
  <si>
    <t>（2026.07.13-08.31)</t>
    <phoneticPr fontId="6" type="noConversion"/>
  </si>
  <si>
    <t>07.13-09.15</t>
  </si>
  <si>
    <t>（2026.07.01-2026.07.31)</t>
  </si>
  <si>
    <t>（2026.07.13-07.31)</t>
  </si>
  <si>
    <t>&lt;200</t>
  </si>
  <si>
    <t>&lt;200</t>
    <phoneticPr fontId="6" type="noConversion"/>
  </si>
  <si>
    <t>#VALUE!</t>
  </si>
  <si>
    <t>（2026.04.21-2026.05.09)</t>
  </si>
  <si>
    <t>（2026.04.21-05.09)</t>
  </si>
  <si>
    <t>（2026.04.21-06.30)</t>
  </si>
  <si>
    <t>（2026.04.21-2026.05.02)</t>
  </si>
  <si>
    <t>（2026.04.21-05.02)</t>
  </si>
  <si>
    <t>（2026.02.1-2026.03.08)</t>
  </si>
  <si>
    <t>（2025.12.26-02.15)</t>
  </si>
  <si>
    <t>（2026.02.15-03.08)</t>
  </si>
  <si>
    <t>（2026.02.15-03.31)</t>
  </si>
  <si>
    <t>（2026.02.01-04.07)</t>
  </si>
  <si>
    <t>（2026.02.01-04.30)</t>
  </si>
  <si>
    <t>* REC新品上市周期不同，单独取数</t>
  </si>
  <si>
    <t>（2026.01.01-2026.01.31）</t>
  </si>
  <si>
    <t>2025.01.01-01.31</t>
  </si>
  <si>
    <t>（2025.12.26-2026.02.15)</t>
  </si>
  <si>
    <t>（2025.10.01-11.14)</t>
  </si>
  <si>
    <t>（2025.10.01-10.31)</t>
  </si>
  <si>
    <t>（2025.10.01-10.25)</t>
  </si>
  <si>
    <t>（2025.10.01-10.20)</t>
  </si>
  <si>
    <t>（2025.10.01-10.12)</t>
  </si>
  <si>
    <r>
      <rPr>
        <sz val="11"/>
        <color rgb="FF262626"/>
        <rFont val="等线"/>
        <family val="3"/>
        <charset val="134"/>
      </rPr>
      <t xml:space="preserve"> </t>
    </r>
  </si>
  <si>
    <t>品牌A</t>
  </si>
  <si>
    <t>品牌B</t>
  </si>
  <si>
    <t>品牌C</t>
  </si>
  <si>
    <t>品牌D</t>
  </si>
  <si>
    <t>品牌E</t>
  </si>
  <si>
    <t>品牌F</t>
  </si>
  <si>
    <t>品牌G</t>
  </si>
  <si>
    <t>品牌H</t>
  </si>
  <si>
    <t>品牌I</t>
  </si>
  <si>
    <t>品牌J</t>
  </si>
  <si>
    <t>品牌K</t>
  </si>
  <si>
    <t>品牌L</t>
  </si>
  <si>
    <t>品牌M</t>
  </si>
  <si>
    <t>品牌组合 护肤 Ave.</t>
  </si>
  <si>
    <t>品牌组合 FRAG. Ave.</t>
  </si>
  <si>
    <t>品牌组合 彩妆 Ave.</t>
  </si>
  <si>
    <t>品牌组合 Ave.</t>
  </si>
  <si>
    <t>* 品牌K彩妆在618期间暂小红星投资</t>
  </si>
  <si>
    <t>品牌组合 Haircare Ave.</t>
  </si>
  <si>
    <t>Monthly E2E Performance Tracking _ 品牌A（Y26 08）</t>
  </si>
  <si>
    <t>*本次跨域计划名称包含：产品A，故计算为三个品合计</t>
  </si>
  <si>
    <t>产品A</t>
  </si>
  <si>
    <t>产品B</t>
  </si>
  <si>
    <t>产品C</t>
  </si>
  <si>
    <t>产品D</t>
  </si>
  <si>
    <t>Monthly E2E Performance Tracking _ 品牌A（Y26 07）</t>
  </si>
  <si>
    <t>产品E</t>
  </si>
  <si>
    <t>Weekly E2E Performance Tracking _ 品牌A（618campaign Week7）</t>
  </si>
  <si>
    <t>产品F</t>
  </si>
  <si>
    <t>产品G</t>
  </si>
  <si>
    <t>产品H</t>
  </si>
  <si>
    <t>产品I</t>
  </si>
  <si>
    <t>产品J</t>
  </si>
  <si>
    <t>产品K</t>
  </si>
  <si>
    <t>产品L</t>
  </si>
  <si>
    <t>产品M</t>
  </si>
  <si>
    <t>产品N</t>
  </si>
  <si>
    <t>Weekly E2E Performance Tracking _ 品牌A（618campaign Week6）</t>
  </si>
  <si>
    <t>Weekly E2E Performance Tracking _ 品牌A（618campaign Week5）</t>
  </si>
  <si>
    <t>Weekly E2E Performance Tracking _ 品牌A（618campaign Week4）</t>
  </si>
  <si>
    <t>Weekly E2E Performance Tracking _ 品牌A（618campaign Week3）</t>
  </si>
  <si>
    <t>Weekly E2E Performance Tracking _ 品牌A（618campaign Week2）</t>
  </si>
  <si>
    <t>Weekly E2E Performance Tracking _ 品牌A（618campaign）</t>
  </si>
  <si>
    <t>产品O</t>
  </si>
  <si>
    <t>Monthly E2E Performance Tracking _ 品牌A（Y26 04）</t>
  </si>
  <si>
    <t>产品P</t>
  </si>
  <si>
    <t>产品Q</t>
  </si>
  <si>
    <t>Monthly E2E Performance Tracking _ 品牌A</t>
  </si>
  <si>
    <t>产品R</t>
  </si>
  <si>
    <t>产品S</t>
  </si>
  <si>
    <t>产品T</t>
  </si>
  <si>
    <t>产品U</t>
  </si>
  <si>
    <t>产品V</t>
  </si>
  <si>
    <t>产品W</t>
  </si>
  <si>
    <t>产品X</t>
  </si>
  <si>
    <t>品牌组合 护肤 7-8月 ave.</t>
  </si>
  <si>
    <t>品牌组合 护肤 lux 7-8月 ave.</t>
  </si>
  <si>
    <t>品牌组合 彩妆 7-8月 ave.</t>
  </si>
  <si>
    <t>产品Y</t>
  </si>
  <si>
    <t>产品Z</t>
  </si>
  <si>
    <t>产品AA</t>
  </si>
  <si>
    <t>产品AB</t>
  </si>
  <si>
    <t>产品AC</t>
  </si>
  <si>
    <t>产品AD</t>
  </si>
  <si>
    <t>产品AE</t>
  </si>
  <si>
    <t>产品AF</t>
  </si>
  <si>
    <t>产品AG</t>
  </si>
  <si>
    <t>产品AH</t>
  </si>
  <si>
    <t>产品AI</t>
  </si>
  <si>
    <t>产品AJ</t>
  </si>
  <si>
    <t>产品AK</t>
  </si>
  <si>
    <t>产品AL</t>
  </si>
  <si>
    <t>产品AM</t>
  </si>
  <si>
    <t>产品AN</t>
  </si>
  <si>
    <t>产品AO</t>
  </si>
  <si>
    <t>产品AP</t>
  </si>
  <si>
    <t>产品AQ</t>
  </si>
  <si>
    <t>产品AR</t>
  </si>
  <si>
    <t>品牌A新产品AE</t>
  </si>
  <si>
    <t>品牌A白金级奢宠光璨精华粉底液</t>
  </si>
  <si>
    <t>Monthly E2E Performance Tracking _ 品牌B</t>
  </si>
  <si>
    <t>产品AS</t>
  </si>
  <si>
    <t>产品AT</t>
  </si>
  <si>
    <t>产品AU</t>
  </si>
  <si>
    <t>产品AV</t>
  </si>
  <si>
    <t>产品AW</t>
  </si>
  <si>
    <t>产品AX</t>
  </si>
  <si>
    <t>产品AY</t>
  </si>
  <si>
    <t>E2E Monthly Performance Tracking _ 品牌C</t>
  </si>
  <si>
    <t>产品AZ</t>
  </si>
  <si>
    <t>产品BA</t>
  </si>
  <si>
    <t>产品BB</t>
  </si>
  <si>
    <t>产品BC</t>
  </si>
  <si>
    <t>产品BD</t>
  </si>
  <si>
    <t>产品BE</t>
  </si>
  <si>
    <t>产品BF</t>
  </si>
  <si>
    <t>产品BG</t>
  </si>
  <si>
    <t>产品BH</t>
  </si>
  <si>
    <t>产品BI</t>
  </si>
  <si>
    <t>产品BJ</t>
  </si>
  <si>
    <t>E2E Monthly Performance Tracking _ 品牌D</t>
  </si>
  <si>
    <t>产品BK</t>
  </si>
  <si>
    <t>产品BL</t>
  </si>
  <si>
    <t>产品BM</t>
  </si>
  <si>
    <t>产品BN</t>
  </si>
  <si>
    <t>E2E Monthly Performance Tracking _ 品牌E</t>
  </si>
  <si>
    <t>产品BO</t>
  </si>
  <si>
    <t>产品BP</t>
  </si>
  <si>
    <t>产品BQ</t>
  </si>
  <si>
    <t>产品BR</t>
  </si>
  <si>
    <t>产品BS</t>
  </si>
  <si>
    <t>E2E Monthly Performance Tracking _ 品牌F</t>
  </si>
  <si>
    <t>产品BT</t>
  </si>
  <si>
    <t>产品BU</t>
  </si>
  <si>
    <t>产品BV</t>
  </si>
  <si>
    <t>产品BW</t>
  </si>
  <si>
    <t>产品BX</t>
  </si>
  <si>
    <t>产品BY</t>
  </si>
  <si>
    <t>产品BZ</t>
  </si>
  <si>
    <t>*因品牌G笔记是不分品线，故TTL计算</t>
  </si>
  <si>
    <t>产品CA</t>
  </si>
  <si>
    <t>产品CB</t>
  </si>
  <si>
    <t>产品CC</t>
  </si>
  <si>
    <t>E2E Monthly Performance Tracking _ 品牌J</t>
  </si>
  <si>
    <t>产品CD</t>
  </si>
  <si>
    <t>产品CE</t>
  </si>
  <si>
    <t>产品CF</t>
  </si>
  <si>
    <t>产品CG</t>
  </si>
  <si>
    <t>产品CH</t>
  </si>
  <si>
    <t>*产品CI主链接在DMP中检索不到，故无法计算单品维度数据</t>
  </si>
  <si>
    <t>产品CI</t>
  </si>
  <si>
    <t>产品CJ</t>
  </si>
  <si>
    <t>E2E Monthly Performance Tracking _ 品牌K</t>
  </si>
  <si>
    <t>产品CK</t>
  </si>
  <si>
    <t>产品CL</t>
  </si>
  <si>
    <t>产品CM</t>
  </si>
  <si>
    <t>产品CN</t>
  </si>
  <si>
    <t>E2E Monthly Performance Tracking _ 品牌M</t>
  </si>
  <si>
    <t>产品CO</t>
  </si>
  <si>
    <t>产品CP</t>
  </si>
  <si>
    <t>产品CQ</t>
  </si>
  <si>
    <t>产品CR</t>
  </si>
  <si>
    <t>产品CS</t>
  </si>
  <si>
    <t>产品CT</t>
  </si>
  <si>
    <t xml:space="preserve">*包含 品牌A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</si>
</sst>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&quot;¥&quot;#,##0_);[Red]\(&quot;¥&quot;#,##0\)"/>
    <numFmt numFmtId="177" formatCode="_(* #,##0.00_);_(* \(#,##0.00\);_(* &quot;-&quot;??_);_(@_)"/>
    <numFmt numFmtId="178" formatCode="0.0"/>
    <numFmt numFmtId="179" formatCode="0.0%"/>
    <numFmt numFmtId="180" formatCode="0_);[Red]\(0\)"/>
    <numFmt numFmtId="181" formatCode="0.00_);[Red]\(0.00\)"/>
    <numFmt numFmtId="182" formatCode="#,##0_ "/>
    <numFmt numFmtId="183" formatCode="#,##0.0_ "/>
    <numFmt numFmtId="184" formatCode="0.0_);[Red]\(0.0\)"/>
    <numFmt numFmtId="185" formatCode="_ * #,##0_ ;_ * \-#,##0_ ;_ * &quot;-&quot;??_ ;_ @_ "/>
    <numFmt numFmtId="186" formatCode="#,##0.0"/>
    <numFmt numFmtId="187" formatCode="&quot;¥&quot;#,##0"/>
    <numFmt numFmtId="188" formatCode="#,##0;[Red]#,##0"/>
    <numFmt numFmtId="189" formatCode="#,##0.00_ "/>
    <numFmt numFmtId="190" formatCode="\¥#,##0;[Red]\¥\-#,##0"/>
    <numFmt numFmtId="191" formatCode="[$-F800]dddd\,\ mmmm\ dd\,\ yyyy"/>
    <numFmt numFmtId="192" formatCode="\¥#,##0;[Red]\(\¥#,##0\)"/>
  </numFmts>
  <fonts count="138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 tint="0.14993743705557422"/>
      <name val="微软雅黑"/>
      <family val="2"/>
      <charset val="134"/>
    </font>
    <font>
      <b/>
      <sz val="11"/>
      <color theme="1" tint="0.14990691854609822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262626"/>
      <name val="微软雅黑"/>
      <family val="2"/>
      <charset val="134"/>
    </font>
    <font>
      <sz val="11"/>
      <color theme="1" tint="0.14993743705557422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b/>
      <sz val="11"/>
      <color theme="1" tint="0.1499679555650502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 tint="0.14996795556505021"/>
      <name val="微软雅黑"/>
      <family val="2"/>
      <charset val="134"/>
    </font>
    <font>
      <b/>
      <sz val="11"/>
      <color rgb="FF262626"/>
      <name val="微软雅黑"/>
      <family val="2"/>
      <charset val="134"/>
    </font>
    <font>
      <sz val="9"/>
      <name val="等线"/>
      <family val="3"/>
      <charset val="134"/>
    </font>
    <font>
      <i/>
      <sz val="10"/>
      <color rgb="FF808080"/>
      <name val="微软雅黑"/>
      <family val="2"/>
      <charset val="134"/>
    </font>
    <font>
      <sz val="11"/>
      <color theme="1" tint="0.14999847407452621"/>
      <name val="微软雅黑"/>
      <family val="2"/>
      <charset val="134"/>
    </font>
    <font>
      <b/>
      <sz val="11"/>
      <color theme="1" tint="0.14999847407452621"/>
      <name val="微软雅黑"/>
      <family val="2"/>
      <charset val="134"/>
    </font>
    <font>
      <sz val="12"/>
      <color rgb="FF0000FF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b/>
      <sz val="16"/>
      <color rgb="FF262626"/>
      <name val="微软雅黑"/>
      <family val="2"/>
      <charset val="134"/>
    </font>
    <font>
      <sz val="11"/>
      <color theme="1" tint="0.14990691854609822"/>
      <name val="微软雅黑"/>
      <family val="2"/>
      <charset val="134"/>
    </font>
    <font>
      <sz val="10"/>
      <color theme="1" tint="0.14993743705557422"/>
      <name val="微软雅黑"/>
      <family val="2"/>
      <charset val="134"/>
    </font>
    <font>
      <b/>
      <sz val="10"/>
      <color theme="1" tint="0.14993743705557422"/>
      <name val="微软雅黑"/>
      <family val="2"/>
      <charset val="134"/>
    </font>
    <font>
      <sz val="10"/>
      <color theme="1" tint="0.14990691854609822"/>
      <name val="微软雅黑"/>
      <family val="2"/>
      <charset val="134"/>
    </font>
    <font>
      <sz val="10"/>
      <color rgb="FF262626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 tint="0.14990691854609822"/>
      <name val="微软雅黑"/>
      <family val="2"/>
      <charset val="134"/>
    </font>
    <font>
      <sz val="10"/>
      <color theme="0"/>
      <name val="微软雅黑"/>
      <family val="2"/>
      <charset val="134"/>
    </font>
    <font>
      <sz val="8"/>
      <color theme="1" tint="0.14990691854609822"/>
      <name val="微软雅黑"/>
      <family val="2"/>
      <charset val="134"/>
    </font>
    <font>
      <b/>
      <sz val="16"/>
      <color theme="1" tint="0.14993743705557422"/>
      <name val="微软雅黑"/>
      <family val="2"/>
      <charset val="134"/>
    </font>
    <font>
      <sz val="9"/>
      <name val="微软雅黑"/>
      <family val="2"/>
      <charset val="134"/>
    </font>
    <font>
      <sz val="9"/>
      <name val="等线"/>
      <family val="4"/>
      <charset val="134"/>
      <scheme val="minor"/>
    </font>
    <font>
      <b/>
      <sz val="11"/>
      <color theme="1"/>
      <name val="微软雅黑"/>
      <family val="2"/>
      <charset val="134"/>
    </font>
    <font>
      <i/>
      <sz val="10"/>
      <color theme="0" tint="-0.499984740745262"/>
      <name val="微软雅黑"/>
      <family val="2"/>
      <charset val="134"/>
    </font>
    <font>
      <i/>
      <sz val="10"/>
      <color theme="1" tint="0.1499984740745262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C00000"/>
      <name val="微软雅黑"/>
      <family val="2"/>
    </font>
    <font>
      <i/>
      <sz val="11"/>
      <color theme="1" tint="0.14999847407452621"/>
      <name val="微软雅黑"/>
      <family val="2"/>
      <charset val="134"/>
    </font>
    <font>
      <b/>
      <sz val="10"/>
      <color theme="0"/>
      <name val="微软雅黑"/>
      <family val="2"/>
    </font>
    <font>
      <b/>
      <sz val="12"/>
      <color theme="0"/>
      <name val="微软雅黑"/>
      <family val="2"/>
      <charset val="134"/>
    </font>
    <font>
      <i/>
      <sz val="10"/>
      <color theme="1" tint="0.14993743705557422"/>
      <name val="微软雅黑"/>
      <family val="2"/>
      <charset val="134"/>
    </font>
    <font>
      <b/>
      <i/>
      <sz val="11"/>
      <color rgb="FFFF0000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i/>
      <sz val="10"/>
      <color rgb="FFFF0000"/>
      <name val="微软雅黑"/>
      <family val="2"/>
      <charset val="134"/>
    </font>
    <font>
      <i/>
      <sz val="8"/>
      <color theme="0" tint="-0.499984740745262"/>
      <name val="微软雅黑"/>
      <family val="2"/>
      <charset val="134"/>
    </font>
    <font>
      <i/>
      <sz val="11"/>
      <color theme="0" tint="-0.499984740745262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sz val="11"/>
      <color rgb="FF0D0D0D"/>
      <name val="微软雅黑"/>
      <family val="2"/>
      <charset val="134"/>
    </font>
    <font>
      <i/>
      <sz val="12"/>
      <color theme="0" tint="-0.499984740745262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theme="1" tint="0.14996795556505021"/>
      <name val="微软雅黑"/>
      <family val="2"/>
      <charset val="134"/>
    </font>
    <font>
      <b/>
      <i/>
      <sz val="11"/>
      <color theme="1"/>
      <name val="微软雅黑"/>
      <family val="2"/>
      <charset val="134"/>
    </font>
    <font>
      <b/>
      <sz val="11"/>
      <color rgb="FF0070C0"/>
      <name val="微软雅黑"/>
      <family val="2"/>
      <charset val="134"/>
    </font>
    <font>
      <sz val="11"/>
      <color rgb="FF0070C0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i/>
      <sz val="11"/>
      <color theme="1" tint="4.9989318521683403E-2"/>
      <name val="微软雅黑"/>
      <family val="2"/>
      <charset val="134"/>
    </font>
    <font>
      <b/>
      <sz val="10"/>
      <color rgb="FF333333"/>
      <name val="Tahoma"/>
      <family val="2"/>
    </font>
    <font>
      <b/>
      <sz val="11"/>
      <color rgb="FF0000FF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i/>
      <sz val="10"/>
      <color theme="0" tint="-0.499984740745262"/>
      <name val="微软雅黑"/>
      <family val="2"/>
      <charset val="134"/>
    </font>
    <font>
      <b/>
      <sz val="12"/>
      <color theme="1" tint="4.9989318521683403E-2"/>
      <name val="微软雅黑"/>
      <family val="2"/>
      <charset val="134"/>
    </font>
    <font>
      <sz val="12"/>
      <color theme="1" tint="0.14993743705557422"/>
      <name val="微软雅黑"/>
      <family val="2"/>
      <charset val="134"/>
    </font>
    <font>
      <b/>
      <sz val="11"/>
      <color theme="1" tint="4.9989318521683403E-2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 tint="0.14996795556505021"/>
      <name val="微软雅黑"/>
      <family val="2"/>
      <charset val="134"/>
    </font>
    <font>
      <sz val="10"/>
      <color theme="1" tint="4.9989318521683403E-2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0" tint="-0.499984740745262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sz val="12"/>
      <color theme="0" tint="-0.499984740745262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1"/>
      <color theme="0" tint="-0.499984740745262"/>
      <name val="微软雅黑"/>
      <family val="2"/>
      <charset val="134"/>
    </font>
    <font>
      <b/>
      <i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 tint="0.14996795556505021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6"/>
      <color theme="1" tint="0.14999847407452621"/>
      <name val="微软雅黑"/>
      <family val="2"/>
      <charset val="134"/>
    </font>
    <font>
      <sz val="11"/>
      <color rgb="FF262626"/>
      <name val="微软雅黑"/>
      <family val="2"/>
    </font>
    <font>
      <sz val="11"/>
      <color theme="1" tint="0.14999847407452621"/>
      <name val="微软雅黑"/>
      <family val="2"/>
    </font>
    <font>
      <sz val="11"/>
      <name val="微软雅黑"/>
      <family val="2"/>
    </font>
    <font>
      <b/>
      <sz val="11"/>
      <color theme="1" tint="0.14999847407452621"/>
      <name val="微软雅黑"/>
      <family val="2"/>
    </font>
    <font>
      <b/>
      <sz val="11"/>
      <name val="微软雅黑"/>
      <family val="2"/>
    </font>
    <font>
      <b/>
      <sz val="11"/>
      <color theme="1" tint="0.14996795556505021"/>
      <name val="微软雅黑"/>
      <family val="2"/>
    </font>
    <font>
      <sz val="11"/>
      <color theme="0"/>
      <name val="微软雅黑"/>
      <family val="2"/>
    </font>
    <font>
      <i/>
      <sz val="11"/>
      <color theme="1" tint="0.14999847407452621"/>
      <name val="微软雅黑"/>
      <family val="2"/>
    </font>
    <font>
      <b/>
      <sz val="11"/>
      <color theme="1" tint="0.14999847407452621"/>
      <name val="Optima LT Std"/>
      <family val="2"/>
    </font>
    <font>
      <b/>
      <sz val="11"/>
      <color rgb="FFFF0000"/>
      <name val="Optima LT Std"/>
      <family val="2"/>
    </font>
    <font>
      <b/>
      <sz val="11"/>
      <color theme="1" tint="0.14996795556505021"/>
      <name val="Optima LT Std"/>
      <family val="2"/>
    </font>
    <font>
      <sz val="11"/>
      <color theme="1" tint="0.14999847407452621"/>
      <name val="Optima LT Std"/>
      <family val="2"/>
    </font>
    <font>
      <sz val="11"/>
      <name val="Optima LT Std"/>
      <family val="2"/>
    </font>
    <font>
      <b/>
      <sz val="11"/>
      <name val="Optima LT Std"/>
      <family val="2"/>
    </font>
    <font>
      <sz val="11"/>
      <color theme="1"/>
      <name val="W"/>
      <family val="1"/>
      <charset val="128"/>
    </font>
    <font>
      <i/>
      <sz val="8"/>
      <color rgb="FF757171"/>
      <name val="微软雅黑"/>
      <family val="2"/>
      <charset val="134"/>
    </font>
    <font>
      <sz val="11"/>
      <color rgb="FF333333"/>
      <name val="微软雅黑"/>
      <family val="2"/>
      <charset val="134"/>
    </font>
    <font>
      <sz val="12"/>
      <color theme="1"/>
      <name val="Calibri"/>
      <family val="2"/>
    </font>
    <font>
      <sz val="11"/>
      <color theme="1" tint="0.14993743705557422"/>
      <name val="微软雅黑"/>
      <family val="2"/>
    </font>
    <font>
      <i/>
      <sz val="10"/>
      <color theme="0" tint="-0.499984740745262"/>
      <name val="微软雅黑"/>
      <family val="2"/>
    </font>
    <font>
      <sz val="11"/>
      <color theme="1" tint="4.9989318521683403E-2"/>
      <name val="微软雅黑"/>
      <family val="2"/>
    </font>
    <font>
      <sz val="10"/>
      <color theme="1"/>
      <name val="微软雅黑"/>
      <family val="2"/>
    </font>
    <font>
      <b/>
      <sz val="16"/>
      <color theme="1" tint="0.14990691854609822"/>
      <name val="微软雅黑"/>
      <family val="2"/>
      <charset val="134"/>
    </font>
    <font>
      <sz val="11"/>
      <color theme="2" tint="-0.749992370372631"/>
      <name val="微软雅黑"/>
      <family val="2"/>
      <charset val="134"/>
    </font>
    <font>
      <sz val="10"/>
      <color theme="1" tint="0.14999847407452621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8"/>
      <color rgb="FF808080"/>
      <name val="Microsoft YaHei"/>
      <family val="2"/>
      <charset val="134"/>
    </font>
    <font>
      <sz val="11"/>
      <color rgb="FF262626"/>
      <name val="等线"/>
      <family val="2"/>
      <scheme val="minor"/>
    </font>
    <font>
      <i/>
      <sz val="10"/>
      <color rgb="FF808080"/>
      <name val="等线"/>
      <family val="2"/>
      <scheme val="minor"/>
    </font>
    <font>
      <sz val="11"/>
      <color rgb="FF0D0D0D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262626"/>
      <name val="等线"/>
      <family val="2"/>
    </font>
    <font>
      <b/>
      <sz val="16"/>
      <color rgb="FF262626"/>
      <name val="等线"/>
      <family val="2"/>
    </font>
    <font>
      <sz val="11"/>
      <color rgb="FF000000"/>
      <name val="等线"/>
      <family val="2"/>
    </font>
    <font>
      <b/>
      <sz val="10"/>
      <color rgb="FF333333"/>
      <name val="等线"/>
      <family val="2"/>
    </font>
    <font>
      <b/>
      <sz val="12"/>
      <color rgb="FF0000FF"/>
      <name val="等线"/>
      <family val="2"/>
    </font>
    <font>
      <b/>
      <sz val="10"/>
      <color rgb="FFFFFFFF"/>
      <name val="等线"/>
      <family val="2"/>
    </font>
    <font>
      <b/>
      <sz val="11"/>
      <color rgb="FF262626"/>
      <name val="等线"/>
      <family val="2"/>
    </font>
    <font>
      <b/>
      <sz val="11"/>
      <color rgb="FFFF0000"/>
      <name val="等线"/>
      <family val="3"/>
      <charset val="134"/>
    </font>
    <font>
      <b/>
      <sz val="11"/>
      <color rgb="FF000000"/>
      <name val="等线"/>
      <family val="2"/>
    </font>
    <font>
      <sz val="12"/>
      <color rgb="FF000000"/>
      <name val="等线"/>
      <family val="2"/>
    </font>
    <font>
      <b/>
      <sz val="12"/>
      <color rgb="FF000000"/>
      <name val="等线"/>
      <family val="2"/>
    </font>
    <font>
      <i/>
      <sz val="8"/>
      <color rgb="FF000000"/>
      <name val="等线"/>
      <family val="2"/>
    </font>
    <font>
      <i/>
      <sz val="10"/>
      <color rgb="FF808080"/>
      <name val="等线"/>
      <family val="2"/>
    </font>
    <font>
      <b/>
      <sz val="11"/>
      <color rgb="FFFFFFFF"/>
      <name val="等线"/>
      <family val="2"/>
    </font>
    <font>
      <sz val="11"/>
      <color rgb="FF262626"/>
      <name val="等线"/>
      <family val="3"/>
      <charset val="134"/>
    </font>
    <font>
      <sz val="10"/>
      <color rgb="FF000000"/>
      <name val="等线"/>
      <family val="2"/>
    </font>
  </fonts>
  <fills count="42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BEEF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rgb="FF000000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000000"/>
      </patternFill>
    </fill>
    <fill>
      <patternFill patternType="solid">
        <fgColor rgb="FFEBEEF1"/>
      </patternFill>
    </fill>
    <fill>
      <patternFill patternType="solid">
        <fgColor rgb="FFDEE0E3"/>
      </patternFill>
    </fill>
    <fill>
      <patternFill patternType="solid">
        <fgColor rgb="FFDAF2D0"/>
      </patternFill>
    </fill>
    <fill>
      <patternFill patternType="solid">
        <fgColor rgb="FFD9D9D9"/>
      </patternFill>
    </fill>
    <fill>
      <patternFill patternType="solid">
        <fgColor rgb="FFE8E8E8"/>
      </patternFill>
    </fill>
  </fills>
  <borders count="328">
    <border>
      <left/>
      <right/>
      <top/>
      <bottom/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auto="1"/>
      </left>
      <right style="hair">
        <color theme="0" tint="-0.499984740745262"/>
      </right>
      <top style="hair">
        <color theme="0" tint="-0.499984740745262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theme="0" tint="-0.499984740745262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auto="1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/>
      <bottom/>
      <diagonal/>
    </border>
    <border>
      <left style="hair">
        <color rgb="FF808080"/>
      </left>
      <right style="thin">
        <color auto="1"/>
      </right>
      <top/>
      <bottom style="hair">
        <color rgb="FF808080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 style="thin">
        <color auto="1"/>
      </left>
      <right style="hair">
        <color rgb="FF808080"/>
      </right>
      <top/>
      <bottom style="hair">
        <color rgb="FF808080"/>
      </bottom>
      <diagonal/>
    </border>
    <border>
      <left style="hair">
        <color theme="0" tint="-0.499984740745262"/>
      </left>
      <right style="thin">
        <color auto="1"/>
      </right>
      <top/>
      <bottom style="hair">
        <color theme="0" tint="-0.499984740745262"/>
      </bottom>
      <diagonal/>
    </border>
    <border>
      <left style="hair">
        <color theme="0" tint="-0.249977111117893"/>
      </left>
      <right style="thin">
        <color indexed="64"/>
      </right>
      <top style="thin">
        <color theme="1" tint="0.34998626667073579"/>
      </top>
      <bottom style="hair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 tint="0.34998626667073579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77111117893"/>
      </right>
      <top style="thin">
        <color theme="1" tint="0.34998626667073579"/>
      </top>
      <bottom style="hair">
        <color theme="0" tint="-0.499984740745262"/>
      </bottom>
      <diagonal/>
    </border>
    <border>
      <left/>
      <right style="thin">
        <color indexed="64"/>
      </right>
      <top style="thin">
        <color theme="1" tint="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34998626667073579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auto="1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1" tint="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thin">
        <color indexed="64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thin">
        <color indexed="64"/>
      </bottom>
      <diagonal/>
    </border>
    <border>
      <left style="thin">
        <color indexed="64"/>
      </left>
      <right style="hair">
        <color rgb="FF808080"/>
      </right>
      <top style="hair">
        <color rgb="FF808080"/>
      </top>
      <bottom style="thin">
        <color indexed="64"/>
      </bottom>
      <diagonal/>
    </border>
    <border>
      <left style="hair">
        <color rgb="FF808080"/>
      </left>
      <right style="hair">
        <color rgb="FF808080"/>
      </right>
      <top/>
      <bottom style="thin">
        <color indexed="64"/>
      </bottom>
      <diagonal/>
    </border>
    <border>
      <left style="hair">
        <color rgb="FF80808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rgb="FF808080"/>
      </right>
      <top/>
      <bottom style="thin">
        <color indexed="64"/>
      </bottom>
      <diagonal/>
    </border>
    <border>
      <left style="hair">
        <color rgb="FF808080"/>
      </left>
      <right style="thin">
        <color indexed="64"/>
      </right>
      <top/>
      <bottom/>
      <diagonal/>
    </border>
    <border>
      <left style="hair">
        <color rgb="FF808080"/>
      </left>
      <right style="hair">
        <color rgb="FF808080"/>
      </right>
      <top/>
      <bottom/>
      <diagonal/>
    </border>
    <border>
      <left style="thin">
        <color indexed="64"/>
      </left>
      <right style="hair">
        <color rgb="FF808080"/>
      </right>
      <top/>
      <bottom/>
      <diagonal/>
    </border>
    <border>
      <left style="hair">
        <color rgb="FFBFBFBF"/>
      </left>
      <right style="thin">
        <color indexed="64"/>
      </right>
      <top style="thin">
        <color rgb="FF595959"/>
      </top>
      <bottom style="hair">
        <color rgb="FF808080"/>
      </bottom>
      <diagonal/>
    </border>
    <border>
      <left style="hair">
        <color rgb="FFBFBFBF"/>
      </left>
      <right style="hair">
        <color rgb="FFBFBFBF"/>
      </right>
      <top style="thin">
        <color rgb="FF595959"/>
      </top>
      <bottom style="hair">
        <color rgb="FF808080"/>
      </bottom>
      <diagonal/>
    </border>
    <border>
      <left style="thin">
        <color indexed="64"/>
      </left>
      <right style="hair">
        <color rgb="FFBFBFBF"/>
      </right>
      <top style="thin">
        <color rgb="FF595959"/>
      </top>
      <bottom style="hair">
        <color rgb="FF808080"/>
      </bottom>
      <diagonal/>
    </border>
    <border>
      <left/>
      <right style="thin">
        <color auto="1"/>
      </right>
      <top style="thin">
        <color rgb="FF595959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thin">
        <color rgb="FF595959"/>
      </top>
      <bottom style="hair">
        <color rgb="FF808080"/>
      </bottom>
      <diagonal/>
    </border>
    <border>
      <left style="thin">
        <color auto="1"/>
      </left>
      <right/>
      <top style="thin">
        <color rgb="FF595959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thin">
        <color auto="1"/>
      </top>
      <bottom style="hair">
        <color rgb="FF808080"/>
      </bottom>
      <diagonal/>
    </border>
    <border>
      <left style="thin">
        <color indexed="64"/>
      </left>
      <right style="hair">
        <color rgb="FF808080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rgb="FF595959"/>
      </bottom>
      <diagonal/>
    </border>
    <border>
      <left style="thin">
        <color indexed="64"/>
      </left>
      <right/>
      <top style="thin">
        <color indexed="64"/>
      </top>
      <bottom style="thin">
        <color rgb="FF595959"/>
      </bottom>
      <diagonal/>
    </border>
    <border>
      <left style="hair">
        <color rgb="FF808080"/>
      </left>
      <right style="hair">
        <color rgb="FF808080"/>
      </right>
      <top style="thin">
        <color indexed="64"/>
      </top>
      <bottom/>
      <diagonal/>
    </border>
    <border>
      <left style="hair">
        <color rgb="FF80808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808080"/>
      </left>
      <right style="hair">
        <color rgb="FF80808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808080"/>
      </right>
      <top style="hair">
        <color indexed="64"/>
      </top>
      <bottom style="thin">
        <color indexed="64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indexed="64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indexed="64"/>
      </bottom>
      <diagonal/>
    </border>
    <border>
      <left style="thin">
        <color indexed="64"/>
      </left>
      <right style="hair">
        <color rgb="FF808080"/>
      </right>
      <top style="hair">
        <color rgb="FF808080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rgb="FF808080"/>
      </left>
      <right style="hair">
        <color rgb="FF808080"/>
      </right>
      <top/>
      <bottom style="hair">
        <color indexed="64"/>
      </bottom>
      <diagonal/>
    </border>
    <border>
      <left style="hair">
        <color rgb="FF808080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rgb="FF808080"/>
      </right>
      <top/>
      <bottom style="hair">
        <color indexed="64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595959"/>
      </bottom>
      <diagonal/>
    </border>
    <border>
      <left/>
      <right/>
      <top style="thin">
        <color indexed="64"/>
      </top>
      <bottom style="thin">
        <color rgb="FF595959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auto="1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 tint="0.34998626667073579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rgb="FF808080"/>
      </right>
      <top/>
      <bottom style="hair">
        <color rgb="FF808080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rgb="FF808080"/>
      </right>
      <top/>
      <bottom style="hair">
        <color theme="0" tint="-0.499984740745262"/>
      </bottom>
      <diagonal/>
    </border>
    <border>
      <left style="hair">
        <color rgb="FF808080"/>
      </left>
      <right style="thin">
        <color auto="1"/>
      </right>
      <top/>
      <bottom style="hair">
        <color theme="0" tint="-0.499984740745262"/>
      </bottom>
      <diagonal/>
    </border>
    <border>
      <left style="hair">
        <color rgb="FF808080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rgb="FF808080"/>
      </right>
      <top style="hair">
        <color indexed="64"/>
      </top>
      <bottom/>
      <diagonal/>
    </border>
    <border>
      <left style="hair">
        <color theme="0" tint="-0.499984740745262"/>
      </left>
      <right style="thin">
        <color indexed="64"/>
      </right>
      <top style="hair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/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hair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rgb="FF808080"/>
      </left>
      <right style="hair">
        <color rgb="FF808080"/>
      </right>
      <top style="hair">
        <color indexed="64"/>
      </top>
      <bottom style="thin">
        <color theme="1"/>
      </bottom>
      <diagonal/>
    </border>
    <border>
      <left style="hair">
        <color rgb="FF808080"/>
      </left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indexed="64"/>
      </right>
      <top/>
      <bottom style="hair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indexed="64"/>
      </bottom>
      <diagonal/>
    </border>
    <border>
      <left style="thin">
        <color indexed="64"/>
      </left>
      <right style="hair">
        <color rgb="FF808080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/>
      <top/>
      <bottom/>
      <diagonal/>
    </border>
    <border>
      <left style="hair">
        <color rgb="FF808080"/>
      </left>
      <right/>
      <top/>
      <bottom style="hair">
        <color rgb="FF808080"/>
      </bottom>
      <diagonal/>
    </border>
    <border>
      <left/>
      <right/>
      <top/>
      <bottom style="hair">
        <color rgb="FF808080"/>
      </bottom>
      <diagonal/>
    </border>
    <border>
      <left/>
      <right style="thin">
        <color indexed="64"/>
      </right>
      <top/>
      <bottom/>
      <diagonal/>
    </border>
    <border>
      <left style="thin">
        <color rgb="FF808080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rgb="FF808080"/>
      </left>
      <right style="hair">
        <color theme="0" tint="-0.499984740745262"/>
      </right>
      <top style="hair">
        <color rgb="FF808080"/>
      </top>
      <bottom style="hair">
        <color theme="0" tint="-0.499984740745262"/>
      </bottom>
      <diagonal/>
    </border>
    <border>
      <left style="hair">
        <color rgb="FF808080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1"/>
      </right>
      <top style="hair">
        <color theme="0" tint="-0.499984740745262"/>
      </top>
      <bottom style="thin">
        <color theme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1"/>
      </bottom>
      <diagonal/>
    </border>
    <border>
      <left style="thin">
        <color theme="1"/>
      </left>
      <right style="hair">
        <color theme="0" tint="-0.499984740745262"/>
      </right>
      <top style="hair">
        <color theme="0" tint="-0.499984740745262"/>
      </top>
      <bottom style="thin">
        <color theme="1"/>
      </bottom>
      <diagonal/>
    </border>
    <border>
      <left style="hair">
        <color theme="0" tint="-0.499984740745262"/>
      </left>
      <right style="thin">
        <color theme="1"/>
      </right>
      <top style="thin">
        <color theme="1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1"/>
      </top>
      <bottom style="hair">
        <color theme="0" tint="-0.499984740745262"/>
      </bottom>
      <diagonal/>
    </border>
    <border>
      <left style="thin">
        <color theme="1"/>
      </left>
      <right style="hair">
        <color theme="0" tint="-0.499984740745262"/>
      </right>
      <top style="thin">
        <color theme="1"/>
      </top>
      <bottom style="hair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 style="hair">
        <color theme="0" tint="-0.249977111117893"/>
      </right>
      <top style="thin">
        <color auto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499984740745262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 style="thin">
        <color theme="0" tint="-0.499984740745262"/>
      </top>
      <bottom style="hair">
        <color theme="0" tint="-0.249977111117893"/>
      </bottom>
      <diagonal/>
    </border>
    <border>
      <left style="thin">
        <color auto="1"/>
      </left>
      <right style="thin">
        <color theme="0" tint="-0.499984740745262"/>
      </right>
      <top/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249977111117893"/>
      </right>
      <top/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465926084170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auto="1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auto="1"/>
      </left>
      <right style="thin">
        <color theme="0" tint="-0.499984740745262"/>
      </right>
      <top style="hair">
        <color theme="0" tint="-0.34998626667073579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thin">
        <color auto="1"/>
      </left>
      <right style="thin">
        <color theme="0" tint="-0.499984740745262"/>
      </right>
      <top style="hair">
        <color theme="0" tint="-0.34998626667073579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77111117893"/>
      </right>
      <top style="hair">
        <color theme="0" tint="-0.34998626667073579"/>
      </top>
      <bottom style="hair">
        <color theme="0" tint="-0.2499465926084170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hair">
        <color theme="0" tint="-0.24994659260841701"/>
      </bottom>
      <diagonal/>
    </border>
    <border>
      <left style="thin">
        <color auto="1"/>
      </left>
      <right style="thin">
        <color theme="0" tint="-0.499984740745262"/>
      </right>
      <top style="hair">
        <color theme="0" tint="-0.24994659260841701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hair">
        <color theme="0" tint="-0.24994659260841701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4659260841701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4659260841701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/>
      <bottom style="hair">
        <color theme="0" tint="-0.249977111117893"/>
      </bottom>
      <diagonal/>
    </border>
    <border>
      <left style="thin">
        <color auto="1"/>
      </left>
      <right style="thin">
        <color theme="0" tint="-0.499984740745262"/>
      </right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249977111117893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auto="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thin">
        <color auto="1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hair">
        <color theme="0" tint="-0.249977111117893"/>
      </right>
      <top style="thin">
        <color indexed="64"/>
      </top>
      <bottom/>
      <diagonal/>
    </border>
    <border>
      <left style="hair">
        <color theme="0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77111117893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249977111117893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theme="1" tint="0.34998626667073579"/>
      </top>
      <bottom/>
      <diagonal/>
    </border>
    <border>
      <left/>
      <right style="hair">
        <color theme="0" tint="-0.249977111117893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0" tint="-0.249977111117893"/>
      </right>
      <top style="thin">
        <color theme="1" tint="0.34998626667073579"/>
      </top>
      <bottom/>
      <diagonal/>
    </border>
    <border>
      <left style="hair">
        <color theme="0" tint="-0.249977111117893"/>
      </left>
      <right style="thin">
        <color indexed="64"/>
      </right>
      <top style="thin">
        <color theme="1" tint="0.34998626667073579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theme="1" tint="0.34998626667073579"/>
      </top>
      <bottom style="hair">
        <color theme="0" tint="-0.499984740745262"/>
      </bottom>
      <diagonal/>
    </border>
    <border>
      <left/>
      <right style="hair">
        <color theme="0" tint="-0.249977111117893"/>
      </right>
      <top style="thin">
        <color theme="1" tint="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1"/>
      </left>
      <right style="hair">
        <color theme="0" tint="-0.499984740745262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auto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hair">
        <color theme="0" tint="-0.499984740745262"/>
      </right>
      <top style="thin">
        <color theme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/>
      </top>
      <bottom/>
      <diagonal/>
    </border>
    <border>
      <left style="hair">
        <color theme="0" tint="-0.499984740745262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 tint="0.34998626667073579"/>
      </bottom>
      <diagonal/>
    </border>
    <border>
      <left/>
      <right/>
      <top style="thin">
        <color theme="1"/>
      </top>
      <bottom style="thin">
        <color theme="1" tint="0.3499862666707357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theme="0" tint="-0.499984740745262"/>
      </right>
      <top style="thin">
        <color indexed="64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/>
      </left>
      <right style="hair">
        <color theme="0" tint="-0.249977111117893"/>
      </right>
      <top style="thin">
        <color indexed="64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hair">
        <color theme="0" tint="-0.249977111117893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249977111117893"/>
      </left>
      <right style="thin">
        <color theme="1"/>
      </right>
      <top style="thin">
        <color indexed="64"/>
      </top>
      <bottom style="hair">
        <color theme="0" tint="-0.499984740745262"/>
      </bottom>
      <diagonal/>
    </border>
    <border>
      <left style="thin">
        <color theme="1"/>
      </left>
      <right style="hair">
        <color theme="0" tint="-0.499984740745262"/>
      </right>
      <top/>
      <bottom style="thin">
        <color theme="1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theme="1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theme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1"/>
      </bottom>
      <diagonal/>
    </border>
    <border>
      <left style="hair">
        <color theme="1" tint="0.499984740745262"/>
      </left>
      <right style="thin">
        <color theme="1"/>
      </right>
      <top style="hair">
        <color theme="1" tint="0.499984740745262"/>
      </top>
      <bottom style="thin">
        <color theme="1"/>
      </bottom>
      <diagonal/>
    </border>
    <border>
      <left style="thin">
        <color auto="1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249977111117893"/>
      </right>
      <top style="thin">
        <color theme="0" tint="-0.499984740745262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499984740745262"/>
      </top>
      <bottom/>
      <diagonal/>
    </border>
    <border>
      <left style="hair">
        <color theme="0" tint="-0.249977111117893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249977111117893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auto="1"/>
      </left>
      <right style="thin">
        <color theme="0" tint="-0.499984740745262"/>
      </right>
      <top style="hair">
        <color theme="0" tint="-0.34998626667073579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249977111117893"/>
      </right>
      <top style="hair">
        <color theme="0" tint="-0.34998626667073579"/>
      </top>
      <bottom style="hair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4659260841701"/>
      </top>
      <bottom style="hair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auto="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4659260841701"/>
      </top>
      <bottom style="hair">
        <color auto="1"/>
      </bottom>
      <diagonal/>
    </border>
    <border>
      <left style="thin">
        <color auto="1"/>
      </left>
      <right style="thin">
        <color theme="0" tint="-0.499984740745262"/>
      </right>
      <top/>
      <bottom style="thin">
        <color auto="1"/>
      </bottom>
      <diagonal/>
    </border>
    <border>
      <left/>
      <right style="hair">
        <color theme="0" tint="-0.249977111117893"/>
      </right>
      <top/>
      <bottom style="thin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thin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77111117893"/>
      </right>
      <top style="thin">
        <color auto="1"/>
      </top>
      <bottom style="thin">
        <color theme="2" tint="-0.499984740745262"/>
      </bottom>
      <diagonal/>
    </border>
    <border>
      <left style="thin">
        <color auto="1"/>
      </left>
      <right/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249977111117893"/>
      </right>
      <top/>
      <bottom/>
      <diagonal/>
    </border>
    <border>
      <left style="thin">
        <color theme="0" tint="-0.499984740745262"/>
      </left>
      <right style="hair">
        <color theme="0" tint="-0.249977111117893"/>
      </right>
      <top style="thin">
        <color theme="2" tint="-0.249977111117893"/>
      </top>
      <bottom style="hair">
        <color theme="0" tint="-0.34998626667073579"/>
      </bottom>
      <diagonal/>
    </border>
    <border>
      <left style="thin">
        <color auto="1"/>
      </left>
      <right style="thin">
        <color theme="0" tint="-0.499984740745262"/>
      </right>
      <top/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thin">
        <color auto="1"/>
      </right>
      <top style="hair">
        <color theme="0" tint="-0.24994659260841701"/>
      </top>
      <bottom/>
      <diagonal/>
    </border>
    <border>
      <left style="hair">
        <color theme="0" tint="-0.249977111117893"/>
      </left>
      <right style="thin">
        <color auto="1"/>
      </right>
      <top style="hair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/>
      <top style="thin">
        <color auto="1"/>
      </top>
      <bottom style="thin">
        <color theme="1" tint="0.34998626667073579"/>
      </bottom>
      <diagonal/>
    </border>
    <border>
      <left style="hair">
        <color theme="0" tint="-0.499984740745262"/>
      </left>
      <right/>
      <top style="thin">
        <color theme="1" tint="0.34998626667073579"/>
      </top>
      <bottom/>
      <diagonal/>
    </border>
    <border>
      <left style="hair">
        <color theme="0" tint="-0.249977111117893"/>
      </left>
      <right/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/>
      <diagonal/>
    </border>
    <border>
      <left style="thin">
        <color auto="1"/>
      </left>
      <right style="hair">
        <color theme="0" tint="-0.249977111117893"/>
      </right>
      <top/>
      <bottom style="hair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499984740745262"/>
      </bottom>
      <diagonal/>
    </border>
    <border>
      <left style="hair">
        <color theme="0" tint="-0.249977111117893"/>
      </left>
      <right style="thin">
        <color auto="1"/>
      </right>
      <top/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theme="0" tint="-0.499984740745262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auto="1"/>
      </bottom>
      <diagonal/>
    </border>
    <border>
      <left style="hair">
        <color theme="0" tint="-0.249977111117893"/>
      </left>
      <right style="hair">
        <color theme="0" tint="-0.499984740745262"/>
      </right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theme="0" tint="-0.49998474074526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 tint="0.34998626667073579"/>
      </bottom>
      <diagonal/>
    </border>
    <border>
      <left/>
      <right style="hair">
        <color theme="0" tint="-0.499984740745262"/>
      </right>
      <top style="thin">
        <color auto="1"/>
      </top>
      <bottom/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1"/>
      </right>
      <top style="thin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1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 tint="0.34998626667073579"/>
      </bottom>
      <diagonal/>
    </border>
    <border>
      <left style="thin">
        <color theme="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auto="1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auto="1"/>
      </left>
      <right style="hair">
        <color theme="0" tint="-0.499984740745262"/>
      </right>
      <top style="thin">
        <color theme="1" tint="0.34998626667073579"/>
      </top>
      <bottom style="hair">
        <color theme="0" tint="-0.499984740745262"/>
      </bottom>
      <diagonal/>
    </border>
    <border>
      <left style="thin">
        <color indexed="64"/>
      </left>
      <right style="hair">
        <color rgb="FF808080"/>
      </right>
      <top style="hair">
        <color theme="0" tint="-0.499984740745262"/>
      </top>
      <bottom style="hair">
        <color rgb="FF808080"/>
      </bottom>
      <diagonal/>
    </border>
    <border>
      <left style="hair">
        <color rgb="FF808080"/>
      </left>
      <right style="hair">
        <color theme="0" tint="-0.499984740745262"/>
      </right>
      <top style="hair">
        <color theme="0" tint="-0.499984740745262"/>
      </top>
      <bottom style="hair">
        <color rgb="FF808080"/>
      </bottom>
      <diagonal/>
    </border>
    <border>
      <left style="hair">
        <color theme="0" tint="-0.499984740745262"/>
      </left>
      <right style="hair">
        <color rgb="FF808080"/>
      </right>
      <top style="hair">
        <color theme="0" tint="-0.499984740745262"/>
      </top>
      <bottom style="hair">
        <color rgb="FF808080"/>
      </bottom>
      <diagonal/>
    </border>
    <border>
      <left style="thin">
        <color indexed="64"/>
      </left>
      <right style="hair">
        <color rgb="FF808080"/>
      </right>
      <top style="hair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/>
      <bottom style="thin">
        <color theme="1"/>
      </bottom>
      <diagonal/>
    </border>
    <border>
      <left style="thin">
        <color theme="2" tint="-0.749961851863155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auto="1"/>
      </right>
      <top style="thin">
        <color auto="1"/>
      </top>
      <bottom/>
      <diagonal/>
    </border>
    <border>
      <left style="hair">
        <color theme="0" tint="-0.499984740745262"/>
      </left>
      <right style="hair">
        <color auto="1"/>
      </right>
      <top/>
      <bottom style="hair">
        <color auto="1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 style="hair">
        <color theme="0" tint="-0.499984740745262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rgb="FF808080"/>
      </bottom>
      <diagonal/>
    </border>
    <border>
      <left style="hair">
        <color indexed="64"/>
      </left>
      <right style="hair">
        <color indexed="64"/>
      </right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hair">
        <color indexed="64"/>
      </right>
      <top/>
      <bottom style="hair">
        <color rgb="FF808080"/>
      </bottom>
      <diagonal/>
    </border>
    <border>
      <left style="hair">
        <color indexed="64"/>
      </left>
      <right style="hair">
        <color indexed="64"/>
      </right>
      <top/>
      <bottom style="hair">
        <color rgb="FF808080"/>
      </bottom>
      <diagonal/>
    </border>
    <border>
      <left style="thin">
        <color indexed="64"/>
      </left>
      <right style="hair">
        <color rgb="FF808080"/>
      </right>
      <top style="hair">
        <color rgb="FF808080"/>
      </top>
      <bottom/>
      <diagonal/>
    </border>
    <border>
      <left/>
      <right style="hair">
        <color rgb="FF808080"/>
      </right>
      <top/>
      <bottom style="hair">
        <color indexed="64"/>
      </bottom>
      <diagonal/>
    </border>
    <border>
      <left/>
      <right style="hair">
        <color rgb="FF808080"/>
      </right>
      <top/>
      <bottom style="thin">
        <color indexed="64"/>
      </bottom>
      <diagonal/>
    </border>
    <border>
      <left style="hair">
        <color theme="0" tint="-0.249977111117893"/>
      </left>
      <right/>
      <top style="thin">
        <color theme="1" tint="0.34998626667073579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indexed="64"/>
      </top>
      <bottom/>
      <diagonal/>
    </border>
    <border>
      <left style="hair">
        <color theme="0" tint="-0.499984740745262"/>
      </left>
      <right style="thin">
        <color theme="1"/>
      </right>
      <top/>
      <bottom style="hair">
        <color theme="0" tint="-0.499984740745262"/>
      </bottom>
      <diagonal/>
    </border>
    <border>
      <left style="thin">
        <color theme="1"/>
      </left>
      <right/>
      <top style="thin">
        <color theme="1" tint="0.34998626667073579"/>
      </top>
      <bottom style="hair">
        <color theme="0" tint="-0.499984740745262"/>
      </bottom>
      <diagonal/>
    </border>
    <border>
      <left/>
      <right style="thin">
        <color theme="1"/>
      </right>
      <top style="thin">
        <color theme="1" tint="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1"/>
      </right>
      <top/>
      <bottom style="thin">
        <color indexed="64"/>
      </bottom>
      <diagonal/>
    </border>
    <border>
      <left/>
      <right style="hair">
        <color theme="0" tint="-0.499984740745262"/>
      </right>
      <top/>
      <bottom style="thin">
        <color theme="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1"/>
      </bottom>
      <diagonal/>
    </border>
    <border>
      <left style="hair">
        <color theme="0" tint="-0.499984740745262"/>
      </left>
      <right style="thin">
        <color theme="1"/>
      </right>
      <top/>
      <bottom style="thin">
        <color theme="1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hair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1F2329"/>
      </top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595959"/>
      </bottom>
      <diagonal/>
    </border>
    <border>
      <left style="medium">
        <color indexed="64"/>
      </left>
      <right/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/>
      <right style="medium">
        <color indexed="64"/>
      </right>
      <top style="medium">
        <color rgb="FF1F2329"/>
      </top>
      <bottom/>
      <diagonal/>
    </border>
    <border>
      <left/>
      <right style="thin">
        <color rgb="FF1F2329"/>
      </right>
      <top style="medium">
        <color rgb="FF000000"/>
      </top>
      <bottom/>
      <diagonal/>
    </border>
    <border>
      <left/>
      <right style="medium">
        <color rgb="FF1F2329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indexed="64"/>
      </right>
      <top/>
      <bottom style="medium">
        <color rgb="FF1F2329"/>
      </bottom>
      <diagonal/>
    </border>
    <border>
      <left/>
      <right style="thin">
        <color rgb="FF1F2329"/>
      </right>
      <top/>
      <bottom style="medium">
        <color rgb="FF000000"/>
      </bottom>
      <diagonal/>
    </border>
    <border>
      <left/>
      <right style="medium">
        <color rgb="FF1F2329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595959"/>
      </bottom>
      <diagonal/>
    </border>
  </borders>
  <cellStyleXfs count="73">
    <xf numFmtId="0" fontId="0" fillId="0" borderId="0"/>
    <xf numFmtId="9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5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480">
    <xf numFmtId="0" fontId="0" fillId="0" borderId="0" xfId="0"/>
    <xf numFmtId="3" fontId="8" fillId="2" borderId="1" xfId="2" applyNumberFormat="1" applyFont="1" applyFill="1" applyBorder="1" applyAlignment="1">
      <alignment horizontal="center" vertical="center"/>
    </xf>
    <xf numFmtId="178" fontId="9" fillId="2" borderId="2" xfId="3" applyNumberFormat="1" applyFont="1" applyFill="1" applyBorder="1" applyAlignment="1">
      <alignment horizontal="center" vertical="center"/>
    </xf>
    <xf numFmtId="3" fontId="8" fillId="2" borderId="2" xfId="2" applyNumberFormat="1" applyFont="1" applyFill="1" applyBorder="1" applyAlignment="1">
      <alignment horizontal="center" vertical="center"/>
    </xf>
    <xf numFmtId="38" fontId="9" fillId="2" borderId="2" xfId="2" applyNumberFormat="1" applyFont="1" applyFill="1" applyBorder="1" applyAlignment="1">
      <alignment horizontal="center" vertical="center"/>
    </xf>
    <xf numFmtId="179" fontId="8" fillId="2" borderId="2" xfId="4" applyNumberFormat="1" applyFont="1" applyFill="1" applyBorder="1" applyAlignment="1">
      <alignment horizontal="center" vertical="center"/>
    </xf>
    <xf numFmtId="3" fontId="8" fillId="2" borderId="3" xfId="2" applyNumberFormat="1" applyFont="1" applyFill="1" applyBorder="1" applyAlignment="1">
      <alignment horizontal="center" vertical="center"/>
    </xf>
    <xf numFmtId="3" fontId="8" fillId="2" borderId="4" xfId="2" applyNumberFormat="1" applyFont="1" applyFill="1" applyBorder="1" applyAlignment="1">
      <alignment horizontal="center" vertical="center"/>
    </xf>
    <xf numFmtId="178" fontId="8" fillId="2" borderId="5" xfId="4" applyNumberFormat="1" applyFont="1" applyFill="1" applyBorder="1" applyAlignment="1">
      <alignment horizontal="center" vertical="center"/>
    </xf>
    <xf numFmtId="3" fontId="8" fillId="2" borderId="5" xfId="2" applyNumberFormat="1" applyFont="1" applyFill="1" applyBorder="1" applyAlignment="1">
      <alignment horizontal="center" vertical="center"/>
    </xf>
    <xf numFmtId="180" fontId="8" fillId="2" borderId="5" xfId="2" applyNumberFormat="1" applyFont="1" applyFill="1" applyBorder="1" applyAlignment="1">
      <alignment horizontal="center" vertical="center"/>
    </xf>
    <xf numFmtId="179" fontId="8" fillId="2" borderId="5" xfId="4" applyNumberFormat="1" applyFont="1" applyFill="1" applyBorder="1" applyAlignment="1">
      <alignment horizontal="center" vertical="center"/>
    </xf>
    <xf numFmtId="181" fontId="8" fillId="2" borderId="5" xfId="3" applyNumberFormat="1" applyFont="1" applyFill="1" applyBorder="1" applyAlignment="1">
      <alignment horizontal="center" vertical="center"/>
    </xf>
    <xf numFmtId="182" fontId="8" fillId="2" borderId="6" xfId="3" applyNumberFormat="1" applyFont="1" applyFill="1" applyBorder="1" applyAlignment="1">
      <alignment horizontal="center" vertical="center"/>
    </xf>
    <xf numFmtId="182" fontId="8" fillId="2" borderId="5" xfId="3" applyNumberFormat="1" applyFont="1" applyFill="1" applyBorder="1" applyAlignment="1">
      <alignment horizontal="center" vertical="center"/>
    </xf>
    <xf numFmtId="182" fontId="10" fillId="2" borderId="7" xfId="3" applyNumberFormat="1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3" fontId="12" fillId="3" borderId="8" xfId="2" applyNumberFormat="1" applyFont="1" applyFill="1" applyBorder="1" applyAlignment="1">
      <alignment horizontal="center" vertical="center"/>
    </xf>
    <xf numFmtId="178" fontId="12" fillId="3" borderId="9" xfId="3" applyNumberFormat="1" applyFont="1" applyFill="1" applyBorder="1" applyAlignment="1">
      <alignment horizontal="center" vertical="center"/>
    </xf>
    <xf numFmtId="3" fontId="12" fillId="3" borderId="9" xfId="2" applyNumberFormat="1" applyFont="1" applyFill="1" applyBorder="1" applyAlignment="1">
      <alignment horizontal="center" vertical="center"/>
    </xf>
    <xf numFmtId="38" fontId="12" fillId="4" borderId="9" xfId="2" applyNumberFormat="1" applyFont="1" applyFill="1" applyBorder="1" applyAlignment="1">
      <alignment horizontal="center" vertical="center"/>
    </xf>
    <xf numFmtId="38" fontId="12" fillId="3" borderId="9" xfId="2" applyNumberFormat="1" applyFont="1" applyFill="1" applyBorder="1" applyAlignment="1">
      <alignment horizontal="center" vertical="center"/>
    </xf>
    <xf numFmtId="179" fontId="12" fillId="3" borderId="9" xfId="4" applyNumberFormat="1" applyFont="1" applyFill="1" applyBorder="1" applyAlignment="1">
      <alignment horizontal="center" vertical="center"/>
    </xf>
    <xf numFmtId="3" fontId="12" fillId="4" borderId="9" xfId="2" applyNumberFormat="1" applyFont="1" applyFill="1" applyBorder="1" applyAlignment="1">
      <alignment horizontal="center" vertical="center"/>
    </xf>
    <xf numFmtId="3" fontId="12" fillId="0" borderId="10" xfId="2" applyNumberFormat="1" applyFont="1" applyBorder="1" applyAlignment="1">
      <alignment horizontal="center" vertical="center"/>
    </xf>
    <xf numFmtId="183" fontId="13" fillId="0" borderId="12" xfId="3" applyNumberFormat="1" applyFont="1" applyBorder="1" applyAlignment="1">
      <alignment horizontal="center" vertical="center"/>
    </xf>
    <xf numFmtId="182" fontId="13" fillId="0" borderId="12" xfId="3" applyNumberFormat="1" applyFont="1" applyBorder="1" applyAlignment="1">
      <alignment horizontal="center" vertical="center"/>
    </xf>
    <xf numFmtId="179" fontId="11" fillId="4" borderId="9" xfId="4" applyNumberFormat="1" applyFont="1" applyFill="1" applyBorder="1" applyAlignment="1">
      <alignment horizontal="center" vertical="center"/>
    </xf>
    <xf numFmtId="3" fontId="11" fillId="4" borderId="9" xfId="2" applyNumberFormat="1" applyFont="1" applyFill="1" applyBorder="1" applyAlignment="1">
      <alignment horizontal="center" vertical="center"/>
    </xf>
    <xf numFmtId="179" fontId="13" fillId="6" borderId="13" xfId="4" applyNumberFormat="1" applyFont="1" applyFill="1" applyBorder="1" applyAlignment="1">
      <alignment horizontal="center" vertical="center"/>
    </xf>
    <xf numFmtId="3" fontId="13" fillId="7" borderId="14" xfId="2" applyNumberFormat="1" applyFont="1" applyFill="1" applyBorder="1" applyAlignment="1">
      <alignment horizontal="center" vertical="center"/>
    </xf>
    <xf numFmtId="181" fontId="13" fillId="6" borderId="13" xfId="3" applyNumberFormat="1" applyFont="1" applyFill="1" applyBorder="1" applyAlignment="1">
      <alignment horizontal="center" vertical="center"/>
    </xf>
    <xf numFmtId="182" fontId="11" fillId="0" borderId="15" xfId="3" applyNumberFormat="1" applyFont="1" applyBorder="1" applyAlignment="1">
      <alignment horizontal="center" vertical="center"/>
    </xf>
    <xf numFmtId="182" fontId="13" fillId="6" borderId="16" xfId="3" applyNumberFormat="1" applyFont="1" applyFill="1" applyBorder="1" applyAlignment="1">
      <alignment horizontal="center" vertical="center"/>
    </xf>
    <xf numFmtId="182" fontId="13" fillId="6" borderId="13" xfId="3" applyNumberFormat="1" applyFont="1" applyFill="1" applyBorder="1" applyAlignment="1">
      <alignment horizontal="center" vertical="center"/>
    </xf>
    <xf numFmtId="182" fontId="11" fillId="6" borderId="17" xfId="3" applyNumberFormat="1" applyFont="1" applyFill="1" applyBorder="1" applyAlignment="1">
      <alignment horizontal="center" vertical="center"/>
    </xf>
    <xf numFmtId="0" fontId="13" fillId="6" borderId="13" xfId="5" applyFont="1" applyFill="1" applyBorder="1" applyAlignment="1">
      <alignment horizontal="center" vertical="center"/>
    </xf>
    <xf numFmtId="0" fontId="13" fillId="6" borderId="12" xfId="2" applyFont="1" applyFill="1" applyBorder="1" applyAlignment="1">
      <alignment horizontal="center" vertical="center"/>
    </xf>
    <xf numFmtId="3" fontId="13" fillId="7" borderId="13" xfId="2" applyNumberFormat="1" applyFont="1" applyFill="1" applyBorder="1" applyAlignment="1">
      <alignment horizontal="center" vertical="center" wrapText="1"/>
    </xf>
    <xf numFmtId="3" fontId="13" fillId="7" borderId="13" xfId="2" applyNumberFormat="1" applyFont="1" applyFill="1" applyBorder="1" applyAlignment="1">
      <alignment horizontal="center" vertical="center"/>
    </xf>
    <xf numFmtId="3" fontId="12" fillId="3" borderId="19" xfId="2" applyNumberFormat="1" applyFont="1" applyFill="1" applyBorder="1" applyAlignment="1">
      <alignment horizontal="center" vertical="center"/>
    </xf>
    <xf numFmtId="178" fontId="12" fillId="3" borderId="20" xfId="3" applyNumberFormat="1" applyFont="1" applyFill="1" applyBorder="1" applyAlignment="1">
      <alignment horizontal="center" vertical="center"/>
    </xf>
    <xf numFmtId="3" fontId="12" fillId="3" borderId="20" xfId="2" applyNumberFormat="1" applyFont="1" applyFill="1" applyBorder="1" applyAlignment="1">
      <alignment horizontal="center" vertical="center"/>
    </xf>
    <xf numFmtId="38" fontId="12" fillId="4" borderId="20" xfId="2" applyNumberFormat="1" applyFont="1" applyFill="1" applyBorder="1" applyAlignment="1">
      <alignment horizontal="center" vertical="center"/>
    </xf>
    <xf numFmtId="38" fontId="12" fillId="3" borderId="20" xfId="2" applyNumberFormat="1" applyFont="1" applyFill="1" applyBorder="1" applyAlignment="1">
      <alignment horizontal="center" vertical="center"/>
    </xf>
    <xf numFmtId="179" fontId="12" fillId="3" borderId="20" xfId="4" applyNumberFormat="1" applyFont="1" applyFill="1" applyBorder="1" applyAlignment="1">
      <alignment horizontal="center" vertical="center"/>
    </xf>
    <xf numFmtId="3" fontId="12" fillId="4" borderId="20" xfId="2" applyNumberFormat="1" applyFont="1" applyFill="1" applyBorder="1" applyAlignment="1">
      <alignment horizontal="center" vertical="center"/>
    </xf>
    <xf numFmtId="3" fontId="12" fillId="0" borderId="21" xfId="2" applyNumberFormat="1" applyFont="1" applyBorder="1" applyAlignment="1">
      <alignment horizontal="center" vertical="center"/>
    </xf>
    <xf numFmtId="179" fontId="11" fillId="4" borderId="20" xfId="4" applyNumberFormat="1" applyFont="1" applyFill="1" applyBorder="1" applyAlignment="1">
      <alignment horizontal="center" vertical="center"/>
    </xf>
    <xf numFmtId="3" fontId="11" fillId="4" borderId="20" xfId="2" applyNumberFormat="1" applyFont="1" applyFill="1" applyBorder="1" applyAlignment="1">
      <alignment horizontal="center" vertical="center"/>
    </xf>
    <xf numFmtId="179" fontId="13" fillId="6" borderId="12" xfId="4" applyNumberFormat="1" applyFont="1" applyFill="1" applyBorder="1" applyAlignment="1">
      <alignment horizontal="center" vertical="center"/>
    </xf>
    <xf numFmtId="3" fontId="13" fillId="7" borderId="12" xfId="2" applyNumberFormat="1" applyFont="1" applyFill="1" applyBorder="1" applyAlignment="1">
      <alignment horizontal="center" vertical="center"/>
    </xf>
    <xf numFmtId="181" fontId="13" fillId="6" borderId="12" xfId="3" applyNumberFormat="1" applyFont="1" applyFill="1" applyBorder="1" applyAlignment="1">
      <alignment horizontal="center" vertical="center"/>
    </xf>
    <xf numFmtId="182" fontId="13" fillId="6" borderId="22" xfId="3" applyNumberFormat="1" applyFont="1" applyFill="1" applyBorder="1" applyAlignment="1">
      <alignment horizontal="center" vertical="center"/>
    </xf>
    <xf numFmtId="182" fontId="13" fillId="6" borderId="12" xfId="3" applyNumberFormat="1" applyFont="1" applyFill="1" applyBorder="1" applyAlignment="1">
      <alignment horizontal="center" vertical="center"/>
    </xf>
    <xf numFmtId="182" fontId="11" fillId="6" borderId="15" xfId="3" applyNumberFormat="1" applyFont="1" applyFill="1" applyBorder="1" applyAlignment="1">
      <alignment horizontal="center" vertical="center"/>
    </xf>
    <xf numFmtId="0" fontId="15" fillId="8" borderId="23" xfId="2" applyFont="1" applyFill="1" applyBorder="1" applyAlignment="1">
      <alignment horizontal="center" vertical="center"/>
    </xf>
    <xf numFmtId="0" fontId="15" fillId="8" borderId="24" xfId="2" applyFont="1" applyFill="1" applyBorder="1" applyAlignment="1">
      <alignment horizontal="center" vertical="center"/>
    </xf>
    <xf numFmtId="0" fontId="15" fillId="8" borderId="24" xfId="2" applyFont="1" applyFill="1" applyBorder="1" applyAlignment="1">
      <alignment horizontal="center" vertical="center" wrapText="1"/>
    </xf>
    <xf numFmtId="0" fontId="15" fillId="8" borderId="25" xfId="2" applyFont="1" applyFill="1" applyBorder="1" applyAlignment="1">
      <alignment horizontal="center" vertical="center"/>
    </xf>
    <xf numFmtId="0" fontId="15" fillId="8" borderId="26" xfId="2" applyFont="1" applyFill="1" applyBorder="1" applyAlignment="1">
      <alignment horizontal="center" vertical="center" wrapText="1"/>
    </xf>
    <xf numFmtId="0" fontId="8" fillId="8" borderId="24" xfId="2" applyFont="1" applyFill="1" applyBorder="1" applyAlignment="1">
      <alignment horizontal="center" vertical="center" wrapText="1"/>
    </xf>
    <xf numFmtId="0" fontId="8" fillId="8" borderId="24" xfId="2" applyFont="1" applyFill="1" applyBorder="1" applyAlignment="1">
      <alignment horizontal="center" vertical="center"/>
    </xf>
    <xf numFmtId="0" fontId="15" fillId="8" borderId="27" xfId="2" applyFont="1" applyFill="1" applyBorder="1" applyAlignment="1">
      <alignment horizontal="center" vertical="center" wrapText="1"/>
    </xf>
    <xf numFmtId="0" fontId="15" fillId="8" borderId="28" xfId="2" applyFont="1" applyFill="1" applyBorder="1" applyAlignment="1">
      <alignment horizontal="center" vertical="center" wrapText="1"/>
    </xf>
    <xf numFmtId="0" fontId="17" fillId="0" borderId="0" xfId="0" applyFont="1"/>
    <xf numFmtId="0" fontId="18" fillId="9" borderId="0" xfId="2" applyFont="1" applyFill="1" applyAlignment="1">
      <alignment horizontal="center" vertical="center"/>
    </xf>
    <xf numFmtId="0" fontId="19" fillId="0" borderId="0" xfId="2" applyFont="1">
      <alignment vertical="center"/>
    </xf>
    <xf numFmtId="3" fontId="20" fillId="10" borderId="34" xfId="2" applyNumberFormat="1" applyFont="1" applyFill="1" applyBorder="1" applyAlignment="1">
      <alignment horizontal="center" vertical="center"/>
    </xf>
    <xf numFmtId="178" fontId="20" fillId="10" borderId="35" xfId="3" applyNumberFormat="1" applyFont="1" applyFill="1" applyBorder="1" applyAlignment="1">
      <alignment horizontal="center" vertical="center"/>
    </xf>
    <xf numFmtId="3" fontId="20" fillId="10" borderId="35" xfId="2" applyNumberFormat="1" applyFont="1" applyFill="1" applyBorder="1" applyAlignment="1">
      <alignment horizontal="center" vertical="center"/>
    </xf>
    <xf numFmtId="38" fontId="20" fillId="10" borderId="35" xfId="2" applyNumberFormat="1" applyFont="1" applyFill="1" applyBorder="1" applyAlignment="1">
      <alignment horizontal="center" vertical="center"/>
    </xf>
    <xf numFmtId="179" fontId="20" fillId="10" borderId="35" xfId="4" applyNumberFormat="1" applyFont="1" applyFill="1" applyBorder="1" applyAlignment="1">
      <alignment horizontal="center" vertical="center"/>
    </xf>
    <xf numFmtId="3" fontId="20" fillId="10" borderId="36" xfId="2" applyNumberFormat="1" applyFont="1" applyFill="1" applyBorder="1" applyAlignment="1">
      <alignment horizontal="center" vertical="center"/>
    </xf>
    <xf numFmtId="3" fontId="20" fillId="10" borderId="4" xfId="2" applyNumberFormat="1" applyFont="1" applyFill="1" applyBorder="1" applyAlignment="1">
      <alignment horizontal="center" vertical="center"/>
    </xf>
    <xf numFmtId="178" fontId="20" fillId="10" borderId="37" xfId="4" applyNumberFormat="1" applyFont="1" applyFill="1" applyBorder="1" applyAlignment="1">
      <alignment horizontal="center" vertical="center"/>
    </xf>
    <xf numFmtId="3" fontId="20" fillId="10" borderId="37" xfId="2" applyNumberFormat="1" applyFont="1" applyFill="1" applyBorder="1" applyAlignment="1">
      <alignment horizontal="center" vertical="center"/>
    </xf>
    <xf numFmtId="180" fontId="20" fillId="10" borderId="37" xfId="2" applyNumberFormat="1" applyFont="1" applyFill="1" applyBorder="1" applyAlignment="1">
      <alignment horizontal="center" vertical="center"/>
    </xf>
    <xf numFmtId="179" fontId="20" fillId="10" borderId="37" xfId="4" applyNumberFormat="1" applyFont="1" applyFill="1" applyBorder="1" applyAlignment="1">
      <alignment horizontal="center" vertical="center"/>
    </xf>
    <xf numFmtId="181" fontId="20" fillId="10" borderId="37" xfId="3" applyNumberFormat="1" applyFont="1" applyFill="1" applyBorder="1" applyAlignment="1">
      <alignment horizontal="center" vertical="center"/>
    </xf>
    <xf numFmtId="182" fontId="20" fillId="10" borderId="38" xfId="3" applyNumberFormat="1" applyFont="1" applyFill="1" applyBorder="1" applyAlignment="1">
      <alignment horizontal="center" vertical="center"/>
    </xf>
    <xf numFmtId="182" fontId="20" fillId="10" borderId="37" xfId="3" applyNumberFormat="1" applyFont="1" applyFill="1" applyBorder="1" applyAlignment="1">
      <alignment horizontal="center" vertical="center"/>
    </xf>
    <xf numFmtId="182" fontId="10" fillId="10" borderId="39" xfId="3" applyNumberFormat="1" applyFont="1" applyFill="1" applyBorder="1" applyAlignment="1">
      <alignment horizontal="center" vertical="center"/>
    </xf>
    <xf numFmtId="0" fontId="20" fillId="10" borderId="37" xfId="2" applyFont="1" applyFill="1" applyBorder="1" applyAlignment="1">
      <alignment horizontal="center" vertical="center"/>
    </xf>
    <xf numFmtId="38" fontId="12" fillId="11" borderId="9" xfId="2" applyNumberFormat="1" applyFont="1" applyFill="1" applyBorder="1" applyAlignment="1">
      <alignment horizontal="center" vertical="center"/>
    </xf>
    <xf numFmtId="3" fontId="12" fillId="11" borderId="9" xfId="2" applyNumberFormat="1" applyFont="1" applyFill="1" applyBorder="1" applyAlignment="1">
      <alignment horizontal="center" vertical="center"/>
    </xf>
    <xf numFmtId="183" fontId="12" fillId="0" borderId="20" xfId="3" applyNumberFormat="1" applyFont="1" applyFill="1" applyBorder="1" applyAlignment="1">
      <alignment horizontal="center" vertical="center"/>
    </xf>
    <xf numFmtId="182" fontId="12" fillId="0" borderId="20" xfId="3" applyNumberFormat="1" applyFont="1" applyFill="1" applyBorder="1" applyAlignment="1">
      <alignment horizontal="center" vertical="center"/>
    </xf>
    <xf numFmtId="179" fontId="11" fillId="11" borderId="9" xfId="4" applyNumberFormat="1" applyFont="1" applyFill="1" applyBorder="1" applyAlignment="1">
      <alignment horizontal="center" vertical="center"/>
    </xf>
    <xf numFmtId="3" fontId="11" fillId="11" borderId="9" xfId="2" applyNumberFormat="1" applyFont="1" applyFill="1" applyBorder="1" applyAlignment="1">
      <alignment horizontal="center" vertical="center"/>
    </xf>
    <xf numFmtId="3" fontId="12" fillId="11" borderId="41" xfId="2" applyNumberFormat="1" applyFont="1" applyFill="1" applyBorder="1" applyAlignment="1">
      <alignment horizontal="center" vertical="center"/>
    </xf>
    <xf numFmtId="181" fontId="12" fillId="3" borderId="9" xfId="3" applyNumberFormat="1" applyFont="1" applyFill="1" applyBorder="1" applyAlignment="1">
      <alignment horizontal="center" vertical="center"/>
    </xf>
    <xf numFmtId="182" fontId="11" fillId="0" borderId="21" xfId="3" applyNumberFormat="1" applyFont="1" applyFill="1" applyBorder="1" applyAlignment="1">
      <alignment horizontal="center" vertical="center"/>
    </xf>
    <xf numFmtId="182" fontId="12" fillId="3" borderId="8" xfId="3" applyNumberFormat="1" applyFont="1" applyFill="1" applyBorder="1" applyAlignment="1">
      <alignment horizontal="center" vertical="center"/>
    </xf>
    <xf numFmtId="182" fontId="12" fillId="3" borderId="20" xfId="3" applyNumberFormat="1" applyFont="1" applyFill="1" applyBorder="1" applyAlignment="1">
      <alignment horizontal="center" vertical="center"/>
    </xf>
    <xf numFmtId="182" fontId="11" fillId="3" borderId="10" xfId="3" applyNumberFormat="1" applyFont="1" applyFill="1" applyBorder="1" applyAlignment="1">
      <alignment horizontal="center" vertical="center"/>
    </xf>
    <xf numFmtId="0" fontId="12" fillId="3" borderId="9" xfId="5" applyFont="1" applyFill="1" applyBorder="1" applyAlignment="1">
      <alignment horizontal="center" vertical="center"/>
    </xf>
    <xf numFmtId="0" fontId="12" fillId="3" borderId="20" xfId="2" applyFont="1" applyFill="1" applyBorder="1" applyAlignment="1">
      <alignment horizontal="center" vertical="center"/>
    </xf>
    <xf numFmtId="3" fontId="12" fillId="11" borderId="9" xfId="2" applyNumberFormat="1" applyFont="1" applyFill="1" applyBorder="1" applyAlignment="1">
      <alignment horizontal="center" vertical="center" wrapText="1"/>
    </xf>
    <xf numFmtId="38" fontId="12" fillId="11" borderId="20" xfId="2" applyNumberFormat="1" applyFont="1" applyFill="1" applyBorder="1" applyAlignment="1">
      <alignment horizontal="center" vertical="center"/>
    </xf>
    <xf numFmtId="3" fontId="12" fillId="11" borderId="20" xfId="2" applyNumberFormat="1" applyFont="1" applyFill="1" applyBorder="1" applyAlignment="1">
      <alignment horizontal="center" vertical="center"/>
    </xf>
    <xf numFmtId="179" fontId="11" fillId="11" borderId="20" xfId="4" applyNumberFormat="1" applyFont="1" applyFill="1" applyBorder="1" applyAlignment="1">
      <alignment horizontal="center" vertical="center"/>
    </xf>
    <xf numFmtId="3" fontId="11" fillId="11" borderId="20" xfId="2" applyNumberFormat="1" applyFont="1" applyFill="1" applyBorder="1" applyAlignment="1">
      <alignment horizontal="center" vertical="center"/>
    </xf>
    <xf numFmtId="181" fontId="12" fillId="3" borderId="20" xfId="3" applyNumberFormat="1" applyFont="1" applyFill="1" applyBorder="1" applyAlignment="1">
      <alignment horizontal="center" vertical="center"/>
    </xf>
    <xf numFmtId="182" fontId="12" fillId="3" borderId="19" xfId="3" applyNumberFormat="1" applyFont="1" applyFill="1" applyBorder="1" applyAlignment="1">
      <alignment horizontal="center" vertical="center"/>
    </xf>
    <xf numFmtId="182" fontId="11" fillId="3" borderId="21" xfId="3" applyNumberFormat="1" applyFont="1" applyFill="1" applyBorder="1" applyAlignment="1">
      <alignment horizontal="center" vertical="center"/>
    </xf>
    <xf numFmtId="0" fontId="20" fillId="13" borderId="43" xfId="2" applyFont="1" applyFill="1" applyBorder="1" applyAlignment="1">
      <alignment horizontal="center" vertical="center"/>
    </xf>
    <xf numFmtId="0" fontId="20" fillId="13" borderId="44" xfId="2" applyFont="1" applyFill="1" applyBorder="1" applyAlignment="1">
      <alignment horizontal="center" vertical="center"/>
    </xf>
    <xf numFmtId="0" fontId="20" fillId="13" borderId="44" xfId="2" applyFont="1" applyFill="1" applyBorder="1" applyAlignment="1">
      <alignment horizontal="center" vertical="center" wrapText="1"/>
    </xf>
    <xf numFmtId="0" fontId="20" fillId="13" borderId="45" xfId="2" applyFont="1" applyFill="1" applyBorder="1" applyAlignment="1">
      <alignment horizontal="center" vertical="center"/>
    </xf>
    <xf numFmtId="0" fontId="20" fillId="13" borderId="46" xfId="2" applyFont="1" applyFill="1" applyBorder="1" applyAlignment="1">
      <alignment horizontal="center" vertical="center" wrapText="1"/>
    </xf>
    <xf numFmtId="0" fontId="20" fillId="13" borderId="47" xfId="2" applyFont="1" applyFill="1" applyBorder="1" applyAlignment="1">
      <alignment horizontal="center" vertical="center" wrapText="1"/>
    </xf>
    <xf numFmtId="0" fontId="20" fillId="13" borderId="48" xfId="2" applyFont="1" applyFill="1" applyBorder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3" fontId="20" fillId="10" borderId="38" xfId="2" applyNumberFormat="1" applyFont="1" applyFill="1" applyBorder="1" applyAlignment="1">
      <alignment horizontal="center" vertical="center"/>
    </xf>
    <xf numFmtId="178" fontId="20" fillId="10" borderId="37" xfId="3" applyNumberFormat="1" applyFont="1" applyFill="1" applyBorder="1" applyAlignment="1">
      <alignment horizontal="center" vertical="center"/>
    </xf>
    <xf numFmtId="38" fontId="20" fillId="10" borderId="37" xfId="2" applyNumberFormat="1" applyFont="1" applyFill="1" applyBorder="1" applyAlignment="1">
      <alignment horizontal="center" vertical="center"/>
    </xf>
    <xf numFmtId="3" fontId="20" fillId="10" borderId="39" xfId="2" applyNumberFormat="1" applyFont="1" applyFill="1" applyBorder="1" applyAlignment="1">
      <alignment horizontal="center" vertical="center"/>
    </xf>
    <xf numFmtId="184" fontId="20" fillId="10" borderId="37" xfId="4" applyNumberFormat="1" applyFont="1" applyFill="1" applyBorder="1" applyAlignment="1">
      <alignment horizontal="center" vertical="center"/>
    </xf>
    <xf numFmtId="182" fontId="20" fillId="10" borderId="54" xfId="3" applyNumberFormat="1" applyFont="1" applyFill="1" applyBorder="1" applyAlignment="1">
      <alignment horizontal="center" vertical="center"/>
    </xf>
    <xf numFmtId="182" fontId="20" fillId="10" borderId="55" xfId="3" applyNumberFormat="1" applyFont="1" applyFill="1" applyBorder="1" applyAlignment="1">
      <alignment horizontal="center" vertical="center"/>
    </xf>
    <xf numFmtId="182" fontId="10" fillId="10" borderId="56" xfId="3" applyNumberFormat="1" applyFont="1" applyFill="1" applyBorder="1" applyAlignment="1">
      <alignment horizontal="center" vertical="center"/>
    </xf>
    <xf numFmtId="3" fontId="20" fillId="10" borderId="57" xfId="2" applyNumberFormat="1" applyFont="1" applyFill="1" applyBorder="1" applyAlignment="1">
      <alignment horizontal="center" vertical="center"/>
    </xf>
    <xf numFmtId="178" fontId="20" fillId="10" borderId="58" xfId="3" applyNumberFormat="1" applyFont="1" applyFill="1" applyBorder="1" applyAlignment="1">
      <alignment horizontal="center" vertical="center"/>
    </xf>
    <xf numFmtId="3" fontId="20" fillId="10" borderId="58" xfId="2" applyNumberFormat="1" applyFont="1" applyFill="1" applyBorder="1" applyAlignment="1">
      <alignment horizontal="center" vertical="center"/>
    </xf>
    <xf numFmtId="38" fontId="20" fillId="10" borderId="58" xfId="2" applyNumberFormat="1" applyFont="1" applyFill="1" applyBorder="1" applyAlignment="1">
      <alignment horizontal="center" vertical="center"/>
    </xf>
    <xf numFmtId="179" fontId="20" fillId="10" borderId="58" xfId="4" applyNumberFormat="1" applyFont="1" applyFill="1" applyBorder="1" applyAlignment="1">
      <alignment horizontal="center" vertical="center"/>
    </xf>
    <xf numFmtId="3" fontId="20" fillId="10" borderId="59" xfId="2" applyNumberFormat="1" applyFont="1" applyFill="1" applyBorder="1" applyAlignment="1">
      <alignment horizontal="center" vertical="center"/>
    </xf>
    <xf numFmtId="3" fontId="20" fillId="10" borderId="60" xfId="2" applyNumberFormat="1" applyFont="1" applyFill="1" applyBorder="1" applyAlignment="1">
      <alignment horizontal="center" vertical="center"/>
    </xf>
    <xf numFmtId="184" fontId="20" fillId="10" borderId="61" xfId="4" applyNumberFormat="1" applyFont="1" applyFill="1" applyBorder="1" applyAlignment="1">
      <alignment horizontal="center" vertical="center"/>
    </xf>
    <xf numFmtId="3" fontId="20" fillId="10" borderId="61" xfId="2" applyNumberFormat="1" applyFont="1" applyFill="1" applyBorder="1" applyAlignment="1">
      <alignment horizontal="center" vertical="center"/>
    </xf>
    <xf numFmtId="180" fontId="20" fillId="10" borderId="61" xfId="2" applyNumberFormat="1" applyFont="1" applyFill="1" applyBorder="1" applyAlignment="1">
      <alignment horizontal="center" vertical="center"/>
    </xf>
    <xf numFmtId="179" fontId="20" fillId="10" borderId="61" xfId="4" applyNumberFormat="1" applyFont="1" applyFill="1" applyBorder="1" applyAlignment="1">
      <alignment horizontal="center" vertical="center"/>
    </xf>
    <xf numFmtId="181" fontId="20" fillId="10" borderId="61" xfId="3" applyNumberFormat="1" applyFont="1" applyFill="1" applyBorder="1" applyAlignment="1">
      <alignment horizontal="center" vertical="center"/>
    </xf>
    <xf numFmtId="182" fontId="20" fillId="10" borderId="62" xfId="3" applyNumberFormat="1" applyFont="1" applyFill="1" applyBorder="1" applyAlignment="1">
      <alignment horizontal="center" vertical="center"/>
    </xf>
    <xf numFmtId="182" fontId="20" fillId="10" borderId="61" xfId="3" applyNumberFormat="1" applyFont="1" applyFill="1" applyBorder="1" applyAlignment="1">
      <alignment horizontal="center" vertical="center"/>
    </xf>
    <xf numFmtId="182" fontId="10" fillId="10" borderId="63" xfId="3" applyNumberFormat="1" applyFont="1" applyFill="1" applyBorder="1" applyAlignment="1">
      <alignment horizontal="center" vertical="center"/>
    </xf>
    <xf numFmtId="0" fontId="20" fillId="10" borderId="61" xfId="2" applyFont="1" applyFill="1" applyBorder="1" applyAlignment="1">
      <alignment horizontal="center" vertical="center"/>
    </xf>
    <xf numFmtId="182" fontId="12" fillId="0" borderId="8" xfId="6" applyNumberFormat="1" applyFont="1" applyFill="1" applyBorder="1" applyAlignment="1">
      <alignment horizontal="center" vertical="center"/>
    </xf>
    <xf numFmtId="182" fontId="12" fillId="0" borderId="19" xfId="6" applyNumberFormat="1" applyFont="1" applyFill="1" applyBorder="1" applyAlignment="1">
      <alignment horizontal="center" vertical="center"/>
    </xf>
    <xf numFmtId="178" fontId="15" fillId="14" borderId="2" xfId="3" applyNumberFormat="1" applyFont="1" applyFill="1" applyBorder="1" applyAlignment="1">
      <alignment horizontal="center" vertical="center"/>
    </xf>
    <xf numFmtId="3" fontId="24" fillId="14" borderId="2" xfId="2" applyNumberFormat="1" applyFont="1" applyFill="1" applyBorder="1" applyAlignment="1">
      <alignment horizontal="center" vertical="center"/>
    </xf>
    <xf numFmtId="38" fontId="15" fillId="14" borderId="2" xfId="2" applyNumberFormat="1" applyFont="1" applyFill="1" applyBorder="1" applyAlignment="1">
      <alignment horizontal="center" vertical="center"/>
    </xf>
    <xf numFmtId="179" fontId="24" fillId="14" borderId="2" xfId="7" applyNumberFormat="1" applyFont="1" applyFill="1" applyBorder="1" applyAlignment="1">
      <alignment horizontal="center" vertical="center"/>
    </xf>
    <xf numFmtId="3" fontId="24" fillId="14" borderId="3" xfId="2" applyNumberFormat="1" applyFont="1" applyFill="1" applyBorder="1" applyAlignment="1">
      <alignment horizontal="center" vertical="center"/>
    </xf>
    <xf numFmtId="178" fontId="24" fillId="14" borderId="5" xfId="7" applyNumberFormat="1" applyFont="1" applyFill="1" applyBorder="1" applyAlignment="1">
      <alignment horizontal="center" vertical="center"/>
    </xf>
    <xf numFmtId="3" fontId="24" fillId="14" borderId="5" xfId="2" applyNumberFormat="1" applyFont="1" applyFill="1" applyBorder="1" applyAlignment="1">
      <alignment horizontal="center" vertical="center"/>
    </xf>
    <xf numFmtId="180" fontId="24" fillId="14" borderId="5" xfId="2" applyNumberFormat="1" applyFont="1" applyFill="1" applyBorder="1" applyAlignment="1">
      <alignment horizontal="center" vertical="center"/>
    </xf>
    <xf numFmtId="179" fontId="24" fillId="14" borderId="5" xfId="7" applyNumberFormat="1" applyFont="1" applyFill="1" applyBorder="1" applyAlignment="1">
      <alignment horizontal="center" vertical="center"/>
    </xf>
    <xf numFmtId="181" fontId="24" fillId="14" borderId="5" xfId="3" applyNumberFormat="1" applyFont="1" applyFill="1" applyBorder="1" applyAlignment="1">
      <alignment horizontal="center" vertical="center"/>
    </xf>
    <xf numFmtId="182" fontId="24" fillId="14" borderId="6" xfId="3" applyNumberFormat="1" applyFont="1" applyFill="1" applyBorder="1" applyAlignment="1">
      <alignment horizontal="center" vertical="center"/>
    </xf>
    <xf numFmtId="182" fontId="24" fillId="14" borderId="5" xfId="3" applyNumberFormat="1" applyFont="1" applyFill="1" applyBorder="1" applyAlignment="1">
      <alignment horizontal="center" vertical="center"/>
    </xf>
    <xf numFmtId="182" fontId="10" fillId="14" borderId="7" xfId="3" applyNumberFormat="1" applyFont="1" applyFill="1" applyBorder="1" applyAlignment="1">
      <alignment horizontal="center" vertical="center"/>
    </xf>
    <xf numFmtId="0" fontId="24" fillId="14" borderId="5" xfId="2" applyFont="1" applyFill="1" applyBorder="1" applyAlignment="1">
      <alignment horizontal="center" vertical="center"/>
    </xf>
    <xf numFmtId="178" fontId="23" fillId="6" borderId="13" xfId="3" applyNumberFormat="1" applyFont="1" applyFill="1" applyBorder="1" applyAlignment="1">
      <alignment horizontal="center" vertical="center"/>
    </xf>
    <xf numFmtId="3" fontId="23" fillId="6" borderId="13" xfId="2" applyNumberFormat="1" applyFont="1" applyFill="1" applyBorder="1" applyAlignment="1">
      <alignment horizontal="center" vertical="center"/>
    </xf>
    <xf numFmtId="38" fontId="23" fillId="15" borderId="13" xfId="2" applyNumberFormat="1" applyFont="1" applyFill="1" applyBorder="1" applyAlignment="1">
      <alignment horizontal="center" vertical="center"/>
    </xf>
    <xf numFmtId="38" fontId="23" fillId="6" borderId="13" xfId="2" applyNumberFormat="1" applyFont="1" applyFill="1" applyBorder="1" applyAlignment="1">
      <alignment horizontal="center" vertical="center"/>
    </xf>
    <xf numFmtId="179" fontId="23" fillId="6" borderId="13" xfId="7" applyNumberFormat="1" applyFont="1" applyFill="1" applyBorder="1" applyAlignment="1">
      <alignment horizontal="center" vertical="center"/>
    </xf>
    <xf numFmtId="3" fontId="23" fillId="15" borderId="13" xfId="2" applyNumberFormat="1" applyFont="1" applyFill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178" fontId="23" fillId="6" borderId="13" xfId="7" applyNumberFormat="1" applyFont="1" applyFill="1" applyBorder="1" applyAlignment="1">
      <alignment horizontal="center" vertical="center"/>
    </xf>
    <xf numFmtId="180" fontId="23" fillId="15" borderId="13" xfId="2" applyNumberFormat="1" applyFont="1" applyFill="1" applyBorder="1" applyAlignment="1">
      <alignment horizontal="center" vertical="center"/>
    </xf>
    <xf numFmtId="180" fontId="23" fillId="6" borderId="13" xfId="2" applyNumberFormat="1" applyFont="1" applyFill="1" applyBorder="1" applyAlignment="1">
      <alignment horizontal="center" vertical="center"/>
    </xf>
    <xf numFmtId="179" fontId="23" fillId="15" borderId="13" xfId="8" applyNumberFormat="1" applyFont="1" applyFill="1" applyBorder="1" applyAlignment="1">
      <alignment horizontal="center" vertical="center"/>
    </xf>
    <xf numFmtId="179" fontId="23" fillId="6" borderId="13" xfId="8" applyNumberFormat="1" applyFont="1" applyFill="1" applyBorder="1" applyAlignment="1">
      <alignment horizontal="center" vertical="center"/>
    </xf>
    <xf numFmtId="181" fontId="23" fillId="6" borderId="13" xfId="3" applyNumberFormat="1" applyFont="1" applyFill="1" applyBorder="1" applyAlignment="1">
      <alignment horizontal="center" vertical="center"/>
    </xf>
    <xf numFmtId="182" fontId="23" fillId="6" borderId="16" xfId="3" applyNumberFormat="1" applyFont="1" applyFill="1" applyBorder="1" applyAlignment="1">
      <alignment horizontal="center" vertical="center"/>
    </xf>
    <xf numFmtId="182" fontId="23" fillId="6" borderId="13" xfId="3" applyNumberFormat="1" applyFont="1" applyFill="1" applyBorder="1" applyAlignment="1">
      <alignment horizontal="center" vertical="center"/>
    </xf>
    <xf numFmtId="0" fontId="23" fillId="6" borderId="13" xfId="2" applyFont="1" applyFill="1" applyBorder="1" applyAlignment="1">
      <alignment horizontal="center" vertical="center"/>
    </xf>
    <xf numFmtId="0" fontId="24" fillId="8" borderId="23" xfId="2" applyFont="1" applyFill="1" applyBorder="1" applyAlignment="1">
      <alignment horizontal="center" vertical="center"/>
    </xf>
    <xf numFmtId="0" fontId="24" fillId="8" borderId="24" xfId="2" applyFont="1" applyFill="1" applyBorder="1" applyAlignment="1">
      <alignment horizontal="center" vertical="center"/>
    </xf>
    <xf numFmtId="0" fontId="24" fillId="8" borderId="24" xfId="2" applyFont="1" applyFill="1" applyBorder="1" applyAlignment="1">
      <alignment horizontal="center" vertical="center" wrapText="1"/>
    </xf>
    <xf numFmtId="0" fontId="24" fillId="8" borderId="25" xfId="2" applyFont="1" applyFill="1" applyBorder="1" applyAlignment="1">
      <alignment horizontal="center" vertical="center"/>
    </xf>
    <xf numFmtId="0" fontId="24" fillId="8" borderId="69" xfId="2" applyFont="1" applyFill="1" applyBorder="1" applyAlignment="1">
      <alignment horizontal="center" vertical="center" wrapText="1"/>
    </xf>
    <xf numFmtId="0" fontId="15" fillId="8" borderId="70" xfId="2" applyFont="1" applyFill="1" applyBorder="1" applyAlignment="1">
      <alignment horizontal="center" vertical="center" wrapText="1"/>
    </xf>
    <xf numFmtId="0" fontId="24" fillId="8" borderId="70" xfId="2" applyFont="1" applyFill="1" applyBorder="1" applyAlignment="1">
      <alignment horizontal="center" vertical="center" wrapText="1"/>
    </xf>
    <xf numFmtId="0" fontId="15" fillId="8" borderId="70" xfId="2" applyFont="1" applyFill="1" applyBorder="1" applyAlignment="1">
      <alignment horizontal="center" vertical="center"/>
    </xf>
    <xf numFmtId="0" fontId="24" fillId="8" borderId="71" xfId="2" applyFont="1" applyFill="1" applyBorder="1" applyAlignment="1">
      <alignment horizontal="center" vertical="center" wrapText="1"/>
    </xf>
    <xf numFmtId="0" fontId="24" fillId="8" borderId="72" xfId="2" applyFont="1" applyFill="1" applyBorder="1" applyAlignment="1">
      <alignment horizontal="center" vertical="center" wrapText="1"/>
    </xf>
    <xf numFmtId="182" fontId="12" fillId="0" borderId="20" xfId="9" applyNumberFormat="1" applyFont="1" applyFill="1" applyBorder="1" applyAlignment="1">
      <alignment horizontal="center" vertical="center"/>
    </xf>
    <xf numFmtId="38" fontId="11" fillId="0" borderId="77" xfId="9" applyNumberFormat="1" applyFont="1" applyFill="1" applyBorder="1" applyAlignment="1">
      <alignment horizontal="center" vertical="center"/>
    </xf>
    <xf numFmtId="182" fontId="23" fillId="6" borderId="16" xfId="10" applyNumberFormat="1" applyFont="1" applyFill="1" applyBorder="1" applyAlignment="1">
      <alignment horizontal="center" vertical="center"/>
    </xf>
    <xf numFmtId="182" fontId="23" fillId="6" borderId="78" xfId="10" applyNumberFormat="1" applyFont="1" applyFill="1" applyBorder="1" applyAlignment="1">
      <alignment horizontal="center" vertical="center"/>
    </xf>
    <xf numFmtId="0" fontId="23" fillId="6" borderId="16" xfId="2" applyFont="1" applyFill="1" applyBorder="1" applyAlignment="1">
      <alignment horizontal="center" vertical="center"/>
    </xf>
    <xf numFmtId="2" fontId="12" fillId="3" borderId="9" xfId="3" applyNumberFormat="1" applyFont="1" applyFill="1" applyBorder="1" applyAlignment="1">
      <alignment horizontal="center" vertical="center"/>
    </xf>
    <xf numFmtId="3" fontId="23" fillId="15" borderId="13" xfId="11" applyNumberFormat="1" applyFont="1" applyFill="1" applyBorder="1" applyAlignment="1">
      <alignment horizontal="center" vertical="center"/>
    </xf>
    <xf numFmtId="3" fontId="23" fillId="0" borderId="17" xfId="11" applyNumberFormat="1" applyFont="1" applyBorder="1" applyAlignment="1">
      <alignment horizontal="center" vertical="center"/>
    </xf>
    <xf numFmtId="3" fontId="23" fillId="6" borderId="13" xfId="11" applyNumberFormat="1" applyFont="1" applyFill="1" applyBorder="1" applyAlignment="1">
      <alignment horizontal="center" vertical="center"/>
    </xf>
    <xf numFmtId="182" fontId="23" fillId="6" borderId="83" xfId="3" applyNumberFormat="1" applyFont="1" applyFill="1" applyBorder="1" applyAlignment="1">
      <alignment horizontal="center" vertical="center"/>
    </xf>
    <xf numFmtId="182" fontId="23" fillId="6" borderId="84" xfId="3" applyNumberFormat="1" applyFont="1" applyFill="1" applyBorder="1" applyAlignment="1">
      <alignment horizontal="center" vertical="center"/>
    </xf>
    <xf numFmtId="182" fontId="11" fillId="0" borderId="85" xfId="9" applyNumberFormat="1" applyFont="1" applyFill="1" applyBorder="1" applyAlignment="1">
      <alignment horizontal="center" vertical="center"/>
    </xf>
    <xf numFmtId="182" fontId="23" fillId="6" borderId="86" xfId="3" applyNumberFormat="1" applyFont="1" applyFill="1" applyBorder="1" applyAlignment="1">
      <alignment horizontal="center" vertical="center"/>
    </xf>
    <xf numFmtId="182" fontId="23" fillId="6" borderId="87" xfId="3" applyNumberFormat="1" applyFont="1" applyFill="1" applyBorder="1" applyAlignment="1">
      <alignment horizontal="center" vertical="center"/>
    </xf>
    <xf numFmtId="182" fontId="23" fillId="6" borderId="88" xfId="3" applyNumberFormat="1" applyFont="1" applyFill="1" applyBorder="1" applyAlignment="1">
      <alignment horizontal="center" vertical="center"/>
    </xf>
    <xf numFmtId="182" fontId="23" fillId="6" borderId="89" xfId="3" applyNumberFormat="1" applyFont="1" applyFill="1" applyBorder="1" applyAlignment="1">
      <alignment horizontal="center" vertical="center"/>
    </xf>
    <xf numFmtId="3" fontId="20" fillId="10" borderId="90" xfId="2" applyNumberFormat="1" applyFont="1" applyFill="1" applyBorder="1" applyAlignment="1">
      <alignment horizontal="center" vertical="center"/>
    </xf>
    <xf numFmtId="183" fontId="12" fillId="0" borderId="20" xfId="3" applyNumberFormat="1" applyFont="1" applyBorder="1" applyAlignment="1">
      <alignment horizontal="center" vertical="center"/>
    </xf>
    <xf numFmtId="182" fontId="12" fillId="0" borderId="20" xfId="3" applyNumberFormat="1" applyFont="1" applyBorder="1" applyAlignment="1">
      <alignment horizontal="center" vertical="center"/>
    </xf>
    <xf numFmtId="182" fontId="12" fillId="0" borderId="20" xfId="9" applyNumberFormat="1" applyFont="1" applyBorder="1" applyAlignment="1">
      <alignment horizontal="center" vertical="center"/>
    </xf>
    <xf numFmtId="38" fontId="11" fillId="0" borderId="77" xfId="9" applyNumberFormat="1" applyFont="1" applyBorder="1" applyAlignment="1">
      <alignment horizontal="center" vertical="center"/>
    </xf>
    <xf numFmtId="3" fontId="12" fillId="0" borderId="19" xfId="2" applyNumberFormat="1" applyFont="1" applyBorder="1" applyAlignment="1">
      <alignment horizontal="center" vertical="center"/>
    </xf>
    <xf numFmtId="182" fontId="23" fillId="6" borderId="92" xfId="3" applyNumberFormat="1" applyFont="1" applyFill="1" applyBorder="1" applyAlignment="1">
      <alignment horizontal="center" vertical="center"/>
    </xf>
    <xf numFmtId="182" fontId="23" fillId="6" borderId="93" xfId="3" applyNumberFormat="1" applyFont="1" applyFill="1" applyBorder="1" applyAlignment="1">
      <alignment horizontal="center" vertical="center"/>
    </xf>
    <xf numFmtId="0" fontId="23" fillId="6" borderId="8" xfId="2" applyFont="1" applyFill="1" applyBorder="1" applyAlignment="1">
      <alignment horizontal="center" vertical="center"/>
    </xf>
    <xf numFmtId="182" fontId="11" fillId="0" borderId="94" xfId="3" applyNumberFormat="1" applyFont="1" applyBorder="1" applyAlignment="1">
      <alignment horizontal="center" vertical="center"/>
    </xf>
    <xf numFmtId="0" fontId="23" fillId="6" borderId="19" xfId="2" applyFont="1" applyFill="1" applyBorder="1" applyAlignment="1">
      <alignment horizontal="center" vertical="center"/>
    </xf>
    <xf numFmtId="182" fontId="11" fillId="0" borderId="63" xfId="3" applyNumberFormat="1" applyFont="1" applyBorder="1" applyAlignment="1">
      <alignment horizontal="center" vertical="center"/>
    </xf>
    <xf numFmtId="182" fontId="0" fillId="0" borderId="0" xfId="0" applyNumberFormat="1"/>
    <xf numFmtId="3" fontId="12" fillId="3" borderId="40" xfId="2" applyNumberFormat="1" applyFont="1" applyFill="1" applyBorder="1" applyAlignment="1">
      <alignment horizontal="center" vertical="center"/>
    </xf>
    <xf numFmtId="3" fontId="23" fillId="15" borderId="0" xfId="11" quotePrefix="1" applyNumberFormat="1" applyFont="1" applyFill="1" applyAlignment="1">
      <alignment horizontal="center" vertical="center"/>
    </xf>
    <xf numFmtId="3" fontId="23" fillId="0" borderId="76" xfId="11" quotePrefix="1" applyNumberFormat="1" applyFont="1" applyBorder="1" applyAlignment="1">
      <alignment horizontal="center" vertical="center"/>
    </xf>
    <xf numFmtId="3" fontId="23" fillId="15" borderId="13" xfId="11" quotePrefix="1" applyNumberFormat="1" applyFont="1" applyFill="1" applyBorder="1" applyAlignment="1">
      <alignment horizontal="center" vertical="center"/>
    </xf>
    <xf numFmtId="3" fontId="23" fillId="6" borderId="13" xfId="11" quotePrefix="1" applyNumberFormat="1" applyFont="1" applyFill="1" applyBorder="1" applyAlignment="1">
      <alignment horizontal="center" vertical="center"/>
    </xf>
    <xf numFmtId="182" fontId="11" fillId="6" borderId="95" xfId="3" applyNumberFormat="1" applyFont="1" applyFill="1" applyBorder="1" applyAlignment="1">
      <alignment horizontal="center" vertical="center"/>
    </xf>
    <xf numFmtId="0" fontId="12" fillId="3" borderId="96" xfId="2" applyFont="1" applyFill="1" applyBorder="1" applyAlignment="1">
      <alignment horizontal="center" vertical="center"/>
    </xf>
    <xf numFmtId="0" fontId="12" fillId="3" borderId="97" xfId="2" applyFont="1" applyFill="1" applyBorder="1" applyAlignment="1">
      <alignment horizontal="center" vertical="center"/>
    </xf>
    <xf numFmtId="0" fontId="12" fillId="3" borderId="98" xfId="2" applyFont="1" applyFill="1" applyBorder="1" applyAlignment="1">
      <alignment horizontal="center" vertical="center"/>
    </xf>
    <xf numFmtId="3" fontId="12" fillId="12" borderId="99" xfId="2" applyNumberFormat="1" applyFont="1" applyFill="1" applyBorder="1" applyAlignment="1">
      <alignment horizontal="center" vertical="center"/>
    </xf>
    <xf numFmtId="182" fontId="11" fillId="6" borderId="100" xfId="3" applyNumberFormat="1" applyFont="1" applyFill="1" applyBorder="1" applyAlignment="1">
      <alignment horizontal="center" vertical="center"/>
    </xf>
    <xf numFmtId="0" fontId="12" fillId="3" borderId="9" xfId="2" applyFont="1" applyFill="1" applyBorder="1" applyAlignment="1">
      <alignment horizontal="center" vertical="center"/>
    </xf>
    <xf numFmtId="182" fontId="11" fillId="6" borderId="101" xfId="3" applyNumberFormat="1" applyFont="1" applyFill="1" applyBorder="1" applyAlignment="1">
      <alignment horizontal="center" vertical="center"/>
    </xf>
    <xf numFmtId="9" fontId="23" fillId="0" borderId="103" xfId="1" applyFont="1" applyBorder="1" applyAlignment="1">
      <alignment horizontal="center" vertical="center"/>
    </xf>
    <xf numFmtId="9" fontId="23" fillId="6" borderId="104" xfId="1" applyFont="1" applyFill="1" applyBorder="1" applyAlignment="1">
      <alignment horizontal="center" vertical="center"/>
    </xf>
    <xf numFmtId="9" fontId="23" fillId="0" borderId="104" xfId="1" applyFont="1" applyBorder="1" applyAlignment="1">
      <alignment horizontal="center" vertical="center"/>
    </xf>
    <xf numFmtId="0" fontId="23" fillId="0" borderId="104" xfId="2" applyFont="1" applyBorder="1" applyAlignment="1">
      <alignment horizontal="center" vertical="center"/>
    </xf>
    <xf numFmtId="0" fontId="23" fillId="6" borderId="105" xfId="2" applyFont="1" applyFill="1" applyBorder="1" applyAlignment="1">
      <alignment horizontal="center" vertical="center"/>
    </xf>
    <xf numFmtId="0" fontId="23" fillId="6" borderId="106" xfId="2" applyFont="1" applyFill="1" applyBorder="1">
      <alignment vertical="center"/>
    </xf>
    <xf numFmtId="3" fontId="23" fillId="0" borderId="107" xfId="2" applyNumberFormat="1" applyFont="1" applyBorder="1" applyAlignment="1">
      <alignment horizontal="center" vertical="center"/>
    </xf>
    <xf numFmtId="182" fontId="13" fillId="6" borderId="13" xfId="12" applyNumberFormat="1" applyFont="1" applyFill="1" applyBorder="1" applyAlignment="1">
      <alignment horizontal="center" vertical="center"/>
    </xf>
    <xf numFmtId="182" fontId="23" fillId="0" borderId="108" xfId="2" applyNumberFormat="1" applyFont="1" applyBorder="1" applyAlignment="1">
      <alignment horizontal="center" vertical="center"/>
    </xf>
    <xf numFmtId="0" fontId="23" fillId="0" borderId="108" xfId="2" applyFont="1" applyBorder="1" applyAlignment="1">
      <alignment horizontal="center" vertical="center"/>
    </xf>
    <xf numFmtId="0" fontId="23" fillId="6" borderId="109" xfId="2" applyFont="1" applyFill="1" applyBorder="1" applyAlignment="1">
      <alignment horizontal="center" vertical="center"/>
    </xf>
    <xf numFmtId="0" fontId="23" fillId="6" borderId="110" xfId="2" applyFont="1" applyFill="1" applyBorder="1">
      <alignment vertical="center"/>
    </xf>
    <xf numFmtId="0" fontId="12" fillId="0" borderId="0" xfId="2" applyFont="1">
      <alignment vertical="center"/>
    </xf>
    <xf numFmtId="0" fontId="25" fillId="0" borderId="0" xfId="2" applyFont="1">
      <alignment vertical="center"/>
    </xf>
    <xf numFmtId="0" fontId="26" fillId="0" borderId="0" xfId="2" applyFont="1">
      <alignment vertical="center"/>
    </xf>
    <xf numFmtId="9" fontId="0" fillId="0" borderId="0" xfId="1" applyFont="1" applyAlignment="1"/>
    <xf numFmtId="0" fontId="12" fillId="0" borderId="0" xfId="2" applyFont="1" applyAlignment="1">
      <alignment horizontal="left" vertical="center"/>
    </xf>
    <xf numFmtId="0" fontId="12" fillId="0" borderId="0" xfId="13" applyFont="1" applyAlignment="1">
      <alignment horizontal="left" vertical="center"/>
    </xf>
    <xf numFmtId="0" fontId="12" fillId="0" borderId="0" xfId="13" applyFont="1">
      <alignment vertical="center"/>
    </xf>
    <xf numFmtId="0" fontId="12" fillId="0" borderId="0" xfId="14" applyFont="1">
      <alignment vertical="center"/>
    </xf>
    <xf numFmtId="3" fontId="12" fillId="0" borderId="0" xfId="14" applyNumberFormat="1" applyFont="1">
      <alignment vertical="center"/>
    </xf>
    <xf numFmtId="3" fontId="27" fillId="0" borderId="0" xfId="0" applyNumberFormat="1" applyFont="1"/>
    <xf numFmtId="0" fontId="12" fillId="0" borderId="0" xfId="14" applyFont="1" applyAlignment="1">
      <alignment horizontal="left" vertical="center"/>
    </xf>
    <xf numFmtId="0" fontId="9" fillId="0" borderId="0" xfId="16" applyFont="1" applyAlignment="1">
      <alignment horizontal="left" vertical="center"/>
    </xf>
    <xf numFmtId="0" fontId="29" fillId="0" borderId="0" xfId="16" applyFont="1" applyAlignment="1">
      <alignment horizontal="left" vertical="center"/>
    </xf>
    <xf numFmtId="0" fontId="29" fillId="0" borderId="0" xfId="16" applyFont="1">
      <alignment vertical="center"/>
    </xf>
    <xf numFmtId="0" fontId="18" fillId="9" borderId="0" xfId="11" applyFont="1" applyFill="1" applyAlignment="1">
      <alignment horizontal="center" vertical="center"/>
    </xf>
    <xf numFmtId="0" fontId="9" fillId="8" borderId="111" xfId="2" applyFont="1" applyFill="1" applyBorder="1" applyAlignment="1">
      <alignment horizontal="center" vertical="center"/>
    </xf>
    <xf numFmtId="0" fontId="9" fillId="8" borderId="112" xfId="2" applyFont="1" applyFill="1" applyBorder="1" applyAlignment="1">
      <alignment horizontal="center" vertical="center" wrapText="1"/>
    </xf>
    <xf numFmtId="0" fontId="9" fillId="8" borderId="113" xfId="2" applyFont="1" applyFill="1" applyBorder="1" applyAlignment="1">
      <alignment horizontal="center" vertical="center" wrapText="1"/>
    </xf>
    <xf numFmtId="0" fontId="9" fillId="8" borderId="113" xfId="2" applyFont="1" applyFill="1" applyBorder="1" applyAlignment="1">
      <alignment horizontal="center" vertical="center"/>
    </xf>
    <xf numFmtId="0" fontId="9" fillId="8" borderId="114" xfId="2" applyFont="1" applyFill="1" applyBorder="1" applyAlignment="1">
      <alignment horizontal="center" vertical="center"/>
    </xf>
    <xf numFmtId="0" fontId="30" fillId="6" borderId="115" xfId="11" applyFont="1" applyFill="1" applyBorder="1" applyAlignment="1">
      <alignment horizontal="center" vertical="center"/>
    </xf>
    <xf numFmtId="37" fontId="30" fillId="0" borderId="116" xfId="18" applyNumberFormat="1" applyFont="1" applyBorder="1" applyAlignment="1">
      <alignment horizontal="center" vertical="center"/>
    </xf>
    <xf numFmtId="37" fontId="30" fillId="0" borderId="117" xfId="18" applyNumberFormat="1" applyFont="1" applyBorder="1" applyAlignment="1">
      <alignment horizontal="center" vertical="center"/>
    </xf>
    <xf numFmtId="3" fontId="30" fillId="6" borderId="117" xfId="11" applyNumberFormat="1" applyFont="1" applyFill="1" applyBorder="1" applyAlignment="1">
      <alignment horizontal="center" vertical="center"/>
    </xf>
    <xf numFmtId="3" fontId="30" fillId="16" borderId="117" xfId="11" applyNumberFormat="1" applyFont="1" applyFill="1" applyBorder="1" applyAlignment="1">
      <alignment horizontal="center" vertical="center"/>
    </xf>
    <xf numFmtId="180" fontId="30" fillId="16" borderId="117" xfId="11" applyNumberFormat="1" applyFont="1" applyFill="1" applyBorder="1" applyAlignment="1">
      <alignment horizontal="center" vertical="center"/>
    </xf>
    <xf numFmtId="179" fontId="30" fillId="0" borderId="118" xfId="4" applyNumberFormat="1" applyFont="1" applyBorder="1" applyAlignment="1">
      <alignment horizontal="center" vertical="center"/>
    </xf>
    <xf numFmtId="179" fontId="30" fillId="6" borderId="117" xfId="4" applyNumberFormat="1" applyFont="1" applyFill="1" applyBorder="1" applyAlignment="1">
      <alignment horizontal="center" vertical="center"/>
    </xf>
    <xf numFmtId="38" fontId="31" fillId="16" borderId="117" xfId="11" applyNumberFormat="1" applyFont="1" applyFill="1" applyBorder="1" applyAlignment="1">
      <alignment horizontal="center" vertical="center"/>
    </xf>
    <xf numFmtId="178" fontId="30" fillId="6" borderId="117" xfId="10" applyNumberFormat="1" applyFont="1" applyFill="1" applyBorder="1" applyAlignment="1">
      <alignment horizontal="center" vertical="center"/>
    </xf>
    <xf numFmtId="3" fontId="30" fillId="6" borderId="119" xfId="11" applyNumberFormat="1" applyFont="1" applyFill="1" applyBorder="1" applyAlignment="1">
      <alignment horizontal="center" vertical="center"/>
    </xf>
    <xf numFmtId="0" fontId="32" fillId="6" borderId="120" xfId="2" applyFont="1" applyFill="1" applyBorder="1" applyAlignment="1">
      <alignment horizontal="center" vertical="center"/>
    </xf>
    <xf numFmtId="37" fontId="32" fillId="6" borderId="121" xfId="10" applyNumberFormat="1" applyFont="1" applyFill="1" applyBorder="1" applyAlignment="1">
      <alignment horizontal="center" vertical="center"/>
    </xf>
    <xf numFmtId="37" fontId="32" fillId="0" borderId="118" xfId="10" applyNumberFormat="1" applyFont="1" applyBorder="1" applyAlignment="1">
      <alignment horizontal="center" vertical="center"/>
    </xf>
    <xf numFmtId="3" fontId="32" fillId="6" borderId="118" xfId="2" applyNumberFormat="1" applyFont="1" applyFill="1" applyBorder="1" applyAlignment="1">
      <alignment horizontal="center" vertical="center"/>
    </xf>
    <xf numFmtId="3" fontId="32" fillId="7" borderId="118" xfId="2" applyNumberFormat="1" applyFont="1" applyFill="1" applyBorder="1" applyAlignment="1">
      <alignment horizontal="center" vertical="center"/>
    </xf>
    <xf numFmtId="180" fontId="32" fillId="7" borderId="118" xfId="2" applyNumberFormat="1" applyFont="1" applyFill="1" applyBorder="1" applyAlignment="1">
      <alignment horizontal="center" vertical="center"/>
    </xf>
    <xf numFmtId="179" fontId="30" fillId="6" borderId="118" xfId="4" applyNumberFormat="1" applyFont="1" applyFill="1" applyBorder="1" applyAlignment="1">
      <alignment horizontal="center" vertical="center"/>
    </xf>
    <xf numFmtId="38" fontId="31" fillId="16" borderId="122" xfId="2" applyNumberFormat="1" applyFont="1" applyFill="1" applyBorder="1" applyAlignment="1">
      <alignment horizontal="center" vertical="center"/>
    </xf>
    <xf numFmtId="3" fontId="30" fillId="6" borderId="122" xfId="2" applyNumberFormat="1" applyFont="1" applyFill="1" applyBorder="1" applyAlignment="1">
      <alignment horizontal="center" vertical="center"/>
    </xf>
    <xf numFmtId="178" fontId="30" fillId="6" borderId="122" xfId="10" applyNumberFormat="1" applyFont="1" applyFill="1" applyBorder="1" applyAlignment="1">
      <alignment horizontal="center" vertical="center"/>
    </xf>
    <xf numFmtId="3" fontId="32" fillId="6" borderId="123" xfId="2" applyNumberFormat="1" applyFont="1" applyFill="1" applyBorder="1" applyAlignment="1">
      <alignment horizontal="center" vertical="center"/>
    </xf>
    <xf numFmtId="0" fontId="32" fillId="6" borderId="124" xfId="2" applyFont="1" applyFill="1" applyBorder="1" applyAlignment="1">
      <alignment horizontal="center" vertical="center"/>
    </xf>
    <xf numFmtId="37" fontId="32" fillId="6" borderId="125" xfId="10" applyNumberFormat="1" applyFont="1" applyFill="1" applyBorder="1" applyAlignment="1">
      <alignment horizontal="center" vertical="center"/>
    </xf>
    <xf numFmtId="3" fontId="30" fillId="6" borderId="118" xfId="2" applyNumberFormat="1" applyFont="1" applyFill="1" applyBorder="1" applyAlignment="1">
      <alignment horizontal="center" vertical="center"/>
    </xf>
    <xf numFmtId="3" fontId="33" fillId="3" borderId="118" xfId="19" applyNumberFormat="1" applyFont="1" applyFill="1" applyBorder="1" applyAlignment="1">
      <alignment horizontal="center" vertical="center"/>
    </xf>
    <xf numFmtId="3" fontId="30" fillId="16" borderId="118" xfId="2" applyNumberFormat="1" applyFont="1" applyFill="1" applyBorder="1" applyAlignment="1">
      <alignment horizontal="center" vertical="center"/>
    </xf>
    <xf numFmtId="180" fontId="30" fillId="16" borderId="118" xfId="2" applyNumberFormat="1" applyFont="1" applyFill="1" applyBorder="1" applyAlignment="1">
      <alignment horizontal="center" vertical="center"/>
    </xf>
    <xf numFmtId="3" fontId="34" fillId="6" borderId="118" xfId="2" applyNumberFormat="1" applyFont="1" applyFill="1" applyBorder="1" applyAlignment="1">
      <alignment horizontal="center" vertical="center"/>
    </xf>
    <xf numFmtId="3" fontId="34" fillId="16" borderId="118" xfId="2" applyNumberFormat="1" applyFont="1" applyFill="1" applyBorder="1" applyAlignment="1">
      <alignment horizontal="center" vertical="center"/>
    </xf>
    <xf numFmtId="3" fontId="30" fillId="6" borderId="123" xfId="2" applyNumberFormat="1" applyFont="1" applyFill="1" applyBorder="1" applyAlignment="1">
      <alignment horizontal="center" vertical="center"/>
    </xf>
    <xf numFmtId="37" fontId="30" fillId="6" borderId="118" xfId="10" applyNumberFormat="1" applyFont="1" applyFill="1" applyBorder="1" applyAlignment="1">
      <alignment horizontal="center" vertical="center"/>
    </xf>
    <xf numFmtId="3" fontId="33" fillId="3" borderId="118" xfId="16" applyNumberFormat="1" applyFont="1" applyFill="1" applyBorder="1" applyAlignment="1">
      <alignment horizontal="center" vertical="center"/>
    </xf>
    <xf numFmtId="179" fontId="32" fillId="6" borderId="118" xfId="4" applyNumberFormat="1" applyFont="1" applyFill="1" applyBorder="1" applyAlignment="1">
      <alignment horizontal="center" vertical="center"/>
    </xf>
    <xf numFmtId="38" fontId="35" fillId="7" borderId="118" xfId="2" applyNumberFormat="1" applyFont="1" applyFill="1" applyBorder="1" applyAlignment="1">
      <alignment horizontal="center" vertical="center"/>
    </xf>
    <xf numFmtId="178" fontId="32" fillId="6" borderId="118" xfId="10" applyNumberFormat="1" applyFont="1" applyFill="1" applyBorder="1" applyAlignment="1">
      <alignment horizontal="center" vertical="center"/>
    </xf>
    <xf numFmtId="0" fontId="32" fillId="6" borderId="126" xfId="2" applyFont="1" applyFill="1" applyBorder="1" applyAlignment="1">
      <alignment horizontal="center" vertical="center"/>
    </xf>
    <xf numFmtId="37" fontId="30" fillId="6" borderId="127" xfId="10" applyNumberFormat="1" applyFont="1" applyFill="1" applyBorder="1" applyAlignment="1">
      <alignment horizontal="center" vertical="center"/>
    </xf>
    <xf numFmtId="3" fontId="32" fillId="6" borderId="127" xfId="2" applyNumberFormat="1" applyFont="1" applyFill="1" applyBorder="1" applyAlignment="1">
      <alignment horizontal="center" vertical="center"/>
    </xf>
    <xf numFmtId="3" fontId="33" fillId="3" borderId="127" xfId="16" applyNumberFormat="1" applyFont="1" applyFill="1" applyBorder="1" applyAlignment="1">
      <alignment horizontal="center" vertical="center"/>
    </xf>
    <xf numFmtId="3" fontId="32" fillId="7" borderId="127" xfId="2" applyNumberFormat="1" applyFont="1" applyFill="1" applyBorder="1" applyAlignment="1">
      <alignment horizontal="center" vertical="center"/>
    </xf>
    <xf numFmtId="180" fontId="32" fillId="7" borderId="127" xfId="2" applyNumberFormat="1" applyFont="1" applyFill="1" applyBorder="1" applyAlignment="1">
      <alignment horizontal="center" vertical="center"/>
    </xf>
    <xf numFmtId="0" fontId="32" fillId="6" borderId="128" xfId="2" applyFont="1" applyFill="1" applyBorder="1" applyAlignment="1">
      <alignment horizontal="center" vertical="center"/>
    </xf>
    <xf numFmtId="37" fontId="32" fillId="6" borderId="129" xfId="10" applyNumberFormat="1" applyFont="1" applyFill="1" applyBorder="1" applyAlignment="1">
      <alignment horizontal="center" vertical="center"/>
    </xf>
    <xf numFmtId="3" fontId="33" fillId="3" borderId="122" xfId="19" applyNumberFormat="1" applyFont="1" applyFill="1" applyBorder="1" applyAlignment="1">
      <alignment horizontal="center" vertical="center"/>
    </xf>
    <xf numFmtId="3" fontId="30" fillId="16" borderId="122" xfId="2" applyNumberFormat="1" applyFont="1" applyFill="1" applyBorder="1" applyAlignment="1">
      <alignment horizontal="center" vertical="center"/>
    </xf>
    <xf numFmtId="180" fontId="30" fillId="16" borderId="122" xfId="2" applyNumberFormat="1" applyFont="1" applyFill="1" applyBorder="1" applyAlignment="1">
      <alignment horizontal="center" vertical="center"/>
    </xf>
    <xf numFmtId="3" fontId="34" fillId="6" borderId="122" xfId="2" applyNumberFormat="1" applyFont="1" applyFill="1" applyBorder="1" applyAlignment="1">
      <alignment horizontal="center" vertical="center"/>
    </xf>
    <xf numFmtId="3" fontId="34" fillId="16" borderId="122" xfId="2" applyNumberFormat="1" applyFont="1" applyFill="1" applyBorder="1" applyAlignment="1">
      <alignment horizontal="center" vertical="center"/>
    </xf>
    <xf numFmtId="3" fontId="30" fillId="6" borderId="130" xfId="2" applyNumberFormat="1" applyFont="1" applyFill="1" applyBorder="1" applyAlignment="1">
      <alignment horizontal="center" vertical="center"/>
    </xf>
    <xf numFmtId="0" fontId="32" fillId="6" borderId="131" xfId="2" applyFont="1" applyFill="1" applyBorder="1" applyAlignment="1">
      <alignment horizontal="center" vertical="center"/>
    </xf>
    <xf numFmtId="37" fontId="32" fillId="6" borderId="132" xfId="10" applyNumberFormat="1" applyFont="1" applyFill="1" applyBorder="1" applyAlignment="1">
      <alignment horizontal="center" vertical="center"/>
    </xf>
    <xf numFmtId="37" fontId="30" fillId="6" borderId="122" xfId="10" applyNumberFormat="1" applyFont="1" applyFill="1" applyBorder="1" applyAlignment="1">
      <alignment horizontal="center" vertical="center"/>
    </xf>
    <xf numFmtId="3" fontId="32" fillId="6" borderId="133" xfId="2" applyNumberFormat="1" applyFont="1" applyFill="1" applyBorder="1" applyAlignment="1">
      <alignment horizontal="center" vertical="center"/>
    </xf>
    <xf numFmtId="3" fontId="32" fillId="7" borderId="133" xfId="2" applyNumberFormat="1" applyFont="1" applyFill="1" applyBorder="1" applyAlignment="1">
      <alignment horizontal="center" vertical="center"/>
    </xf>
    <xf numFmtId="180" fontId="32" fillId="7" borderId="133" xfId="2" applyNumberFormat="1" applyFont="1" applyFill="1" applyBorder="1" applyAlignment="1">
      <alignment horizontal="center" vertical="center"/>
    </xf>
    <xf numFmtId="3" fontId="34" fillId="6" borderId="133" xfId="2" applyNumberFormat="1" applyFont="1" applyFill="1" applyBorder="1" applyAlignment="1">
      <alignment horizontal="center" vertical="center"/>
    </xf>
    <xf numFmtId="3" fontId="34" fillId="7" borderId="133" xfId="2" applyNumberFormat="1" applyFont="1" applyFill="1" applyBorder="1" applyAlignment="1">
      <alignment horizontal="center" vertical="center"/>
    </xf>
    <xf numFmtId="3" fontId="32" fillId="6" borderId="134" xfId="2" applyNumberFormat="1" applyFont="1" applyFill="1" applyBorder="1" applyAlignment="1">
      <alignment horizontal="center" vertical="center"/>
    </xf>
    <xf numFmtId="37" fontId="32" fillId="6" borderId="135" xfId="10" applyNumberFormat="1" applyFont="1" applyFill="1" applyBorder="1" applyAlignment="1">
      <alignment horizontal="center" vertical="center"/>
    </xf>
    <xf numFmtId="180" fontId="32" fillId="7" borderId="136" xfId="2" applyNumberFormat="1" applyFont="1" applyFill="1" applyBorder="1" applyAlignment="1">
      <alignment horizontal="center" vertical="center"/>
    </xf>
    <xf numFmtId="3" fontId="34" fillId="6" borderId="136" xfId="2" applyNumberFormat="1" applyFont="1" applyFill="1" applyBorder="1" applyAlignment="1">
      <alignment horizontal="center" vertical="center"/>
    </xf>
    <xf numFmtId="3" fontId="34" fillId="7" borderId="136" xfId="2" applyNumberFormat="1" applyFont="1" applyFill="1" applyBorder="1" applyAlignment="1">
      <alignment horizontal="center" vertical="center"/>
    </xf>
    <xf numFmtId="3" fontId="32" fillId="6" borderId="137" xfId="2" applyNumberFormat="1" applyFont="1" applyFill="1" applyBorder="1" applyAlignment="1">
      <alignment horizontal="center" vertical="center"/>
    </xf>
    <xf numFmtId="37" fontId="32" fillId="6" borderId="118" xfId="10" applyNumberFormat="1" applyFont="1" applyFill="1" applyBorder="1" applyAlignment="1">
      <alignment horizontal="center" vertical="center"/>
    </xf>
    <xf numFmtId="3" fontId="34" fillId="7" borderId="118" xfId="2" applyNumberFormat="1" applyFont="1" applyFill="1" applyBorder="1" applyAlignment="1">
      <alignment horizontal="center" vertical="center"/>
    </xf>
    <xf numFmtId="0" fontId="32" fillId="6" borderId="138" xfId="2" applyFont="1" applyFill="1" applyBorder="1" applyAlignment="1">
      <alignment horizontal="center" vertical="center"/>
    </xf>
    <xf numFmtId="37" fontId="32" fillId="6" borderId="139" xfId="10" applyNumberFormat="1" applyFont="1" applyFill="1" applyBorder="1" applyAlignment="1">
      <alignment horizontal="center" vertical="center"/>
    </xf>
    <xf numFmtId="37" fontId="32" fillId="6" borderId="140" xfId="10" applyNumberFormat="1" applyFont="1" applyFill="1" applyBorder="1" applyAlignment="1">
      <alignment horizontal="center" vertical="center"/>
    </xf>
    <xf numFmtId="3" fontId="32" fillId="0" borderId="140" xfId="2" applyNumberFormat="1" applyFont="1" applyBorder="1" applyAlignment="1">
      <alignment horizontal="center" vertical="center"/>
    </xf>
    <xf numFmtId="3" fontId="33" fillId="17" borderId="140" xfId="16" applyNumberFormat="1" applyFont="1" applyFill="1" applyBorder="1" applyAlignment="1">
      <alignment horizontal="center" vertical="center"/>
    </xf>
    <xf numFmtId="3" fontId="32" fillId="15" borderId="140" xfId="2" applyNumberFormat="1" applyFont="1" applyFill="1" applyBorder="1" applyAlignment="1">
      <alignment horizontal="center" vertical="center"/>
    </xf>
    <xf numFmtId="180" fontId="32" fillId="6" borderId="140" xfId="2" applyNumberFormat="1" applyFont="1" applyFill="1" applyBorder="1" applyAlignment="1">
      <alignment horizontal="center" vertical="center"/>
    </xf>
    <xf numFmtId="179" fontId="30" fillId="0" borderId="140" xfId="4" applyNumberFormat="1" applyFont="1" applyBorder="1" applyAlignment="1">
      <alignment horizontal="center" vertical="center"/>
    </xf>
    <xf numFmtId="3" fontId="34" fillId="0" borderId="140" xfId="2" applyNumberFormat="1" applyFont="1" applyBorder="1" applyAlignment="1">
      <alignment horizontal="center" vertical="center"/>
    </xf>
    <xf numFmtId="3" fontId="34" fillId="15" borderId="140" xfId="2" applyNumberFormat="1" applyFont="1" applyFill="1" applyBorder="1" applyAlignment="1">
      <alignment horizontal="center" vertical="center"/>
    </xf>
    <xf numFmtId="179" fontId="32" fillId="6" borderId="140" xfId="4" applyNumberFormat="1" applyFont="1" applyFill="1" applyBorder="1" applyAlignment="1">
      <alignment horizontal="center" vertical="center"/>
    </xf>
    <xf numFmtId="38" fontId="35" fillId="15" borderId="140" xfId="2" applyNumberFormat="1" applyFont="1" applyFill="1" applyBorder="1" applyAlignment="1">
      <alignment horizontal="center" vertical="center"/>
    </xf>
    <xf numFmtId="3" fontId="32" fillId="6" borderId="140" xfId="2" applyNumberFormat="1" applyFont="1" applyFill="1" applyBorder="1" applyAlignment="1">
      <alignment horizontal="center" vertical="center"/>
    </xf>
    <xf numFmtId="178" fontId="32" fillId="6" borderId="140" xfId="10" applyNumberFormat="1" applyFont="1" applyFill="1" applyBorder="1" applyAlignment="1">
      <alignment horizontal="center" vertical="center"/>
    </xf>
    <xf numFmtId="3" fontId="32" fillId="0" borderId="141" xfId="2" applyNumberFormat="1" applyFont="1" applyBorder="1" applyAlignment="1">
      <alignment horizontal="center" vertical="center"/>
    </xf>
    <xf numFmtId="0" fontId="36" fillId="18" borderId="0" xfId="2" applyFont="1" applyFill="1" applyAlignment="1">
      <alignment horizontal="center" vertical="center"/>
    </xf>
    <xf numFmtId="0" fontId="13" fillId="0" borderId="0" xfId="2" applyFont="1">
      <alignment vertical="center"/>
    </xf>
    <xf numFmtId="179" fontId="30" fillId="0" borderId="0" xfId="4" applyNumberFormat="1" applyFont="1" applyAlignment="1">
      <alignment horizontal="center" vertical="center"/>
    </xf>
    <xf numFmtId="0" fontId="32" fillId="0" borderId="0" xfId="16" applyFont="1">
      <alignment vertical="center"/>
    </xf>
    <xf numFmtId="38" fontId="30" fillId="0" borderId="0" xfId="4" applyNumberFormat="1" applyFont="1" applyAlignment="1">
      <alignment horizontal="center" vertical="center"/>
    </xf>
    <xf numFmtId="3" fontId="29" fillId="0" borderId="0" xfId="16" applyNumberFormat="1" applyFont="1">
      <alignment vertical="center"/>
    </xf>
    <xf numFmtId="0" fontId="37" fillId="0" borderId="0" xfId="16" applyFont="1" applyAlignment="1">
      <alignment horizontal="right" vertical="center"/>
    </xf>
    <xf numFmtId="0" fontId="23" fillId="0" borderId="0" xfId="11" applyFont="1">
      <alignment vertical="center"/>
    </xf>
    <xf numFmtId="0" fontId="23" fillId="0" borderId="0" xfId="11" applyFont="1" applyAlignment="1">
      <alignment horizontal="center" vertical="center"/>
    </xf>
    <xf numFmtId="0" fontId="23" fillId="0" borderId="0" xfId="11" applyFont="1" applyAlignment="1">
      <alignment horizontal="left" vertical="center"/>
    </xf>
    <xf numFmtId="0" fontId="25" fillId="0" borderId="0" xfId="11" applyFont="1" applyAlignment="1">
      <alignment horizontal="left" vertical="center"/>
    </xf>
    <xf numFmtId="0" fontId="24" fillId="3" borderId="0" xfId="11" applyFont="1" applyFill="1" applyAlignment="1">
      <alignment horizontal="left"/>
    </xf>
    <xf numFmtId="0" fontId="42" fillId="0" borderId="0" xfId="11" applyFont="1">
      <alignment vertical="center"/>
    </xf>
    <xf numFmtId="0" fontId="24" fillId="6" borderId="0" xfId="2" applyFont="1" applyFill="1">
      <alignment vertical="center"/>
    </xf>
    <xf numFmtId="0" fontId="23" fillId="6" borderId="0" xfId="2" applyFont="1" applyFill="1">
      <alignment vertical="center"/>
    </xf>
    <xf numFmtId="0" fontId="24" fillId="8" borderId="145" xfId="2" applyFont="1" applyFill="1" applyBorder="1" applyAlignment="1">
      <alignment horizontal="center" vertical="center" wrapText="1"/>
    </xf>
    <xf numFmtId="0" fontId="24" fillId="8" borderId="33" xfId="2" applyFont="1" applyFill="1" applyBorder="1" applyAlignment="1">
      <alignment horizontal="center" vertical="center" wrapText="1"/>
    </xf>
    <xf numFmtId="0" fontId="24" fillId="8" borderId="144" xfId="2" applyFont="1" applyFill="1" applyBorder="1" applyAlignment="1">
      <alignment horizontal="center" vertical="center" wrapText="1"/>
    </xf>
    <xf numFmtId="0" fontId="15" fillId="8" borderId="112" xfId="2" applyFont="1" applyFill="1" applyBorder="1" applyAlignment="1">
      <alignment horizontal="center" vertical="center"/>
    </xf>
    <xf numFmtId="0" fontId="15" fillId="8" borderId="149" xfId="2" applyFont="1" applyFill="1" applyBorder="1" applyAlignment="1">
      <alignment horizontal="center" vertical="center" wrapText="1"/>
    </xf>
    <xf numFmtId="0" fontId="15" fillId="8" borderId="149" xfId="2" applyFont="1" applyFill="1" applyBorder="1" applyAlignment="1">
      <alignment horizontal="center" vertical="center"/>
    </xf>
    <xf numFmtId="0" fontId="15" fillId="8" borderId="70" xfId="11" applyFont="1" applyFill="1" applyBorder="1" applyAlignment="1">
      <alignment horizontal="center" vertical="center" wrapText="1"/>
    </xf>
    <xf numFmtId="0" fontId="24" fillId="8" borderId="149" xfId="2" applyFont="1" applyFill="1" applyBorder="1" applyAlignment="1">
      <alignment horizontal="center" vertical="center" wrapText="1"/>
    </xf>
    <xf numFmtId="0" fontId="24" fillId="8" borderId="143" xfId="2" applyFont="1" applyFill="1" applyBorder="1" applyAlignment="1">
      <alignment horizontal="center" vertical="center" wrapText="1"/>
    </xf>
    <xf numFmtId="0" fontId="24" fillId="8" borderId="150" xfId="2" applyFont="1" applyFill="1" applyBorder="1" applyAlignment="1">
      <alignment horizontal="center" vertical="center"/>
    </xf>
    <xf numFmtId="0" fontId="24" fillId="8" borderId="149" xfId="2" applyFont="1" applyFill="1" applyBorder="1" applyAlignment="1">
      <alignment horizontal="center" vertical="center"/>
    </xf>
    <xf numFmtId="0" fontId="24" fillId="8" borderId="151" xfId="2" applyFont="1" applyFill="1" applyBorder="1" applyAlignment="1">
      <alignment horizontal="center" vertical="center"/>
    </xf>
    <xf numFmtId="0" fontId="23" fillId="6" borderId="153" xfId="2" applyFont="1" applyFill="1" applyBorder="1" applyAlignment="1">
      <alignment horizontal="center" vertical="center"/>
    </xf>
    <xf numFmtId="176" fontId="11" fillId="6" borderId="155" xfId="26" applyNumberFormat="1" applyFont="1" applyFill="1" applyBorder="1" applyAlignment="1">
      <alignment horizontal="center" vertical="center"/>
    </xf>
    <xf numFmtId="176" fontId="23" fillId="6" borderId="153" xfId="26" applyNumberFormat="1" applyFont="1" applyFill="1" applyBorder="1" applyAlignment="1">
      <alignment horizontal="center" vertical="center"/>
    </xf>
    <xf numFmtId="176" fontId="23" fillId="6" borderId="154" xfId="26" applyNumberFormat="1" applyFont="1" applyFill="1" applyBorder="1" applyAlignment="1">
      <alignment horizontal="center" vertical="center"/>
    </xf>
    <xf numFmtId="3" fontId="23" fillId="6" borderId="156" xfId="2" applyNumberFormat="1" applyFont="1" applyFill="1" applyBorder="1" applyAlignment="1">
      <alignment horizontal="center" vertical="center"/>
    </xf>
    <xf numFmtId="181" fontId="23" fillId="6" borderId="153" xfId="10" applyNumberFormat="1" applyFont="1" applyFill="1" applyBorder="1" applyAlignment="1">
      <alignment horizontal="center" vertical="center"/>
    </xf>
    <xf numFmtId="3" fontId="23" fillId="15" borderId="153" xfId="2" applyNumberFormat="1" applyFont="1" applyFill="1" applyBorder="1" applyAlignment="1">
      <alignment horizontal="center" vertical="center" wrapText="1"/>
    </xf>
    <xf numFmtId="179" fontId="23" fillId="6" borderId="153" xfId="4" applyNumberFormat="1" applyFont="1" applyFill="1" applyBorder="1" applyAlignment="1">
      <alignment horizontal="center" vertical="center"/>
    </xf>
    <xf numFmtId="179" fontId="23" fillId="6" borderId="153" xfId="27" applyNumberFormat="1" applyFont="1" applyFill="1" applyBorder="1" applyAlignment="1">
      <alignment horizontal="center" vertical="center"/>
    </xf>
    <xf numFmtId="3" fontId="23" fillId="6" borderId="153" xfId="2" applyNumberFormat="1" applyFont="1" applyFill="1" applyBorder="1" applyAlignment="1">
      <alignment horizontal="center" vertical="center"/>
    </xf>
    <xf numFmtId="3" fontId="23" fillId="15" borderId="153" xfId="2" applyNumberFormat="1" applyFont="1" applyFill="1" applyBorder="1" applyAlignment="1">
      <alignment horizontal="center" vertical="center"/>
    </xf>
    <xf numFmtId="179" fontId="23" fillId="15" borderId="153" xfId="28" applyNumberFormat="1" applyFont="1" applyFill="1" applyBorder="1" applyAlignment="1">
      <alignment horizontal="center" vertical="center"/>
    </xf>
    <xf numFmtId="176" fontId="23" fillId="15" borderId="153" xfId="26" applyNumberFormat="1" applyFont="1" applyFill="1" applyBorder="1" applyAlignment="1">
      <alignment horizontal="center" vertical="center"/>
    </xf>
    <xf numFmtId="178" fontId="23" fillId="6" borderId="153" xfId="4" applyNumberFormat="1" applyFont="1" applyFill="1" applyBorder="1" applyAlignment="1">
      <alignment horizontal="center" vertical="center"/>
    </xf>
    <xf numFmtId="176" fontId="23" fillId="5" borderId="157" xfId="26" applyNumberFormat="1" applyFont="1" applyFill="1" applyBorder="1" applyAlignment="1">
      <alignment horizontal="center" vertical="center"/>
    </xf>
    <xf numFmtId="3" fontId="23" fillId="0" borderId="155" xfId="2" applyNumberFormat="1" applyFont="1" applyBorder="1" applyAlignment="1">
      <alignment horizontal="center" vertical="center" wrapText="1"/>
    </xf>
    <xf numFmtId="178" fontId="23" fillId="6" borderId="153" xfId="10" applyNumberFormat="1" applyFont="1" applyFill="1" applyBorder="1" applyAlignment="1">
      <alignment horizontal="center" vertical="center"/>
    </xf>
    <xf numFmtId="0" fontId="24" fillId="14" borderId="159" xfId="11" applyFont="1" applyFill="1" applyBorder="1" applyAlignment="1">
      <alignment horizontal="center" vertical="center"/>
    </xf>
    <xf numFmtId="182" fontId="10" fillId="14" borderId="161" xfId="29" applyNumberFormat="1" applyFont="1" applyFill="1" applyBorder="1" applyAlignment="1">
      <alignment horizontal="center" vertical="center"/>
    </xf>
    <xf numFmtId="182" fontId="24" fillId="14" borderId="159" xfId="29" applyNumberFormat="1" applyFont="1" applyFill="1" applyBorder="1" applyAlignment="1">
      <alignment horizontal="center" vertical="center"/>
    </xf>
    <xf numFmtId="182" fontId="24" fillId="14" borderId="160" xfId="29" applyNumberFormat="1" applyFont="1" applyFill="1" applyBorder="1" applyAlignment="1">
      <alignment horizontal="center" vertical="center"/>
    </xf>
    <xf numFmtId="3" fontId="24" fillId="14" borderId="162" xfId="11" applyNumberFormat="1" applyFont="1" applyFill="1" applyBorder="1" applyAlignment="1">
      <alignment horizontal="center" vertical="center"/>
    </xf>
    <xf numFmtId="181" fontId="24" fillId="14" borderId="159" xfId="29" applyNumberFormat="1" applyFont="1" applyFill="1" applyBorder="1" applyAlignment="1">
      <alignment horizontal="center" vertical="center"/>
    </xf>
    <xf numFmtId="3" fontId="24" fillId="14" borderId="159" xfId="11" applyNumberFormat="1" applyFont="1" applyFill="1" applyBorder="1" applyAlignment="1">
      <alignment horizontal="center" vertical="center"/>
    </xf>
    <xf numFmtId="179" fontId="24" fillId="14" borderId="159" xfId="8" applyNumberFormat="1" applyFont="1" applyFill="1" applyBorder="1" applyAlignment="1">
      <alignment horizontal="center" vertical="center"/>
    </xf>
    <xf numFmtId="180" fontId="24" fillId="14" borderId="159" xfId="11" applyNumberFormat="1" applyFont="1" applyFill="1" applyBorder="1" applyAlignment="1">
      <alignment horizontal="center" vertical="center"/>
    </xf>
    <xf numFmtId="178" fontId="24" fillId="14" borderId="159" xfId="8" applyNumberFormat="1" applyFont="1" applyFill="1" applyBorder="1" applyAlignment="1">
      <alignment horizontal="center" vertical="center"/>
    </xf>
    <xf numFmtId="3" fontId="24" fillId="14" borderId="163" xfId="11" applyNumberFormat="1" applyFont="1" applyFill="1" applyBorder="1" applyAlignment="1">
      <alignment horizontal="center" vertical="center"/>
    </xf>
    <xf numFmtId="3" fontId="24" fillId="14" borderId="161" xfId="11" applyNumberFormat="1" applyFont="1" applyFill="1" applyBorder="1" applyAlignment="1">
      <alignment horizontal="center" vertical="center"/>
    </xf>
    <xf numFmtId="179" fontId="24" fillId="14" borderId="159" xfId="30" applyNumberFormat="1" applyFont="1" applyFill="1" applyBorder="1" applyAlignment="1">
      <alignment horizontal="center" vertical="center"/>
    </xf>
    <xf numFmtId="38" fontId="15" fillId="14" borderId="159" xfId="11" applyNumberFormat="1" applyFont="1" applyFill="1" applyBorder="1" applyAlignment="1">
      <alignment horizontal="center" vertical="center"/>
    </xf>
    <xf numFmtId="178" fontId="15" fillId="14" borderId="159" xfId="31" applyNumberFormat="1" applyFont="1" applyFill="1" applyBorder="1" applyAlignment="1">
      <alignment horizontal="center" vertical="center"/>
    </xf>
    <xf numFmtId="3" fontId="24" fillId="14" borderId="160" xfId="11" applyNumberFormat="1" applyFont="1" applyFill="1" applyBorder="1" applyAlignment="1">
      <alignment horizontal="center" vertical="center"/>
    </xf>
    <xf numFmtId="0" fontId="34" fillId="0" borderId="0" xfId="11" applyFont="1">
      <alignment vertical="center"/>
    </xf>
    <xf numFmtId="179" fontId="23" fillId="0" borderId="0" xfId="8" applyNumberFormat="1" applyFont="1">
      <alignment vertical="center"/>
    </xf>
    <xf numFmtId="179" fontId="23" fillId="0" borderId="0" xfId="8" applyNumberFormat="1" applyFont="1" applyAlignment="1">
      <alignment vertical="center"/>
    </xf>
    <xf numFmtId="0" fontId="17" fillId="6" borderId="0" xfId="32" applyFont="1" applyFill="1" applyAlignment="1"/>
    <xf numFmtId="185" fontId="34" fillId="0" borderId="0" xfId="11" applyNumberFormat="1" applyFont="1">
      <alignment vertical="center"/>
    </xf>
    <xf numFmtId="0" fontId="19" fillId="0" borderId="0" xfId="11" applyFont="1" applyAlignment="1">
      <alignment horizontal="center" vertical="center"/>
    </xf>
    <xf numFmtId="0" fontId="0" fillId="6" borderId="0" xfId="32" applyFont="1" applyFill="1" applyAlignment="1"/>
    <xf numFmtId="3" fontId="23" fillId="0" borderId="0" xfId="11" applyNumberFormat="1" applyFont="1">
      <alignment vertical="center"/>
    </xf>
    <xf numFmtId="3" fontId="0" fillId="6" borderId="0" xfId="32" applyNumberFormat="1" applyFont="1" applyFill="1" applyAlignment="1"/>
    <xf numFmtId="0" fontId="42" fillId="0" borderId="0" xfId="11" applyFont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5" fillId="8" borderId="150" xfId="2" applyFont="1" applyFill="1" applyBorder="1" applyAlignment="1">
      <alignment horizontal="center" vertical="center"/>
    </xf>
    <xf numFmtId="0" fontId="24" fillId="8" borderId="164" xfId="2" applyFont="1" applyFill="1" applyBorder="1" applyAlignment="1">
      <alignment horizontal="center" vertical="center"/>
    </xf>
    <xf numFmtId="0" fontId="24" fillId="8" borderId="165" xfId="2" applyFont="1" applyFill="1" applyBorder="1" applyAlignment="1">
      <alignment horizontal="center" vertical="center" wrapText="1"/>
    </xf>
    <xf numFmtId="0" fontId="24" fillId="8" borderId="165" xfId="2" applyFont="1" applyFill="1" applyBorder="1" applyAlignment="1">
      <alignment horizontal="center" vertical="center"/>
    </xf>
    <xf numFmtId="0" fontId="24" fillId="8" borderId="166" xfId="2" applyFont="1" applyFill="1" applyBorder="1" applyAlignment="1">
      <alignment horizontal="center" vertical="center"/>
    </xf>
    <xf numFmtId="176" fontId="11" fillId="6" borderId="17" xfId="26" applyNumberFormat="1" applyFont="1" applyFill="1" applyBorder="1" applyAlignment="1">
      <alignment horizontal="center" vertical="center"/>
    </xf>
    <xf numFmtId="176" fontId="23" fillId="6" borderId="13" xfId="26" applyNumberFormat="1" applyFont="1" applyFill="1" applyBorder="1" applyAlignment="1">
      <alignment horizontal="center" vertical="center"/>
    </xf>
    <xf numFmtId="176" fontId="23" fillId="6" borderId="16" xfId="26" applyNumberFormat="1" applyFont="1" applyFill="1" applyBorder="1" applyAlignment="1">
      <alignment horizontal="center" vertical="center"/>
    </xf>
    <xf numFmtId="3" fontId="23" fillId="6" borderId="17" xfId="2" applyNumberFormat="1" applyFont="1" applyFill="1" applyBorder="1" applyAlignment="1">
      <alignment horizontal="center" vertical="center"/>
    </xf>
    <xf numFmtId="181" fontId="23" fillId="6" borderId="13" xfId="10" applyNumberFormat="1" applyFont="1" applyFill="1" applyBorder="1" applyAlignment="1">
      <alignment horizontal="center" vertical="center"/>
    </xf>
    <xf numFmtId="3" fontId="23" fillId="15" borderId="13" xfId="2" applyNumberFormat="1" applyFont="1" applyFill="1" applyBorder="1" applyAlignment="1">
      <alignment horizontal="center" vertical="center" wrapText="1"/>
    </xf>
    <xf numFmtId="179" fontId="23" fillId="6" borderId="13" xfId="4" applyNumberFormat="1" applyFont="1" applyFill="1" applyBorder="1" applyAlignment="1">
      <alignment horizontal="center" vertical="center"/>
    </xf>
    <xf numFmtId="179" fontId="23" fillId="6" borderId="13" xfId="27" applyNumberFormat="1" applyFont="1" applyFill="1" applyBorder="1" applyAlignment="1">
      <alignment horizontal="center" vertical="center"/>
    </xf>
    <xf numFmtId="179" fontId="23" fillId="15" borderId="13" xfId="28" applyNumberFormat="1" applyFont="1" applyFill="1" applyBorder="1" applyAlignment="1">
      <alignment horizontal="center" vertical="center"/>
    </xf>
    <xf numFmtId="176" fontId="23" fillId="15" borderId="13" xfId="26" applyNumberFormat="1" applyFont="1" applyFill="1" applyBorder="1" applyAlignment="1">
      <alignment horizontal="center" vertical="center"/>
    </xf>
    <xf numFmtId="178" fontId="23" fillId="6" borderId="13" xfId="4" applyNumberFormat="1" applyFont="1" applyFill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 wrapText="1"/>
    </xf>
    <xf numFmtId="178" fontId="23" fillId="6" borderId="13" xfId="10" applyNumberFormat="1" applyFont="1" applyFill="1" applyBorder="1" applyAlignment="1">
      <alignment horizontal="center" vertical="center"/>
    </xf>
    <xf numFmtId="0" fontId="24" fillId="14" borderId="13" xfId="2" applyFont="1" applyFill="1" applyBorder="1" applyAlignment="1">
      <alignment horizontal="center" vertical="center"/>
    </xf>
    <xf numFmtId="0" fontId="24" fillId="14" borderId="16" xfId="2" applyFont="1" applyFill="1" applyBorder="1" applyAlignment="1">
      <alignment horizontal="center" vertical="center"/>
    </xf>
    <xf numFmtId="176" fontId="10" fillId="14" borderId="17" xfId="26" applyNumberFormat="1" applyFont="1" applyFill="1" applyBorder="1" applyAlignment="1">
      <alignment horizontal="center" vertical="center"/>
    </xf>
    <xf numFmtId="176" fontId="24" fillId="14" borderId="13" xfId="26" applyNumberFormat="1" applyFont="1" applyFill="1" applyBorder="1" applyAlignment="1">
      <alignment horizontal="center" vertical="center"/>
    </xf>
    <xf numFmtId="176" fontId="24" fillId="14" borderId="16" xfId="26" applyNumberFormat="1" applyFont="1" applyFill="1" applyBorder="1" applyAlignment="1">
      <alignment horizontal="center" vertical="center"/>
    </xf>
    <xf numFmtId="3" fontId="24" fillId="14" borderId="17" xfId="2" applyNumberFormat="1" applyFont="1" applyFill="1" applyBorder="1" applyAlignment="1">
      <alignment horizontal="center" vertical="center"/>
    </xf>
    <xf numFmtId="181" fontId="24" fillId="14" borderId="13" xfId="10" applyNumberFormat="1" applyFont="1" applyFill="1" applyBorder="1" applyAlignment="1">
      <alignment horizontal="center" vertical="center"/>
    </xf>
    <xf numFmtId="3" fontId="24" fillId="14" borderId="13" xfId="2" applyNumberFormat="1" applyFont="1" applyFill="1" applyBorder="1" applyAlignment="1">
      <alignment horizontal="center" vertical="center"/>
    </xf>
    <xf numFmtId="179" fontId="24" fillId="14" borderId="13" xfId="4" applyNumberFormat="1" applyFont="1" applyFill="1" applyBorder="1" applyAlignment="1">
      <alignment horizontal="center" vertical="center"/>
    </xf>
    <xf numFmtId="179" fontId="24" fillId="14" borderId="13" xfId="28" applyNumberFormat="1" applyFont="1" applyFill="1" applyBorder="1" applyAlignment="1">
      <alignment horizontal="center" vertical="center"/>
    </xf>
    <xf numFmtId="178" fontId="24" fillId="14" borderId="13" xfId="4" applyNumberFormat="1" applyFont="1" applyFill="1" applyBorder="1" applyAlignment="1">
      <alignment horizontal="center" vertical="center"/>
    </xf>
    <xf numFmtId="176" fontId="15" fillId="14" borderId="13" xfId="26" applyNumberFormat="1" applyFont="1" applyFill="1" applyBorder="1" applyAlignment="1">
      <alignment horizontal="center" vertical="center"/>
    </xf>
    <xf numFmtId="178" fontId="15" fillId="14" borderId="13" xfId="10" applyNumberFormat="1" applyFont="1" applyFill="1" applyBorder="1" applyAlignment="1">
      <alignment horizontal="center" vertical="center"/>
    </xf>
    <xf numFmtId="0" fontId="24" fillId="14" borderId="2" xfId="2" applyFont="1" applyFill="1" applyBorder="1" applyAlignment="1">
      <alignment horizontal="center" vertical="center"/>
    </xf>
    <xf numFmtId="0" fontId="24" fillId="14" borderId="1" xfId="2" applyFont="1" applyFill="1" applyBorder="1" applyAlignment="1">
      <alignment horizontal="center" vertical="center"/>
    </xf>
    <xf numFmtId="176" fontId="10" fillId="14" borderId="3" xfId="26" applyNumberFormat="1" applyFont="1" applyFill="1" applyBorder="1" applyAlignment="1">
      <alignment horizontal="center" vertical="center"/>
    </xf>
    <xf numFmtId="176" fontId="24" fillId="14" borderId="2" xfId="26" applyNumberFormat="1" applyFont="1" applyFill="1" applyBorder="1" applyAlignment="1">
      <alignment horizontal="center" vertical="center"/>
    </xf>
    <xf numFmtId="176" fontId="24" fillId="14" borderId="1" xfId="26" applyNumberFormat="1" applyFont="1" applyFill="1" applyBorder="1" applyAlignment="1">
      <alignment horizontal="center" vertical="center"/>
    </xf>
    <xf numFmtId="181" fontId="24" fillId="14" borderId="2" xfId="10" applyNumberFormat="1" applyFont="1" applyFill="1" applyBorder="1" applyAlignment="1">
      <alignment horizontal="center" vertical="center"/>
    </xf>
    <xf numFmtId="3" fontId="24" fillId="14" borderId="2" xfId="2" applyNumberFormat="1" applyFont="1" applyFill="1" applyBorder="1" applyAlignment="1">
      <alignment horizontal="center" vertical="center" wrapText="1"/>
    </xf>
    <xf numFmtId="179" fontId="24" fillId="14" borderId="2" xfId="4" applyNumberFormat="1" applyFont="1" applyFill="1" applyBorder="1" applyAlignment="1">
      <alignment horizontal="center" vertical="center"/>
    </xf>
    <xf numFmtId="179" fontId="24" fillId="14" borderId="2" xfId="27" applyNumberFormat="1" applyFont="1" applyFill="1" applyBorder="1" applyAlignment="1">
      <alignment horizontal="center" vertical="center"/>
    </xf>
    <xf numFmtId="179" fontId="24" fillId="14" borderId="2" xfId="28" applyNumberFormat="1" applyFont="1" applyFill="1" applyBorder="1" applyAlignment="1">
      <alignment horizontal="center" vertical="center"/>
    </xf>
    <xf numFmtId="178" fontId="24" fillId="14" borderId="2" xfId="4" applyNumberFormat="1" applyFont="1" applyFill="1" applyBorder="1" applyAlignment="1">
      <alignment horizontal="center" vertical="center"/>
    </xf>
    <xf numFmtId="3" fontId="24" fillId="14" borderId="3" xfId="2" applyNumberFormat="1" applyFont="1" applyFill="1" applyBorder="1" applyAlignment="1">
      <alignment horizontal="center" vertical="center" wrapText="1"/>
    </xf>
    <xf numFmtId="178" fontId="24" fillId="14" borderId="2" xfId="10" applyNumberFormat="1" applyFont="1" applyFill="1" applyBorder="1" applyAlignment="1">
      <alignment horizontal="center" vertical="center"/>
    </xf>
    <xf numFmtId="176" fontId="23" fillId="0" borderId="108" xfId="2" applyNumberFormat="1" applyFont="1" applyBorder="1" applyAlignment="1">
      <alignment horizontal="center" vertical="center"/>
    </xf>
    <xf numFmtId="176" fontId="23" fillId="0" borderId="107" xfId="26" applyNumberFormat="1" applyFont="1" applyBorder="1" applyAlignment="1">
      <alignment horizontal="center" vertical="center"/>
    </xf>
    <xf numFmtId="2" fontId="23" fillId="0" borderId="0" xfId="2" applyNumberFormat="1" applyFont="1">
      <alignment vertical="center"/>
    </xf>
    <xf numFmtId="0" fontId="23" fillId="0" borderId="0" xfId="2" applyFont="1">
      <alignment vertical="center"/>
    </xf>
    <xf numFmtId="0" fontId="17" fillId="6" borderId="0" xfId="33" applyFont="1" applyFill="1">
      <alignment vertical="center"/>
    </xf>
    <xf numFmtId="3" fontId="23" fillId="6" borderId="0" xfId="2" applyNumberFormat="1" applyFont="1" applyFill="1">
      <alignment vertical="center"/>
    </xf>
    <xf numFmtId="3" fontId="44" fillId="6" borderId="0" xfId="2" applyNumberFormat="1" applyFont="1" applyFill="1">
      <alignment vertical="center"/>
    </xf>
    <xf numFmtId="185" fontId="45" fillId="6" borderId="0" xfId="2" applyNumberFormat="1" applyFont="1" applyFill="1">
      <alignment vertical="center"/>
    </xf>
    <xf numFmtId="9" fontId="23" fillId="6" borderId="104" xfId="8" applyFont="1" applyFill="1" applyBorder="1" applyAlignment="1">
      <alignment horizontal="center" vertical="center"/>
    </xf>
    <xf numFmtId="9" fontId="23" fillId="0" borderId="104" xfId="8" applyFont="1" applyFill="1" applyBorder="1" applyAlignment="1">
      <alignment horizontal="center" vertical="center"/>
    </xf>
    <xf numFmtId="9" fontId="23" fillId="6" borderId="103" xfId="8" applyFont="1" applyFill="1" applyBorder="1" applyAlignment="1">
      <alignment horizontal="center" vertical="center"/>
    </xf>
    <xf numFmtId="4" fontId="23" fillId="6" borderId="0" xfId="2" applyNumberFormat="1" applyFont="1" applyFill="1">
      <alignment vertical="center"/>
    </xf>
    <xf numFmtId="176" fontId="23" fillId="0" borderId="108" xfId="26" applyNumberFormat="1" applyFont="1" applyBorder="1" applyAlignment="1">
      <alignment horizontal="center" vertical="center"/>
    </xf>
    <xf numFmtId="3" fontId="46" fillId="6" borderId="0" xfId="2" applyNumberFormat="1" applyFont="1" applyFill="1">
      <alignment vertical="center"/>
    </xf>
    <xf numFmtId="182" fontId="11" fillId="6" borderId="17" xfId="10" applyNumberFormat="1" applyFont="1" applyFill="1" applyBorder="1" applyAlignment="1">
      <alignment horizontal="center" vertical="center"/>
    </xf>
    <xf numFmtId="182" fontId="23" fillId="6" borderId="13" xfId="10" applyNumberFormat="1" applyFont="1" applyFill="1" applyBorder="1" applyAlignment="1">
      <alignment horizontal="center" vertical="center"/>
    </xf>
    <xf numFmtId="176" fontId="23" fillId="6" borderId="13" xfId="2" applyNumberFormat="1" applyFont="1" applyFill="1" applyBorder="1" applyAlignment="1">
      <alignment horizontal="center" vertical="center"/>
    </xf>
    <xf numFmtId="176" fontId="23" fillId="15" borderId="13" xfId="2" applyNumberFormat="1" applyFont="1" applyFill="1" applyBorder="1" applyAlignment="1">
      <alignment horizontal="center" vertical="center"/>
    </xf>
    <xf numFmtId="176" fontId="23" fillId="6" borderId="16" xfId="2" applyNumberFormat="1" applyFont="1" applyFill="1" applyBorder="1" applyAlignment="1">
      <alignment horizontal="center" vertical="center"/>
    </xf>
    <xf numFmtId="182" fontId="10" fillId="14" borderId="17" xfId="10" applyNumberFormat="1" applyFont="1" applyFill="1" applyBorder="1" applyAlignment="1">
      <alignment horizontal="center" vertical="center"/>
    </xf>
    <xf numFmtId="182" fontId="24" fillId="14" borderId="13" xfId="10" applyNumberFormat="1" applyFont="1" applyFill="1" applyBorder="1" applyAlignment="1">
      <alignment horizontal="center" vertical="center"/>
    </xf>
    <xf numFmtId="182" fontId="24" fillId="14" borderId="16" xfId="10" applyNumberFormat="1" applyFont="1" applyFill="1" applyBorder="1" applyAlignment="1">
      <alignment horizontal="center" vertical="center"/>
    </xf>
    <xf numFmtId="182" fontId="10" fillId="14" borderId="3" xfId="10" applyNumberFormat="1" applyFont="1" applyFill="1" applyBorder="1" applyAlignment="1">
      <alignment horizontal="center" vertical="center"/>
    </xf>
    <xf numFmtId="182" fontId="24" fillId="14" borderId="2" xfId="10" applyNumberFormat="1" applyFont="1" applyFill="1" applyBorder="1" applyAlignment="1">
      <alignment horizontal="center" vertical="center"/>
    </xf>
    <xf numFmtId="182" fontId="24" fillId="14" borderId="1" xfId="10" applyNumberFormat="1" applyFont="1" applyFill="1" applyBorder="1" applyAlignment="1">
      <alignment horizontal="center" vertical="center"/>
    </xf>
    <xf numFmtId="180" fontId="24" fillId="14" borderId="13" xfId="2" applyNumberFormat="1" applyFont="1" applyFill="1" applyBorder="1" applyAlignment="1">
      <alignment horizontal="center" vertical="center"/>
    </xf>
    <xf numFmtId="3" fontId="24" fillId="14" borderId="16" xfId="2" applyNumberFormat="1" applyFont="1" applyFill="1" applyBorder="1" applyAlignment="1">
      <alignment horizontal="center" vertical="center"/>
    </xf>
    <xf numFmtId="38" fontId="15" fillId="14" borderId="13" xfId="2" applyNumberFormat="1" applyFont="1" applyFill="1" applyBorder="1" applyAlignment="1">
      <alignment horizontal="center" vertical="center"/>
    </xf>
    <xf numFmtId="180" fontId="24" fillId="14" borderId="2" xfId="2" applyNumberFormat="1" applyFont="1" applyFill="1" applyBorder="1" applyAlignment="1">
      <alignment horizontal="center" vertical="center"/>
    </xf>
    <xf numFmtId="3" fontId="24" fillId="14" borderId="1" xfId="2" applyNumberFormat="1" applyFont="1" applyFill="1" applyBorder="1" applyAlignment="1">
      <alignment horizontal="center" vertical="center"/>
    </xf>
    <xf numFmtId="38" fontId="24" fillId="14" borderId="2" xfId="2" applyNumberFormat="1" applyFont="1" applyFill="1" applyBorder="1" applyAlignment="1">
      <alignment horizontal="center" vertical="center"/>
    </xf>
    <xf numFmtId="0" fontId="47" fillId="9" borderId="0" xfId="2" applyFont="1" applyFill="1" applyAlignment="1">
      <alignment horizontal="center" vertical="center"/>
    </xf>
    <xf numFmtId="2" fontId="23" fillId="0" borderId="0" xfId="11" applyNumberFormat="1" applyFont="1">
      <alignment vertical="center"/>
    </xf>
    <xf numFmtId="0" fontId="24" fillId="8" borderId="72" xfId="11" applyFont="1" applyFill="1" applyBorder="1" applyAlignment="1">
      <alignment horizontal="center" vertical="center" wrapText="1"/>
    </xf>
    <xf numFmtId="0" fontId="24" fillId="8" borderId="71" xfId="11" applyFont="1" applyFill="1" applyBorder="1" applyAlignment="1">
      <alignment horizontal="center" vertical="center" wrapText="1"/>
    </xf>
    <xf numFmtId="0" fontId="24" fillId="8" borderId="167" xfId="11" applyFont="1" applyFill="1" applyBorder="1" applyAlignment="1">
      <alignment horizontal="center" vertical="center" wrapText="1"/>
    </xf>
    <xf numFmtId="0" fontId="15" fillId="8" borderId="168" xfId="11" applyFont="1" applyFill="1" applyBorder="1" applyAlignment="1">
      <alignment horizontal="center" vertical="center"/>
    </xf>
    <xf numFmtId="0" fontId="15" fillId="8" borderId="70" xfId="11" applyFont="1" applyFill="1" applyBorder="1" applyAlignment="1">
      <alignment horizontal="center" vertical="center"/>
    </xf>
    <xf numFmtId="0" fontId="24" fillId="8" borderId="70" xfId="11" applyFont="1" applyFill="1" applyBorder="1" applyAlignment="1">
      <alignment horizontal="center" vertical="center" wrapText="1"/>
    </xf>
    <xf numFmtId="0" fontId="24" fillId="8" borderId="167" xfId="11" applyFont="1" applyFill="1" applyBorder="1" applyAlignment="1">
      <alignment horizontal="center" vertical="center"/>
    </xf>
    <xf numFmtId="0" fontId="24" fillId="8" borderId="169" xfId="11" applyFont="1" applyFill="1" applyBorder="1" applyAlignment="1">
      <alignment horizontal="center" vertical="center"/>
    </xf>
    <xf numFmtId="0" fontId="24" fillId="8" borderId="70" xfId="11" applyFont="1" applyFill="1" applyBorder="1" applyAlignment="1">
      <alignment horizontal="center" vertical="center"/>
    </xf>
    <xf numFmtId="0" fontId="24" fillId="8" borderId="170" xfId="11" applyFont="1" applyFill="1" applyBorder="1" applyAlignment="1">
      <alignment horizontal="center" vertical="center"/>
    </xf>
    <xf numFmtId="0" fontId="23" fillId="0" borderId="7" xfId="11" applyFont="1" applyBorder="1" applyAlignment="1">
      <alignment horizontal="center" vertical="center" wrapText="1"/>
    </xf>
    <xf numFmtId="0" fontId="23" fillId="6" borderId="2" xfId="11" applyFont="1" applyFill="1" applyBorder="1" applyAlignment="1">
      <alignment horizontal="center" vertical="center"/>
    </xf>
    <xf numFmtId="182" fontId="11" fillId="0" borderId="3" xfId="29" applyNumberFormat="1" applyFont="1" applyBorder="1" applyAlignment="1">
      <alignment horizontal="center" vertical="center"/>
    </xf>
    <xf numFmtId="182" fontId="23" fillId="0" borderId="2" xfId="29" applyNumberFormat="1" applyFont="1" applyBorder="1" applyAlignment="1">
      <alignment horizontal="center" vertical="center"/>
    </xf>
    <xf numFmtId="182" fontId="23" fillId="0" borderId="1" xfId="29" applyNumberFormat="1" applyFont="1" applyBorder="1" applyAlignment="1">
      <alignment horizontal="center" vertical="center"/>
    </xf>
    <xf numFmtId="3" fontId="23" fillId="6" borderId="171" xfId="11" applyNumberFormat="1" applyFont="1" applyFill="1" applyBorder="1" applyAlignment="1">
      <alignment horizontal="center" vertical="center"/>
    </xf>
    <xf numFmtId="181" fontId="23" fillId="6" borderId="2" xfId="29" applyNumberFormat="1" applyFont="1" applyFill="1" applyBorder="1" applyAlignment="1">
      <alignment horizontal="center" vertical="center"/>
    </xf>
    <xf numFmtId="3" fontId="23" fillId="15" borderId="2" xfId="11" applyNumberFormat="1" applyFont="1" applyFill="1" applyBorder="1" applyAlignment="1">
      <alignment horizontal="center" vertical="center"/>
    </xf>
    <xf numFmtId="179" fontId="23" fillId="6" borderId="2" xfId="8" applyNumberFormat="1" applyFont="1" applyFill="1" applyBorder="1" applyAlignment="1">
      <alignment horizontal="center" vertical="center"/>
    </xf>
    <xf numFmtId="3" fontId="23" fillId="6" borderId="2" xfId="11" applyNumberFormat="1" applyFont="1" applyFill="1" applyBorder="1" applyAlignment="1">
      <alignment horizontal="center" vertical="center"/>
    </xf>
    <xf numFmtId="180" fontId="23" fillId="6" borderId="2" xfId="11" applyNumberFormat="1" applyFont="1" applyFill="1" applyBorder="1" applyAlignment="1">
      <alignment horizontal="center" vertical="center"/>
    </xf>
    <xf numFmtId="180" fontId="23" fillId="15" borderId="2" xfId="11" applyNumberFormat="1" applyFont="1" applyFill="1" applyBorder="1" applyAlignment="1">
      <alignment horizontal="center" vertical="center"/>
    </xf>
    <xf numFmtId="178" fontId="23" fillId="6" borderId="2" xfId="8" applyNumberFormat="1" applyFont="1" applyFill="1" applyBorder="1" applyAlignment="1">
      <alignment horizontal="center" vertical="center"/>
    </xf>
    <xf numFmtId="3" fontId="23" fillId="5" borderId="6" xfId="11" applyNumberFormat="1" applyFont="1" applyFill="1" applyBorder="1" applyAlignment="1">
      <alignment horizontal="center" vertical="center"/>
    </xf>
    <xf numFmtId="3" fontId="23" fillId="0" borderId="3" xfId="11" applyNumberFormat="1" applyFont="1" applyBorder="1" applyAlignment="1">
      <alignment horizontal="center" vertical="center" wrapText="1"/>
    </xf>
    <xf numFmtId="3" fontId="23" fillId="15" borderId="2" xfId="11" applyNumberFormat="1" applyFont="1" applyFill="1" applyBorder="1" applyAlignment="1">
      <alignment horizontal="center" vertical="center" wrapText="1"/>
    </xf>
    <xf numFmtId="179" fontId="23" fillId="6" borderId="2" xfId="30" applyNumberFormat="1" applyFont="1" applyFill="1" applyBorder="1" applyAlignment="1">
      <alignment horizontal="center" vertical="center"/>
    </xf>
    <xf numFmtId="38" fontId="23" fillId="6" borderId="2" xfId="11" applyNumberFormat="1" applyFont="1" applyFill="1" applyBorder="1" applyAlignment="1">
      <alignment horizontal="center" vertical="center"/>
    </xf>
    <xf numFmtId="38" fontId="23" fillId="15" borderId="2" xfId="11" applyNumberFormat="1" applyFont="1" applyFill="1" applyBorder="1" applyAlignment="1">
      <alignment horizontal="center" vertical="center"/>
    </xf>
    <xf numFmtId="178" fontId="23" fillId="6" borderId="2" xfId="34" applyNumberFormat="1" applyFont="1" applyFill="1" applyBorder="1" applyAlignment="1">
      <alignment horizontal="center" vertical="center"/>
    </xf>
    <xf numFmtId="3" fontId="23" fillId="6" borderId="1" xfId="11" applyNumberFormat="1" applyFont="1" applyFill="1" applyBorder="1" applyAlignment="1">
      <alignment horizontal="center" vertical="center"/>
    </xf>
    <xf numFmtId="0" fontId="48" fillId="0" borderId="0" xfId="11" applyFont="1" applyAlignment="1">
      <alignment horizontal="left" vertical="center"/>
    </xf>
    <xf numFmtId="0" fontId="43" fillId="3" borderId="0" xfId="22" applyFont="1" applyFill="1" applyAlignment="1"/>
    <xf numFmtId="0" fontId="24" fillId="8" borderId="28" xfId="11" applyFont="1" applyFill="1" applyBorder="1" applyAlignment="1">
      <alignment horizontal="center" vertical="center" wrapText="1"/>
    </xf>
    <xf numFmtId="0" fontId="24" fillId="8" borderId="27" xfId="11" applyFont="1" applyFill="1" applyBorder="1" applyAlignment="1">
      <alignment horizontal="center" vertical="center" wrapText="1"/>
    </xf>
    <xf numFmtId="0" fontId="24" fillId="8" borderId="172" xfId="11" applyFont="1" applyFill="1" applyBorder="1" applyAlignment="1">
      <alignment horizontal="center" vertical="center" wrapText="1"/>
    </xf>
    <xf numFmtId="0" fontId="15" fillId="8" borderId="173" xfId="11" applyFont="1" applyFill="1" applyBorder="1" applyAlignment="1">
      <alignment horizontal="center" vertical="center"/>
    </xf>
    <xf numFmtId="0" fontId="15" fillId="8" borderId="24" xfId="11" applyFont="1" applyFill="1" applyBorder="1" applyAlignment="1">
      <alignment horizontal="center" vertical="center" wrapText="1"/>
    </xf>
    <xf numFmtId="0" fontId="15" fillId="8" borderId="24" xfId="11" applyFont="1" applyFill="1" applyBorder="1" applyAlignment="1">
      <alignment horizontal="center" vertical="center"/>
    </xf>
    <xf numFmtId="0" fontId="24" fillId="8" borderId="24" xfId="11" applyFont="1" applyFill="1" applyBorder="1" applyAlignment="1">
      <alignment horizontal="center" vertical="center" wrapText="1"/>
    </xf>
    <xf numFmtId="0" fontId="24" fillId="8" borderId="25" xfId="11" applyFont="1" applyFill="1" applyBorder="1" applyAlignment="1">
      <alignment horizontal="center" vertical="center"/>
    </xf>
    <xf numFmtId="0" fontId="24" fillId="8" borderId="24" xfId="11" applyFont="1" applyFill="1" applyBorder="1" applyAlignment="1">
      <alignment horizontal="center" vertical="center"/>
    </xf>
    <xf numFmtId="0" fontId="24" fillId="8" borderId="23" xfId="11" applyFont="1" applyFill="1" applyBorder="1" applyAlignment="1">
      <alignment horizontal="center" vertical="center"/>
    </xf>
    <xf numFmtId="0" fontId="23" fillId="6" borderId="13" xfId="11" applyFont="1" applyFill="1" applyBorder="1" applyAlignment="1">
      <alignment horizontal="center" vertical="center"/>
    </xf>
    <xf numFmtId="182" fontId="11" fillId="0" borderId="17" xfId="35" applyNumberFormat="1" applyFont="1" applyBorder="1" applyAlignment="1">
      <alignment horizontal="center" vertical="center"/>
    </xf>
    <xf numFmtId="182" fontId="23" fillId="0" borderId="13" xfId="35" applyNumberFormat="1" applyFont="1" applyBorder="1" applyAlignment="1">
      <alignment horizontal="center" vertical="center"/>
    </xf>
    <xf numFmtId="182" fontId="23" fillId="0" borderId="16" xfId="35" applyNumberFormat="1" applyFont="1" applyBorder="1" applyAlignment="1">
      <alignment horizontal="center" vertical="center"/>
    </xf>
    <xf numFmtId="3" fontId="23" fillId="6" borderId="95" xfId="11" applyNumberFormat="1" applyFont="1" applyFill="1" applyBorder="1" applyAlignment="1">
      <alignment horizontal="center" vertical="center"/>
    </xf>
    <xf numFmtId="181" fontId="23" fillId="6" borderId="13" xfId="35" applyNumberFormat="1" applyFont="1" applyFill="1" applyBorder="1" applyAlignment="1">
      <alignment horizontal="center" vertical="center"/>
    </xf>
    <xf numFmtId="179" fontId="23" fillId="6" borderId="174" xfId="8" applyNumberFormat="1" applyFont="1" applyFill="1" applyBorder="1" applyAlignment="1">
      <alignment horizontal="center" vertical="center"/>
    </xf>
    <xf numFmtId="3" fontId="23" fillId="6" borderId="174" xfId="11" applyNumberFormat="1" applyFont="1" applyFill="1" applyBorder="1" applyAlignment="1">
      <alignment horizontal="center" vertical="center"/>
    </xf>
    <xf numFmtId="180" fontId="23" fillId="6" borderId="174" xfId="11" applyNumberFormat="1" applyFont="1" applyFill="1" applyBorder="1" applyAlignment="1">
      <alignment horizontal="center" vertical="center"/>
    </xf>
    <xf numFmtId="180" fontId="23" fillId="15" borderId="174" xfId="11" applyNumberFormat="1" applyFont="1" applyFill="1" applyBorder="1" applyAlignment="1">
      <alignment horizontal="center" vertical="center"/>
    </xf>
    <xf numFmtId="178" fontId="23" fillId="6" borderId="174" xfId="8" applyNumberFormat="1" applyFont="1" applyFill="1" applyBorder="1" applyAlignment="1">
      <alignment horizontal="center" vertical="center"/>
    </xf>
    <xf numFmtId="3" fontId="23" fillId="0" borderId="17" xfId="11" applyNumberFormat="1" applyFont="1" applyBorder="1" applyAlignment="1">
      <alignment horizontal="center" vertical="center" wrapText="1"/>
    </xf>
    <xf numFmtId="3" fontId="23" fillId="15" borderId="13" xfId="11" applyNumberFormat="1" applyFont="1" applyFill="1" applyBorder="1" applyAlignment="1">
      <alignment horizontal="center" vertical="center" wrapText="1"/>
    </xf>
    <xf numFmtId="179" fontId="23" fillId="6" borderId="13" xfId="30" applyNumberFormat="1" applyFont="1" applyFill="1" applyBorder="1" applyAlignment="1">
      <alignment horizontal="center" vertical="center"/>
    </xf>
    <xf numFmtId="38" fontId="23" fillId="6" borderId="13" xfId="11" applyNumberFormat="1" applyFont="1" applyFill="1" applyBorder="1" applyAlignment="1">
      <alignment horizontal="center" vertical="center"/>
    </xf>
    <xf numFmtId="38" fontId="23" fillId="15" borderId="13" xfId="11" applyNumberFormat="1" applyFont="1" applyFill="1" applyBorder="1" applyAlignment="1">
      <alignment horizontal="center" vertical="center"/>
    </xf>
    <xf numFmtId="178" fontId="23" fillId="6" borderId="13" xfId="31" applyNumberFormat="1" applyFont="1" applyFill="1" applyBorder="1" applyAlignment="1">
      <alignment horizontal="center" vertical="center"/>
    </xf>
    <xf numFmtId="3" fontId="23" fillId="6" borderId="16" xfId="11" applyNumberFormat="1" applyFont="1" applyFill="1" applyBorder="1" applyAlignment="1">
      <alignment horizontal="center" vertical="center"/>
    </xf>
    <xf numFmtId="0" fontId="24" fillId="14" borderId="14" xfId="11" applyFont="1" applyFill="1" applyBorder="1" applyAlignment="1">
      <alignment horizontal="center" vertical="center"/>
    </xf>
    <xf numFmtId="0" fontId="23" fillId="14" borderId="14" xfId="11" applyFont="1" applyFill="1" applyBorder="1" applyAlignment="1">
      <alignment horizontal="center" vertical="center"/>
    </xf>
    <xf numFmtId="182" fontId="10" fillId="14" borderId="68" xfId="35" applyNumberFormat="1" applyFont="1" applyFill="1" applyBorder="1" applyAlignment="1">
      <alignment horizontal="center" vertical="center"/>
    </xf>
    <xf numFmtId="182" fontId="24" fillId="14" borderId="174" xfId="35" applyNumberFormat="1" applyFont="1" applyFill="1" applyBorder="1" applyAlignment="1">
      <alignment horizontal="center" vertical="center"/>
    </xf>
    <xf numFmtId="182" fontId="24" fillId="14" borderId="67" xfId="35" applyNumberFormat="1" applyFont="1" applyFill="1" applyBorder="1" applyAlignment="1">
      <alignment horizontal="center" vertical="center"/>
    </xf>
    <xf numFmtId="3" fontId="24" fillId="14" borderId="175" xfId="11" applyNumberFormat="1" applyFont="1" applyFill="1" applyBorder="1" applyAlignment="1">
      <alignment horizontal="center" vertical="center"/>
    </xf>
    <xf numFmtId="181" fontId="24" fillId="14" borderId="13" xfId="35" applyNumberFormat="1" applyFont="1" applyFill="1" applyBorder="1" applyAlignment="1">
      <alignment horizontal="center" vertical="center"/>
    </xf>
    <xf numFmtId="3" fontId="24" fillId="14" borderId="13" xfId="11" applyNumberFormat="1" applyFont="1" applyFill="1" applyBorder="1" applyAlignment="1">
      <alignment horizontal="center" vertical="center"/>
    </xf>
    <xf numFmtId="179" fontId="24" fillId="14" borderId="13" xfId="8" applyNumberFormat="1" applyFont="1" applyFill="1" applyBorder="1" applyAlignment="1">
      <alignment horizontal="center" vertical="center"/>
    </xf>
    <xf numFmtId="3" fontId="24" fillId="14" borderId="174" xfId="11" applyNumberFormat="1" applyFont="1" applyFill="1" applyBorder="1" applyAlignment="1">
      <alignment horizontal="center" vertical="center"/>
    </xf>
    <xf numFmtId="186" fontId="24" fillId="14" borderId="13" xfId="11" applyNumberFormat="1" applyFont="1" applyFill="1" applyBorder="1" applyAlignment="1">
      <alignment horizontal="center" vertical="center"/>
    </xf>
    <xf numFmtId="3" fontId="24" fillId="14" borderId="68" xfId="11" applyNumberFormat="1" applyFont="1" applyFill="1" applyBorder="1" applyAlignment="1">
      <alignment horizontal="center" vertical="center" wrapText="1"/>
    </xf>
    <xf numFmtId="3" fontId="24" fillId="14" borderId="174" xfId="11" applyNumberFormat="1" applyFont="1" applyFill="1" applyBorder="1" applyAlignment="1">
      <alignment horizontal="center" vertical="center" wrapText="1"/>
    </xf>
    <xf numFmtId="179" fontId="24" fillId="14" borderId="13" xfId="30" applyNumberFormat="1" applyFont="1" applyFill="1" applyBorder="1" applyAlignment="1">
      <alignment horizontal="center" vertical="center"/>
    </xf>
    <xf numFmtId="38" fontId="24" fillId="14" borderId="13" xfId="11" applyNumberFormat="1" applyFont="1" applyFill="1" applyBorder="1" applyAlignment="1">
      <alignment horizontal="center" vertical="center"/>
    </xf>
    <xf numFmtId="178" fontId="24" fillId="14" borderId="13" xfId="31" applyNumberFormat="1" applyFont="1" applyFill="1" applyBorder="1" applyAlignment="1">
      <alignment horizontal="center" vertical="center"/>
    </xf>
    <xf numFmtId="3" fontId="24" fillId="14" borderId="16" xfId="11" applyNumberFormat="1" applyFont="1" applyFill="1" applyBorder="1" applyAlignment="1">
      <alignment horizontal="center" vertical="center"/>
    </xf>
    <xf numFmtId="0" fontId="24" fillId="14" borderId="5" xfId="11" applyFont="1" applyFill="1" applyBorder="1" applyAlignment="1">
      <alignment horizontal="center" vertical="center"/>
    </xf>
    <xf numFmtId="182" fontId="10" fillId="14" borderId="3" xfId="35" applyNumberFormat="1" applyFont="1" applyFill="1" applyBorder="1" applyAlignment="1">
      <alignment horizontal="center" vertical="center"/>
    </xf>
    <xf numFmtId="182" fontId="24" fillId="14" borderId="2" xfId="35" applyNumberFormat="1" applyFont="1" applyFill="1" applyBorder="1" applyAlignment="1">
      <alignment horizontal="center" vertical="center"/>
    </xf>
    <xf numFmtId="182" fontId="24" fillId="14" borderId="1" xfId="35" applyNumberFormat="1" applyFont="1" applyFill="1" applyBorder="1" applyAlignment="1">
      <alignment horizontal="center" vertical="center"/>
    </xf>
    <xf numFmtId="3" fontId="24" fillId="14" borderId="171" xfId="11" applyNumberFormat="1" applyFont="1" applyFill="1" applyBorder="1" applyAlignment="1">
      <alignment horizontal="center" vertical="center"/>
    </xf>
    <xf numFmtId="181" fontId="24" fillId="14" borderId="2" xfId="35" applyNumberFormat="1" applyFont="1" applyFill="1" applyBorder="1" applyAlignment="1">
      <alignment horizontal="center" vertical="center"/>
    </xf>
    <xf numFmtId="3" fontId="24" fillId="14" borderId="2" xfId="11" applyNumberFormat="1" applyFont="1" applyFill="1" applyBorder="1" applyAlignment="1">
      <alignment horizontal="center" vertical="center"/>
    </xf>
    <xf numFmtId="179" fontId="24" fillId="14" borderId="2" xfId="8" applyNumberFormat="1" applyFont="1" applyFill="1" applyBorder="1" applyAlignment="1">
      <alignment horizontal="center" vertical="center"/>
    </xf>
    <xf numFmtId="179" fontId="24" fillId="14" borderId="5" xfId="8" applyNumberFormat="1" applyFont="1" applyFill="1" applyBorder="1" applyAlignment="1">
      <alignment horizontal="center" vertical="center"/>
    </xf>
    <xf numFmtId="3" fontId="24" fillId="14" borderId="5" xfId="11" applyNumberFormat="1" applyFont="1" applyFill="1" applyBorder="1" applyAlignment="1">
      <alignment horizontal="center" vertical="center"/>
    </xf>
    <xf numFmtId="180" fontId="24" fillId="14" borderId="5" xfId="11" applyNumberFormat="1" applyFont="1" applyFill="1" applyBorder="1" applyAlignment="1">
      <alignment horizontal="center" vertical="center"/>
    </xf>
    <xf numFmtId="178" fontId="24" fillId="14" borderId="5" xfId="8" applyNumberFormat="1" applyFont="1" applyFill="1" applyBorder="1" applyAlignment="1">
      <alignment horizontal="center" vertical="center"/>
    </xf>
    <xf numFmtId="3" fontId="24" fillId="14" borderId="6" xfId="11" applyNumberFormat="1" applyFont="1" applyFill="1" applyBorder="1" applyAlignment="1">
      <alignment horizontal="center" vertical="center"/>
    </xf>
    <xf numFmtId="3" fontId="24" fillId="14" borderId="3" xfId="11" applyNumberFormat="1" applyFont="1" applyFill="1" applyBorder="1" applyAlignment="1">
      <alignment horizontal="center" vertical="center"/>
    </xf>
    <xf numFmtId="179" fontId="24" fillId="14" borderId="2" xfId="30" applyNumberFormat="1" applyFont="1" applyFill="1" applyBorder="1" applyAlignment="1">
      <alignment horizontal="center" vertical="center"/>
    </xf>
    <xf numFmtId="38" fontId="15" fillId="14" borderId="2" xfId="11" applyNumberFormat="1" applyFont="1" applyFill="1" applyBorder="1" applyAlignment="1">
      <alignment horizontal="center" vertical="center"/>
    </xf>
    <xf numFmtId="178" fontId="15" fillId="14" borderId="2" xfId="31" applyNumberFormat="1" applyFont="1" applyFill="1" applyBorder="1" applyAlignment="1">
      <alignment horizontal="center" vertical="center"/>
    </xf>
    <xf numFmtId="3" fontId="24" fillId="14" borderId="1" xfId="11" applyNumberFormat="1" applyFont="1" applyFill="1" applyBorder="1" applyAlignment="1">
      <alignment horizontal="center" vertical="center"/>
    </xf>
    <xf numFmtId="0" fontId="23" fillId="0" borderId="0" xfId="11" applyFont="1" applyAlignment="1">
      <alignment horizontal="center" vertical="center" wrapText="1"/>
    </xf>
    <xf numFmtId="3" fontId="23" fillId="6" borderId="176" xfId="11" applyNumberFormat="1" applyFont="1" applyFill="1" applyBorder="1" applyAlignment="1">
      <alignment horizontal="center" vertical="center"/>
    </xf>
    <xf numFmtId="182" fontId="11" fillId="0" borderId="17" xfId="29" applyNumberFormat="1" applyFont="1" applyBorder="1" applyAlignment="1">
      <alignment horizontal="center" vertical="center"/>
    </xf>
    <xf numFmtId="182" fontId="23" fillId="0" borderId="13" xfId="29" applyNumberFormat="1" applyFont="1" applyBorder="1" applyAlignment="1">
      <alignment horizontal="center" vertical="center"/>
    </xf>
    <xf numFmtId="182" fontId="23" fillId="0" borderId="16" xfId="29" applyNumberFormat="1" applyFont="1" applyBorder="1" applyAlignment="1">
      <alignment horizontal="center" vertical="center"/>
    </xf>
    <xf numFmtId="181" fontId="23" fillId="6" borderId="13" xfId="29" applyNumberFormat="1" applyFont="1" applyFill="1" applyBorder="1" applyAlignment="1">
      <alignment horizontal="center" vertical="center"/>
    </xf>
    <xf numFmtId="3" fontId="23" fillId="5" borderId="11" xfId="11" applyNumberFormat="1" applyFont="1" applyFill="1" applyBorder="1" applyAlignment="1">
      <alignment horizontal="center" vertical="center"/>
    </xf>
    <xf numFmtId="0" fontId="23" fillId="0" borderId="7" xfId="11" applyFont="1" applyBorder="1" applyAlignment="1">
      <alignment vertical="center" wrapText="1"/>
    </xf>
    <xf numFmtId="182" fontId="10" fillId="14" borderId="3" xfId="29" applyNumberFormat="1" applyFont="1" applyFill="1" applyBorder="1" applyAlignment="1">
      <alignment horizontal="center" vertical="center"/>
    </xf>
    <xf numFmtId="182" fontId="24" fillId="14" borderId="2" xfId="29" applyNumberFormat="1" applyFont="1" applyFill="1" applyBorder="1" applyAlignment="1">
      <alignment horizontal="center" vertical="center"/>
    </xf>
    <xf numFmtId="182" fontId="24" fillId="14" borderId="1" xfId="29" applyNumberFormat="1" applyFont="1" applyFill="1" applyBorder="1" applyAlignment="1">
      <alignment horizontal="center" vertical="center"/>
    </xf>
    <xf numFmtId="181" fontId="24" fillId="14" borderId="2" xfId="29" applyNumberFormat="1" applyFont="1" applyFill="1" applyBorder="1" applyAlignment="1">
      <alignment horizontal="center" vertical="center"/>
    </xf>
    <xf numFmtId="3" fontId="23" fillId="6" borderId="18" xfId="11" applyNumberFormat="1" applyFont="1" applyFill="1" applyBorder="1" applyAlignment="1">
      <alignment horizontal="center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>
      <alignment vertical="center"/>
    </xf>
    <xf numFmtId="0" fontId="13" fillId="0" borderId="0" xfId="11" applyFont="1" applyAlignment="1">
      <alignment horizontal="left" vertical="center"/>
    </xf>
    <xf numFmtId="0" fontId="0" fillId="6" borderId="0" xfId="37" applyFont="1" applyFill="1"/>
    <xf numFmtId="0" fontId="50" fillId="0" borderId="0" xfId="11" applyFont="1" applyAlignment="1">
      <alignment horizontal="left" vertical="center"/>
    </xf>
    <xf numFmtId="176" fontId="23" fillId="0" borderId="153" xfId="26" applyNumberFormat="1" applyFont="1" applyFill="1" applyBorder="1" applyAlignment="1">
      <alignment horizontal="center" vertical="center"/>
    </xf>
    <xf numFmtId="176" fontId="23" fillId="0" borderId="154" xfId="26" applyNumberFormat="1" applyFont="1" applyFill="1" applyBorder="1" applyAlignment="1">
      <alignment horizontal="center" vertical="center"/>
    </xf>
    <xf numFmtId="2" fontId="23" fillId="6" borderId="153" xfId="10" applyNumberFormat="1" applyFont="1" applyFill="1" applyBorder="1" applyAlignment="1">
      <alignment horizontal="center" vertical="center"/>
    </xf>
    <xf numFmtId="176" fontId="23" fillId="6" borderId="154" xfId="2" applyNumberFormat="1" applyFont="1" applyFill="1" applyBorder="1" applyAlignment="1">
      <alignment horizontal="center" vertical="center"/>
    </xf>
    <xf numFmtId="0" fontId="42" fillId="0" borderId="0" xfId="38" applyFont="1" applyAlignment="1">
      <alignment horizontal="left" vertical="center"/>
    </xf>
    <xf numFmtId="0" fontId="24" fillId="8" borderId="192" xfId="2" applyFont="1" applyFill="1" applyBorder="1" applyAlignment="1">
      <alignment horizontal="center" vertical="center" wrapText="1"/>
    </xf>
    <xf numFmtId="0" fontId="15" fillId="8" borderId="193" xfId="2" applyFont="1" applyFill="1" applyBorder="1" applyAlignment="1">
      <alignment horizontal="center" vertical="center"/>
    </xf>
    <xf numFmtId="0" fontId="24" fillId="8" borderId="194" xfId="2" applyFont="1" applyFill="1" applyBorder="1" applyAlignment="1">
      <alignment horizontal="center" vertical="center" wrapText="1"/>
    </xf>
    <xf numFmtId="0" fontId="24" fillId="8" borderId="195" xfId="2" applyFont="1" applyFill="1" applyBorder="1" applyAlignment="1">
      <alignment horizontal="center" vertical="center"/>
    </xf>
    <xf numFmtId="0" fontId="24" fillId="8" borderId="196" xfId="2" applyFont="1" applyFill="1" applyBorder="1" applyAlignment="1">
      <alignment horizontal="center" vertical="center"/>
    </xf>
    <xf numFmtId="0" fontId="23" fillId="6" borderId="197" xfId="2" applyFont="1" applyFill="1" applyBorder="1" applyAlignment="1">
      <alignment horizontal="center" vertical="center"/>
    </xf>
    <xf numFmtId="0" fontId="23" fillId="6" borderId="104" xfId="2" applyFont="1" applyFill="1" applyBorder="1" applyAlignment="1">
      <alignment horizontal="center" vertical="center"/>
    </xf>
    <xf numFmtId="0" fontId="23" fillId="6" borderId="198" xfId="2" applyFont="1" applyFill="1" applyBorder="1" applyAlignment="1">
      <alignment horizontal="center" vertical="center"/>
    </xf>
    <xf numFmtId="176" fontId="11" fillId="6" borderId="199" xfId="26" applyNumberFormat="1" applyFont="1" applyFill="1" applyBorder="1" applyAlignment="1">
      <alignment horizontal="center" vertical="center"/>
    </xf>
    <xf numFmtId="176" fontId="23" fillId="6" borderId="104" xfId="26" applyNumberFormat="1" applyFont="1" applyFill="1" applyBorder="1" applyAlignment="1">
      <alignment horizontal="center" vertical="center"/>
    </xf>
    <xf numFmtId="176" fontId="23" fillId="0" borderId="200" xfId="26" applyNumberFormat="1" applyFont="1" applyFill="1" applyBorder="1" applyAlignment="1">
      <alignment horizontal="center" vertical="center"/>
    </xf>
    <xf numFmtId="3" fontId="23" fillId="6" borderId="106" xfId="2" applyNumberFormat="1" applyFont="1" applyFill="1" applyBorder="1" applyAlignment="1">
      <alignment horizontal="center" vertical="center"/>
    </xf>
    <xf numFmtId="181" fontId="23" fillId="6" borderId="104" xfId="10" applyNumberFormat="1" applyFont="1" applyFill="1" applyBorder="1" applyAlignment="1">
      <alignment horizontal="center" vertical="center"/>
    </xf>
    <xf numFmtId="3" fontId="23" fillId="15" borderId="104" xfId="2" applyNumberFormat="1" applyFont="1" applyFill="1" applyBorder="1" applyAlignment="1">
      <alignment horizontal="center" vertical="center" wrapText="1"/>
    </xf>
    <xf numFmtId="179" fontId="23" fillId="6" borderId="104" xfId="4" applyNumberFormat="1" applyFont="1" applyFill="1" applyBorder="1" applyAlignment="1">
      <alignment horizontal="center" vertical="center"/>
    </xf>
    <xf numFmtId="179" fontId="23" fillId="6" borderId="104" xfId="27" applyNumberFormat="1" applyFont="1" applyFill="1" applyBorder="1" applyAlignment="1">
      <alignment horizontal="center" vertical="center"/>
    </xf>
    <xf numFmtId="3" fontId="23" fillId="6" borderId="104" xfId="2" applyNumberFormat="1" applyFont="1" applyFill="1" applyBorder="1" applyAlignment="1">
      <alignment horizontal="center" vertical="center"/>
    </xf>
    <xf numFmtId="3" fontId="23" fillId="15" borderId="104" xfId="2" applyNumberFormat="1" applyFont="1" applyFill="1" applyBorder="1" applyAlignment="1">
      <alignment horizontal="center" vertical="center"/>
    </xf>
    <xf numFmtId="179" fontId="23" fillId="15" borderId="104" xfId="28" applyNumberFormat="1" applyFont="1" applyFill="1" applyBorder="1" applyAlignment="1">
      <alignment horizontal="center" vertical="center"/>
    </xf>
    <xf numFmtId="176" fontId="23" fillId="15" borderId="104" xfId="26" applyNumberFormat="1" applyFont="1" applyFill="1" applyBorder="1" applyAlignment="1">
      <alignment horizontal="center" vertical="center"/>
    </xf>
    <xf numFmtId="178" fontId="23" fillId="6" borderId="200" xfId="4" applyNumberFormat="1" applyFont="1" applyFill="1" applyBorder="1" applyAlignment="1">
      <alignment horizontal="center" vertical="center"/>
    </xf>
    <xf numFmtId="176" fontId="23" fillId="5" borderId="201" xfId="26" applyNumberFormat="1" applyFont="1" applyFill="1" applyBorder="1" applyAlignment="1">
      <alignment horizontal="center" vertical="center"/>
    </xf>
    <xf numFmtId="3" fontId="23" fillId="0" borderId="105" xfId="2" applyNumberFormat="1" applyFont="1" applyBorder="1" applyAlignment="1">
      <alignment horizontal="center" vertical="center" wrapText="1"/>
    </xf>
    <xf numFmtId="2" fontId="23" fillId="6" borderId="104" xfId="10" applyNumberFormat="1" applyFont="1" applyFill="1" applyBorder="1" applyAlignment="1">
      <alignment horizontal="center" vertical="center"/>
    </xf>
    <xf numFmtId="176" fontId="23" fillId="6" borderId="103" xfId="2" applyNumberFormat="1" applyFont="1" applyFill="1" applyBorder="1" applyAlignment="1">
      <alignment horizontal="center" vertical="center"/>
    </xf>
    <xf numFmtId="187" fontId="23" fillId="0" borderId="107" xfId="2" applyNumberFormat="1" applyFont="1" applyBorder="1" applyAlignment="1">
      <alignment horizontal="center" vertical="center"/>
    </xf>
    <xf numFmtId="9" fontId="23" fillId="6" borderId="104" xfId="25" applyFont="1" applyFill="1" applyBorder="1" applyAlignment="1">
      <alignment horizontal="center" vertical="center"/>
    </xf>
    <xf numFmtId="9" fontId="23" fillId="0" borderId="104" xfId="25" applyFont="1" applyFill="1" applyBorder="1" applyAlignment="1">
      <alignment horizontal="center" vertical="center"/>
    </xf>
    <xf numFmtId="0" fontId="23" fillId="0" borderId="104" xfId="8" applyNumberFormat="1" applyFont="1" applyFill="1" applyBorder="1" applyAlignment="1">
      <alignment horizontal="center" vertical="center"/>
    </xf>
    <xf numFmtId="176" fontId="23" fillId="6" borderId="200" xfId="26" applyNumberFormat="1" applyFont="1" applyFill="1" applyBorder="1" applyAlignment="1">
      <alignment horizontal="center" vertical="center"/>
    </xf>
    <xf numFmtId="182" fontId="11" fillId="6" borderId="199" xfId="10" applyNumberFormat="1" applyFont="1" applyFill="1" applyBorder="1" applyAlignment="1">
      <alignment horizontal="center" vertical="center"/>
    </xf>
    <xf numFmtId="182" fontId="23" fillId="6" borderId="104" xfId="10" applyNumberFormat="1" applyFont="1" applyFill="1" applyBorder="1" applyAlignment="1">
      <alignment horizontal="center" vertical="center"/>
    </xf>
    <xf numFmtId="182" fontId="23" fillId="6" borderId="200" xfId="10" applyNumberFormat="1" applyFont="1" applyFill="1" applyBorder="1" applyAlignment="1">
      <alignment horizontal="center" vertical="center"/>
    </xf>
    <xf numFmtId="180" fontId="23" fillId="6" borderId="104" xfId="2" applyNumberFormat="1" applyFont="1" applyFill="1" applyBorder="1" applyAlignment="1">
      <alignment horizontal="center" vertical="center"/>
    </xf>
    <xf numFmtId="3" fontId="23" fillId="5" borderId="201" xfId="2" applyNumberFormat="1" applyFont="1" applyFill="1" applyBorder="1" applyAlignment="1">
      <alignment horizontal="center" vertical="center"/>
    </xf>
    <xf numFmtId="38" fontId="23" fillId="6" borderId="104" xfId="2" applyNumberFormat="1" applyFont="1" applyFill="1" applyBorder="1" applyAlignment="1">
      <alignment horizontal="center" vertical="center"/>
    </xf>
    <xf numFmtId="38" fontId="23" fillId="15" borderId="104" xfId="2" applyNumberFormat="1" applyFont="1" applyFill="1" applyBorder="1" applyAlignment="1">
      <alignment horizontal="center" vertical="center"/>
    </xf>
    <xf numFmtId="185" fontId="44" fillId="6" borderId="0" xfId="2" applyNumberFormat="1" applyFont="1" applyFill="1">
      <alignment vertical="center"/>
    </xf>
    <xf numFmtId="0" fontId="0" fillId="6" borderId="0" xfId="33" applyFont="1" applyFill="1">
      <alignment vertical="center"/>
    </xf>
    <xf numFmtId="0" fontId="23" fillId="0" borderId="0" xfId="2" applyFont="1" applyAlignment="1">
      <alignment horizontal="center" vertical="center"/>
    </xf>
    <xf numFmtId="182" fontId="11" fillId="0" borderId="0" xfId="10" applyNumberFormat="1" applyFont="1" applyFill="1" applyBorder="1" applyAlignment="1">
      <alignment horizontal="center" vertical="center"/>
    </xf>
    <xf numFmtId="182" fontId="23" fillId="0" borderId="0" xfId="10" applyNumberFormat="1" applyFont="1" applyFill="1" applyBorder="1" applyAlignment="1">
      <alignment horizontal="center" vertical="center"/>
    </xf>
    <xf numFmtId="3" fontId="23" fillId="0" borderId="0" xfId="2" applyNumberFormat="1" applyFont="1" applyAlignment="1">
      <alignment horizontal="center" vertical="center"/>
    </xf>
    <xf numFmtId="181" fontId="23" fillId="0" borderId="0" xfId="10" applyNumberFormat="1" applyFont="1" applyFill="1" applyBorder="1" applyAlignment="1">
      <alignment horizontal="center" vertical="center"/>
    </xf>
    <xf numFmtId="3" fontId="23" fillId="0" borderId="0" xfId="2" applyNumberFormat="1" applyFont="1" applyAlignment="1">
      <alignment horizontal="center" vertical="center" wrapText="1"/>
    </xf>
    <xf numFmtId="179" fontId="23" fillId="0" borderId="0" xfId="4" applyNumberFormat="1" applyFont="1" applyFill="1" applyBorder="1" applyAlignment="1">
      <alignment horizontal="center" vertical="center"/>
    </xf>
    <xf numFmtId="179" fontId="23" fillId="0" borderId="0" xfId="27" applyNumberFormat="1" applyFont="1" applyFill="1" applyBorder="1" applyAlignment="1">
      <alignment horizontal="center" vertical="center"/>
    </xf>
    <xf numFmtId="179" fontId="23" fillId="0" borderId="0" xfId="28" applyNumberFormat="1" applyFont="1" applyFill="1" applyBorder="1" applyAlignment="1">
      <alignment horizontal="center" vertical="center"/>
    </xf>
    <xf numFmtId="180" fontId="23" fillId="0" borderId="0" xfId="2" applyNumberFormat="1" applyFont="1" applyAlignment="1">
      <alignment horizontal="center" vertical="center"/>
    </xf>
    <xf numFmtId="178" fontId="23" fillId="0" borderId="0" xfId="4" applyNumberFormat="1" applyFont="1" applyFill="1" applyBorder="1" applyAlignment="1">
      <alignment horizontal="center" vertical="center"/>
    </xf>
    <xf numFmtId="38" fontId="23" fillId="0" borderId="0" xfId="2" applyNumberFormat="1" applyFont="1" applyAlignment="1">
      <alignment horizontal="center" vertical="center"/>
    </xf>
    <xf numFmtId="2" fontId="23" fillId="0" borderId="0" xfId="10" applyNumberFormat="1" applyFont="1" applyFill="1" applyBorder="1" applyAlignment="1">
      <alignment horizontal="center" vertical="center"/>
    </xf>
    <xf numFmtId="176" fontId="23" fillId="0" borderId="0" xfId="2" applyNumberFormat="1" applyFont="1" applyAlignment="1">
      <alignment horizontal="center" vertical="center"/>
    </xf>
    <xf numFmtId="182" fontId="52" fillId="0" borderId="0" xfId="10" applyNumberFormat="1" applyFont="1" applyFill="1" applyBorder="1" applyAlignment="1">
      <alignment horizontal="center" vertical="center"/>
    </xf>
    <xf numFmtId="3" fontId="23" fillId="6" borderId="16" xfId="2" applyNumberFormat="1" applyFont="1" applyFill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182" fontId="10" fillId="0" borderId="0" xfId="10" applyNumberFormat="1" applyFont="1" applyFill="1" applyBorder="1" applyAlignment="1">
      <alignment horizontal="center" vertical="center"/>
    </xf>
    <xf numFmtId="182" fontId="24" fillId="0" borderId="0" xfId="10" applyNumberFormat="1" applyFont="1" applyFill="1" applyBorder="1" applyAlignment="1">
      <alignment horizontal="center" vertical="center"/>
    </xf>
    <xf numFmtId="3" fontId="24" fillId="0" borderId="0" xfId="2" applyNumberFormat="1" applyFont="1" applyAlignment="1">
      <alignment horizontal="center" vertical="center"/>
    </xf>
    <xf numFmtId="181" fontId="24" fillId="0" borderId="0" xfId="10" applyNumberFormat="1" applyFont="1" applyFill="1" applyBorder="1" applyAlignment="1">
      <alignment horizontal="center" vertical="center"/>
    </xf>
    <xf numFmtId="3" fontId="24" fillId="0" borderId="0" xfId="2" applyNumberFormat="1" applyFont="1" applyAlignment="1">
      <alignment horizontal="center" vertical="center" wrapText="1"/>
    </xf>
    <xf numFmtId="179" fontId="24" fillId="0" borderId="0" xfId="4" applyNumberFormat="1" applyFont="1" applyFill="1" applyBorder="1" applyAlignment="1">
      <alignment horizontal="center" vertical="center"/>
    </xf>
    <xf numFmtId="179" fontId="24" fillId="0" borderId="0" xfId="27" applyNumberFormat="1" applyFont="1" applyFill="1" applyBorder="1" applyAlignment="1">
      <alignment horizontal="center" vertical="center"/>
    </xf>
    <xf numFmtId="179" fontId="24" fillId="0" borderId="0" xfId="28" applyNumberFormat="1" applyFont="1" applyFill="1" applyBorder="1" applyAlignment="1">
      <alignment horizontal="center" vertical="center"/>
    </xf>
    <xf numFmtId="180" fontId="24" fillId="0" borderId="0" xfId="2" applyNumberFormat="1" applyFont="1" applyAlignment="1">
      <alignment horizontal="center" vertical="center"/>
    </xf>
    <xf numFmtId="178" fontId="24" fillId="0" borderId="0" xfId="4" applyNumberFormat="1" applyFont="1" applyFill="1" applyBorder="1" applyAlignment="1">
      <alignment horizontal="center" vertical="center"/>
    </xf>
    <xf numFmtId="38" fontId="24" fillId="0" borderId="0" xfId="2" applyNumberFormat="1" applyFont="1" applyAlignment="1">
      <alignment horizontal="center" vertical="center"/>
    </xf>
    <xf numFmtId="178" fontId="24" fillId="0" borderId="0" xfId="10" applyNumberFormat="1" applyFont="1" applyFill="1" applyBorder="1" applyAlignment="1">
      <alignment horizontal="center" vertical="center"/>
    </xf>
    <xf numFmtId="0" fontId="24" fillId="0" borderId="0" xfId="2" applyFont="1">
      <alignment vertical="center"/>
    </xf>
    <xf numFmtId="0" fontId="0" fillId="0" borderId="0" xfId="32" applyFont="1" applyAlignment="1"/>
    <xf numFmtId="182" fontId="11" fillId="6" borderId="17" xfId="31" applyNumberFormat="1" applyFont="1" applyFill="1" applyBorder="1" applyAlignment="1">
      <alignment horizontal="center" vertical="center"/>
    </xf>
    <xf numFmtId="182" fontId="23" fillId="6" borderId="13" xfId="31" applyNumberFormat="1" applyFont="1" applyFill="1" applyBorder="1" applyAlignment="1">
      <alignment horizontal="center" vertical="center"/>
    </xf>
    <xf numFmtId="182" fontId="23" fillId="6" borderId="16" xfId="31" applyNumberFormat="1" applyFont="1" applyFill="1" applyBorder="1" applyAlignment="1">
      <alignment horizontal="center" vertical="center"/>
    </xf>
    <xf numFmtId="181" fontId="23" fillId="6" borderId="13" xfId="31" applyNumberFormat="1" applyFont="1" applyFill="1" applyBorder="1" applyAlignment="1">
      <alignment horizontal="center" vertical="center"/>
    </xf>
    <xf numFmtId="2" fontId="23" fillId="6" borderId="13" xfId="31" applyNumberFormat="1" applyFont="1" applyFill="1" applyBorder="1" applyAlignment="1">
      <alignment horizontal="center" vertical="center"/>
    </xf>
    <xf numFmtId="182" fontId="10" fillId="14" borderId="17" xfId="31" applyNumberFormat="1" applyFont="1" applyFill="1" applyBorder="1" applyAlignment="1">
      <alignment horizontal="center" vertical="center"/>
    </xf>
    <xf numFmtId="182" fontId="24" fillId="14" borderId="13" xfId="31" applyNumberFormat="1" applyFont="1" applyFill="1" applyBorder="1" applyAlignment="1">
      <alignment horizontal="center" vertical="center"/>
    </xf>
    <xf numFmtId="182" fontId="24" fillId="14" borderId="16" xfId="31" applyNumberFormat="1" applyFont="1" applyFill="1" applyBorder="1" applyAlignment="1">
      <alignment horizontal="center" vertical="center"/>
    </xf>
    <xf numFmtId="181" fontId="24" fillId="14" borderId="13" xfId="31" applyNumberFormat="1" applyFont="1" applyFill="1" applyBorder="1" applyAlignment="1">
      <alignment horizontal="center" vertical="center"/>
    </xf>
    <xf numFmtId="178" fontId="15" fillId="14" borderId="13" xfId="31" applyNumberFormat="1" applyFont="1" applyFill="1" applyBorder="1" applyAlignment="1">
      <alignment horizontal="center" vertical="center"/>
    </xf>
    <xf numFmtId="182" fontId="10" fillId="14" borderId="3" xfId="31" applyNumberFormat="1" applyFont="1" applyFill="1" applyBorder="1" applyAlignment="1">
      <alignment horizontal="center" vertical="center"/>
    </xf>
    <xf numFmtId="182" fontId="24" fillId="14" borderId="2" xfId="31" applyNumberFormat="1" applyFont="1" applyFill="1" applyBorder="1" applyAlignment="1">
      <alignment horizontal="center" vertical="center"/>
    </xf>
    <xf numFmtId="182" fontId="24" fillId="14" borderId="1" xfId="31" applyNumberFormat="1" applyFont="1" applyFill="1" applyBorder="1" applyAlignment="1">
      <alignment horizontal="center" vertical="center"/>
    </xf>
    <xf numFmtId="181" fontId="24" fillId="14" borderId="2" xfId="31" applyNumberFormat="1" applyFont="1" applyFill="1" applyBorder="1" applyAlignment="1">
      <alignment horizontal="center" vertical="center"/>
    </xf>
    <xf numFmtId="178" fontId="24" fillId="14" borderId="2" xfId="31" applyNumberFormat="1" applyFont="1" applyFill="1" applyBorder="1" applyAlignment="1">
      <alignment horizontal="center" vertical="center"/>
    </xf>
    <xf numFmtId="182" fontId="11" fillId="0" borderId="17" xfId="12" applyNumberFormat="1" applyFont="1" applyBorder="1" applyAlignment="1">
      <alignment horizontal="center" vertical="center"/>
    </xf>
    <xf numFmtId="182" fontId="23" fillId="0" borderId="13" xfId="12" applyNumberFormat="1" applyFont="1" applyBorder="1" applyAlignment="1">
      <alignment horizontal="center" vertical="center"/>
    </xf>
    <xf numFmtId="182" fontId="23" fillId="0" borderId="16" xfId="12" applyNumberFormat="1" applyFont="1" applyBorder="1" applyAlignment="1">
      <alignment horizontal="center" vertical="center"/>
    </xf>
    <xf numFmtId="181" fontId="23" fillId="6" borderId="13" xfId="12" applyNumberFormat="1" applyFont="1" applyFill="1" applyBorder="1" applyAlignment="1">
      <alignment horizontal="center" vertical="center"/>
    </xf>
    <xf numFmtId="179" fontId="23" fillId="15" borderId="174" xfId="8" applyNumberFormat="1" applyFont="1" applyFill="1" applyBorder="1" applyAlignment="1">
      <alignment horizontal="center" vertical="center"/>
    </xf>
    <xf numFmtId="182" fontId="10" fillId="14" borderId="3" xfId="12" applyNumberFormat="1" applyFont="1" applyFill="1" applyBorder="1" applyAlignment="1">
      <alignment horizontal="center" vertical="center"/>
    </xf>
    <xf numFmtId="182" fontId="24" fillId="14" borderId="2" xfId="12" applyNumberFormat="1" applyFont="1" applyFill="1" applyBorder="1" applyAlignment="1">
      <alignment horizontal="center" vertical="center"/>
    </xf>
    <xf numFmtId="182" fontId="24" fillId="14" borderId="1" xfId="12" applyNumberFormat="1" applyFont="1" applyFill="1" applyBorder="1" applyAlignment="1">
      <alignment horizontal="center" vertical="center"/>
    </xf>
    <xf numFmtId="181" fontId="24" fillId="14" borderId="2" xfId="12" applyNumberFormat="1" applyFont="1" applyFill="1" applyBorder="1" applyAlignment="1">
      <alignment horizontal="center" vertical="center"/>
    </xf>
    <xf numFmtId="178" fontId="15" fillId="14" borderId="2" xfId="10" applyNumberFormat="1" applyFont="1" applyFill="1" applyBorder="1" applyAlignment="1">
      <alignment horizontal="center" vertical="center"/>
    </xf>
    <xf numFmtId="182" fontId="10" fillId="0" borderId="0" xfId="29" applyNumberFormat="1" applyFont="1" applyFill="1" applyBorder="1" applyAlignment="1">
      <alignment horizontal="center" vertical="center"/>
    </xf>
    <xf numFmtId="181" fontId="24" fillId="0" borderId="0" xfId="29" applyNumberFormat="1" applyFont="1" applyFill="1" applyBorder="1" applyAlignment="1">
      <alignment horizontal="center" vertical="center"/>
    </xf>
    <xf numFmtId="179" fontId="24" fillId="0" borderId="0" xfId="8" applyNumberFormat="1" applyFont="1" applyFill="1" applyBorder="1" applyAlignment="1">
      <alignment horizontal="center" vertical="center"/>
    </xf>
    <xf numFmtId="178" fontId="24" fillId="0" borderId="0" xfId="8" applyNumberFormat="1" applyFont="1" applyFill="1" applyBorder="1" applyAlignment="1">
      <alignment horizontal="center" vertical="center"/>
    </xf>
    <xf numFmtId="179" fontId="24" fillId="0" borderId="0" xfId="30" applyNumberFormat="1" applyFont="1" applyFill="1" applyBorder="1" applyAlignment="1">
      <alignment horizontal="center" vertical="center"/>
    </xf>
    <xf numFmtId="178" fontId="15" fillId="0" borderId="0" xfId="31" applyNumberFormat="1" applyFont="1" applyFill="1" applyBorder="1" applyAlignment="1">
      <alignment horizontal="center" vertical="center"/>
    </xf>
    <xf numFmtId="0" fontId="53" fillId="0" borderId="0" xfId="38" applyFont="1" applyAlignment="1">
      <alignment horizontal="center" vertical="top"/>
    </xf>
    <xf numFmtId="0" fontId="12" fillId="0" borderId="0" xfId="17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180" fontId="30" fillId="0" borderId="0" xfId="4" applyNumberFormat="1" applyFont="1" applyAlignment="1">
      <alignment horizontal="center" vertical="center"/>
    </xf>
    <xf numFmtId="0" fontId="54" fillId="0" borderId="0" xfId="16" applyFont="1">
      <alignment vertical="center"/>
    </xf>
    <xf numFmtId="2" fontId="32" fillId="6" borderId="118" xfId="10" applyNumberFormat="1" applyFont="1" applyFill="1" applyBorder="1" applyAlignment="1">
      <alignment horizontal="center" vertical="center"/>
    </xf>
    <xf numFmtId="37" fontId="32" fillId="6" borderId="133" xfId="10" applyNumberFormat="1" applyFont="1" applyFill="1" applyBorder="1" applyAlignment="1">
      <alignment horizontal="center" vertical="center"/>
    </xf>
    <xf numFmtId="3" fontId="32" fillId="7" borderId="140" xfId="2" applyNumberFormat="1" applyFont="1" applyFill="1" applyBorder="1" applyAlignment="1">
      <alignment horizontal="center" vertical="center"/>
    </xf>
    <xf numFmtId="180" fontId="32" fillId="7" borderId="140" xfId="2" applyNumberFormat="1" applyFont="1" applyFill="1" applyBorder="1" applyAlignment="1">
      <alignment horizontal="center" vertical="center"/>
    </xf>
    <xf numFmtId="3" fontId="34" fillId="6" borderId="140" xfId="2" applyNumberFormat="1" applyFont="1" applyFill="1" applyBorder="1" applyAlignment="1">
      <alignment horizontal="center" vertical="center"/>
    </xf>
    <xf numFmtId="3" fontId="34" fillId="7" borderId="140" xfId="2" applyNumberFormat="1" applyFont="1" applyFill="1" applyBorder="1" applyAlignment="1">
      <alignment horizontal="center" vertical="center"/>
    </xf>
    <xf numFmtId="179" fontId="30" fillId="6" borderId="140" xfId="4" applyNumberFormat="1" applyFont="1" applyFill="1" applyBorder="1" applyAlignment="1">
      <alignment horizontal="center" vertical="center"/>
    </xf>
    <xf numFmtId="38" fontId="31" fillId="16" borderId="140" xfId="2" applyNumberFormat="1" applyFont="1" applyFill="1" applyBorder="1" applyAlignment="1">
      <alignment horizontal="center" vertical="center"/>
    </xf>
    <xf numFmtId="3" fontId="30" fillId="6" borderId="140" xfId="2" applyNumberFormat="1" applyFont="1" applyFill="1" applyBorder="1" applyAlignment="1">
      <alignment horizontal="center" vertical="center"/>
    </xf>
    <xf numFmtId="178" fontId="30" fillId="6" borderId="140" xfId="10" applyNumberFormat="1" applyFont="1" applyFill="1" applyBorder="1" applyAlignment="1">
      <alignment horizontal="center" vertical="center"/>
    </xf>
    <xf numFmtId="3" fontId="32" fillId="6" borderId="141" xfId="2" applyNumberFormat="1" applyFont="1" applyFill="1" applyBorder="1" applyAlignment="1">
      <alignment horizontal="center" vertical="center"/>
    </xf>
    <xf numFmtId="37" fontId="32" fillId="6" borderId="136" xfId="10" applyNumberFormat="1" applyFont="1" applyFill="1" applyBorder="1" applyAlignment="1">
      <alignment horizontal="center" vertical="center"/>
    </xf>
    <xf numFmtId="3" fontId="32" fillId="6" borderId="136" xfId="2" applyNumberFormat="1" applyFont="1" applyFill="1" applyBorder="1" applyAlignment="1">
      <alignment horizontal="center" vertical="center"/>
    </xf>
    <xf numFmtId="3" fontId="33" fillId="3" borderId="136" xfId="16" applyNumberFormat="1" applyFont="1" applyFill="1" applyBorder="1" applyAlignment="1">
      <alignment horizontal="center" vertical="center"/>
    </xf>
    <xf numFmtId="3" fontId="32" fillId="7" borderId="136" xfId="2" applyNumberFormat="1" applyFont="1" applyFill="1" applyBorder="1" applyAlignment="1">
      <alignment horizontal="center" vertical="center"/>
    </xf>
    <xf numFmtId="179" fontId="30" fillId="0" borderId="136" xfId="4" applyNumberFormat="1" applyFont="1" applyBorder="1" applyAlignment="1">
      <alignment horizontal="center" vertical="center"/>
    </xf>
    <xf numFmtId="179" fontId="32" fillId="6" borderId="136" xfId="4" applyNumberFormat="1" applyFont="1" applyFill="1" applyBorder="1" applyAlignment="1">
      <alignment horizontal="center" vertical="center"/>
    </xf>
    <xf numFmtId="38" fontId="35" fillId="7" borderId="136" xfId="2" applyNumberFormat="1" applyFont="1" applyFill="1" applyBorder="1" applyAlignment="1">
      <alignment horizontal="center" vertical="center"/>
    </xf>
    <xf numFmtId="178" fontId="32" fillId="6" borderId="136" xfId="10" applyNumberFormat="1" applyFont="1" applyFill="1" applyBorder="1" applyAlignment="1">
      <alignment horizontal="center" vertical="center"/>
    </xf>
    <xf numFmtId="179" fontId="30" fillId="0" borderId="118" xfId="4" applyNumberFormat="1" applyFont="1" applyFill="1" applyBorder="1" applyAlignment="1">
      <alignment horizontal="center" vertical="center"/>
    </xf>
    <xf numFmtId="9" fontId="29" fillId="0" borderId="0" xfId="16" applyNumberFormat="1" applyFont="1">
      <alignment vertical="center"/>
    </xf>
    <xf numFmtId="3" fontId="34" fillId="15" borderId="118" xfId="2" applyNumberFormat="1" applyFont="1" applyFill="1" applyBorder="1" applyAlignment="1">
      <alignment horizontal="center" vertical="center"/>
    </xf>
    <xf numFmtId="179" fontId="30" fillId="0" borderId="140" xfId="4" applyNumberFormat="1" applyFont="1" applyFill="1" applyBorder="1" applyAlignment="1">
      <alignment horizontal="center" vertical="center"/>
    </xf>
    <xf numFmtId="179" fontId="30" fillId="0" borderId="0" xfId="4" applyNumberFormat="1" applyFont="1" applyFill="1" applyAlignment="1">
      <alignment horizontal="center" vertical="center"/>
    </xf>
    <xf numFmtId="0" fontId="36" fillId="0" borderId="0" xfId="2" applyFont="1" applyAlignment="1">
      <alignment horizontal="center" vertical="center"/>
    </xf>
    <xf numFmtId="38" fontId="30" fillId="0" borderId="0" xfId="4" applyNumberFormat="1" applyFont="1" applyFill="1" applyAlignment="1">
      <alignment horizontal="center" vertical="center"/>
    </xf>
    <xf numFmtId="0" fontId="30" fillId="6" borderId="202" xfId="11" applyFont="1" applyFill="1" applyBorder="1" applyAlignment="1">
      <alignment horizontal="center" vertical="center"/>
    </xf>
    <xf numFmtId="37" fontId="30" fillId="0" borderId="203" xfId="18" applyNumberFormat="1" applyFont="1" applyFill="1" applyBorder="1" applyAlignment="1">
      <alignment horizontal="center" vertical="center"/>
    </xf>
    <xf numFmtId="37" fontId="30" fillId="0" borderId="117" xfId="18" applyNumberFormat="1" applyFont="1" applyFill="1" applyBorder="1" applyAlignment="1">
      <alignment horizontal="center" vertical="center"/>
    </xf>
    <xf numFmtId="180" fontId="30" fillId="16" borderId="204" xfId="11" applyNumberFormat="1" applyFont="1" applyFill="1" applyBorder="1" applyAlignment="1">
      <alignment horizontal="center" vertical="center"/>
    </xf>
    <xf numFmtId="179" fontId="30" fillId="0" borderId="204" xfId="4" applyNumberFormat="1" applyFont="1" applyFill="1" applyBorder="1" applyAlignment="1">
      <alignment horizontal="center" vertical="center"/>
    </xf>
    <xf numFmtId="179" fontId="30" fillId="6" borderId="204" xfId="4" applyNumberFormat="1" applyFont="1" applyFill="1" applyBorder="1" applyAlignment="1">
      <alignment horizontal="center" vertical="center"/>
    </xf>
    <xf numFmtId="38" fontId="31" fillId="16" borderId="204" xfId="11" applyNumberFormat="1" applyFont="1" applyFill="1" applyBorder="1" applyAlignment="1">
      <alignment horizontal="center" vertical="center"/>
    </xf>
    <xf numFmtId="3" fontId="30" fillId="6" borderId="204" xfId="11" applyNumberFormat="1" applyFont="1" applyFill="1" applyBorder="1" applyAlignment="1">
      <alignment horizontal="center" vertical="center"/>
    </xf>
    <xf numFmtId="178" fontId="30" fillId="6" borderId="204" xfId="10" applyNumberFormat="1" applyFont="1" applyFill="1" applyBorder="1" applyAlignment="1">
      <alignment horizontal="center" vertical="center"/>
    </xf>
    <xf numFmtId="3" fontId="30" fillId="0" borderId="205" xfId="11" applyNumberFormat="1" applyFont="1" applyBorder="1" applyAlignment="1">
      <alignment horizontal="center" vertical="center"/>
    </xf>
    <xf numFmtId="0" fontId="32" fillId="6" borderId="206" xfId="2" applyFont="1" applyFill="1" applyBorder="1" applyAlignment="1">
      <alignment horizontal="center" vertical="center"/>
    </xf>
    <xf numFmtId="37" fontId="32" fillId="6" borderId="207" xfId="10" applyNumberFormat="1" applyFont="1" applyFill="1" applyBorder="1" applyAlignment="1">
      <alignment horizontal="center" vertical="center"/>
    </xf>
    <xf numFmtId="3" fontId="32" fillId="0" borderId="123" xfId="2" applyNumberFormat="1" applyFont="1" applyBorder="1" applyAlignment="1">
      <alignment horizontal="center" vertical="center"/>
    </xf>
    <xf numFmtId="3" fontId="30" fillId="0" borderId="123" xfId="2" applyNumberFormat="1" applyFont="1" applyBorder="1" applyAlignment="1">
      <alignment horizontal="center" vertical="center"/>
    </xf>
    <xf numFmtId="3" fontId="30" fillId="0" borderId="130" xfId="2" applyNumberFormat="1" applyFont="1" applyBorder="1" applyAlignment="1">
      <alignment horizontal="center" vertical="center"/>
    </xf>
    <xf numFmtId="0" fontId="32" fillId="6" borderId="208" xfId="2" applyFont="1" applyFill="1" applyBorder="1" applyAlignment="1">
      <alignment horizontal="center" vertical="center"/>
    </xf>
    <xf numFmtId="37" fontId="32" fillId="6" borderId="209" xfId="10" applyNumberFormat="1" applyFont="1" applyFill="1" applyBorder="1" applyAlignment="1">
      <alignment horizontal="center" vertical="center"/>
    </xf>
    <xf numFmtId="37" fontId="32" fillId="6" borderId="210" xfId="10" applyNumberFormat="1" applyFont="1" applyFill="1" applyBorder="1" applyAlignment="1">
      <alignment horizontal="center" vertical="center"/>
    </xf>
    <xf numFmtId="3" fontId="32" fillId="6" borderId="210" xfId="2" applyNumberFormat="1" applyFont="1" applyFill="1" applyBorder="1" applyAlignment="1">
      <alignment horizontal="center" vertical="center"/>
    </xf>
    <xf numFmtId="3" fontId="32" fillId="7" borderId="210" xfId="2" applyNumberFormat="1" applyFont="1" applyFill="1" applyBorder="1" applyAlignment="1">
      <alignment horizontal="center" vertical="center"/>
    </xf>
    <xf numFmtId="180" fontId="30" fillId="16" borderId="211" xfId="2" applyNumberFormat="1" applyFont="1" applyFill="1" applyBorder="1" applyAlignment="1">
      <alignment horizontal="center" vertical="center"/>
    </xf>
    <xf numFmtId="179" fontId="30" fillId="0" borderId="211" xfId="4" applyNumberFormat="1" applyFont="1" applyFill="1" applyBorder="1" applyAlignment="1">
      <alignment horizontal="center" vertical="center"/>
    </xf>
    <xf numFmtId="3" fontId="34" fillId="6" borderId="210" xfId="2" applyNumberFormat="1" applyFont="1" applyFill="1" applyBorder="1" applyAlignment="1">
      <alignment horizontal="center" vertical="center"/>
    </xf>
    <xf numFmtId="3" fontId="34" fillId="7" borderId="210" xfId="2" applyNumberFormat="1" applyFont="1" applyFill="1" applyBorder="1" applyAlignment="1">
      <alignment horizontal="center" vertical="center"/>
    </xf>
    <xf numFmtId="179" fontId="30" fillId="6" borderId="211" xfId="4" applyNumberFormat="1" applyFont="1" applyFill="1" applyBorder="1" applyAlignment="1">
      <alignment horizontal="center" vertical="center"/>
    </xf>
    <xf numFmtId="38" fontId="31" fillId="16" borderId="211" xfId="2" applyNumberFormat="1" applyFont="1" applyFill="1" applyBorder="1" applyAlignment="1">
      <alignment horizontal="center" vertical="center"/>
    </xf>
    <xf numFmtId="3" fontId="30" fillId="6" borderId="211" xfId="2" applyNumberFormat="1" applyFont="1" applyFill="1" applyBorder="1" applyAlignment="1">
      <alignment horizontal="center" vertical="center"/>
    </xf>
    <xf numFmtId="178" fontId="30" fillId="6" borderId="211" xfId="10" applyNumberFormat="1" applyFont="1" applyFill="1" applyBorder="1" applyAlignment="1">
      <alignment horizontal="center" vertical="center"/>
    </xf>
    <xf numFmtId="3" fontId="32" fillId="0" borderId="212" xfId="2" applyNumberFormat="1" applyFont="1" applyBorder="1" applyAlignment="1">
      <alignment horizontal="center" vertical="center"/>
    </xf>
    <xf numFmtId="37" fontId="32" fillId="0" borderId="118" xfId="10" applyNumberFormat="1" applyFont="1" applyFill="1" applyBorder="1" applyAlignment="1">
      <alignment horizontal="center" vertical="center"/>
    </xf>
    <xf numFmtId="3" fontId="32" fillId="0" borderId="118" xfId="2" applyNumberFormat="1" applyFont="1" applyBorder="1" applyAlignment="1">
      <alignment horizontal="center" vertical="center"/>
    </xf>
    <xf numFmtId="3" fontId="32" fillId="15" borderId="118" xfId="2" applyNumberFormat="1" applyFont="1" applyFill="1" applyBorder="1" applyAlignment="1">
      <alignment horizontal="center" vertical="center"/>
    </xf>
    <xf numFmtId="3" fontId="34" fillId="0" borderId="118" xfId="2" applyNumberFormat="1" applyFont="1" applyBorder="1" applyAlignment="1">
      <alignment horizontal="center" vertical="center"/>
    </xf>
    <xf numFmtId="0" fontId="32" fillId="6" borderId="213" xfId="2" applyFont="1" applyFill="1" applyBorder="1" applyAlignment="1">
      <alignment horizontal="center" vertical="center"/>
    </xf>
    <xf numFmtId="37" fontId="32" fillId="6" borderId="214" xfId="10" applyNumberFormat="1" applyFont="1" applyFill="1" applyBorder="1" applyAlignment="1">
      <alignment horizontal="center" vertical="center"/>
    </xf>
    <xf numFmtId="37" fontId="32" fillId="0" borderId="140" xfId="10" applyNumberFormat="1" applyFont="1" applyFill="1" applyBorder="1" applyAlignment="1">
      <alignment horizontal="center" vertical="center"/>
    </xf>
    <xf numFmtId="3" fontId="33" fillId="3" borderId="215" xfId="16" applyNumberFormat="1" applyFont="1" applyFill="1" applyBorder="1" applyAlignment="1">
      <alignment horizontal="center" vertical="center"/>
    </xf>
    <xf numFmtId="180" fontId="32" fillId="7" borderId="215" xfId="2" applyNumberFormat="1" applyFont="1" applyFill="1" applyBorder="1" applyAlignment="1">
      <alignment horizontal="center" vertical="center"/>
    </xf>
    <xf numFmtId="179" fontId="30" fillId="0" borderId="215" xfId="4" applyNumberFormat="1" applyFont="1" applyFill="1" applyBorder="1" applyAlignment="1">
      <alignment horizontal="center" vertical="center"/>
    </xf>
    <xf numFmtId="179" fontId="32" fillId="6" borderId="215" xfId="4" applyNumberFormat="1" applyFont="1" applyFill="1" applyBorder="1" applyAlignment="1">
      <alignment horizontal="center" vertical="center"/>
    </xf>
    <xf numFmtId="38" fontId="35" fillId="7" borderId="215" xfId="2" applyNumberFormat="1" applyFont="1" applyFill="1" applyBorder="1" applyAlignment="1">
      <alignment horizontal="center" vertical="center"/>
    </xf>
    <xf numFmtId="3" fontId="30" fillId="6" borderId="215" xfId="2" applyNumberFormat="1" applyFont="1" applyFill="1" applyBorder="1" applyAlignment="1">
      <alignment horizontal="center" vertical="center"/>
    </xf>
    <xf numFmtId="178" fontId="32" fillId="6" borderId="215" xfId="10" applyNumberFormat="1" applyFont="1" applyFill="1" applyBorder="1" applyAlignment="1">
      <alignment horizontal="center" vertical="center"/>
    </xf>
    <xf numFmtId="37" fontId="30" fillId="0" borderId="204" xfId="18" applyNumberFormat="1" applyFont="1" applyFill="1" applyBorder="1" applyAlignment="1">
      <alignment horizontal="center" vertical="center"/>
    </xf>
    <xf numFmtId="3" fontId="30" fillId="16" borderId="204" xfId="11" applyNumberFormat="1" applyFont="1" applyFill="1" applyBorder="1" applyAlignment="1">
      <alignment horizontal="center" vertical="center"/>
    </xf>
    <xf numFmtId="179" fontId="30" fillId="0" borderId="127" xfId="4" applyNumberFormat="1" applyFont="1" applyFill="1" applyBorder="1" applyAlignment="1">
      <alignment horizontal="center" vertical="center"/>
    </xf>
    <xf numFmtId="3" fontId="30" fillId="6" borderId="205" xfId="11" applyNumberFormat="1" applyFont="1" applyFill="1" applyBorder="1" applyAlignment="1">
      <alignment horizontal="center" vertical="center"/>
    </xf>
    <xf numFmtId="37" fontId="30" fillId="6" borderId="136" xfId="10" applyNumberFormat="1" applyFont="1" applyFill="1" applyBorder="1" applyAlignment="1">
      <alignment horizontal="center" vertical="center"/>
    </xf>
    <xf numFmtId="179" fontId="30" fillId="0" borderId="136" xfId="4" applyNumberFormat="1" applyFont="1" applyFill="1" applyBorder="1" applyAlignment="1">
      <alignment horizontal="center" vertical="center"/>
    </xf>
    <xf numFmtId="179" fontId="30" fillId="6" borderId="136" xfId="4" applyNumberFormat="1" applyFont="1" applyFill="1" applyBorder="1" applyAlignment="1">
      <alignment horizontal="center" vertical="center"/>
    </xf>
    <xf numFmtId="38" fontId="31" fillId="16" borderId="216" xfId="2" applyNumberFormat="1" applyFont="1" applyFill="1" applyBorder="1" applyAlignment="1">
      <alignment horizontal="center" vertical="center"/>
    </xf>
    <xf numFmtId="3" fontId="30" fillId="6" borderId="216" xfId="2" applyNumberFormat="1" applyFont="1" applyFill="1" applyBorder="1" applyAlignment="1">
      <alignment horizontal="center" vertical="center"/>
    </xf>
    <xf numFmtId="178" fontId="30" fillId="6" borderId="216" xfId="10" applyNumberFormat="1" applyFont="1" applyFill="1" applyBorder="1" applyAlignment="1">
      <alignment horizontal="center" vertical="center"/>
    </xf>
    <xf numFmtId="0" fontId="9" fillId="8" borderId="217" xfId="2" applyFont="1" applyFill="1" applyBorder="1" applyAlignment="1">
      <alignment horizontal="center" vertical="center" wrapText="1"/>
    </xf>
    <xf numFmtId="0" fontId="30" fillId="6" borderId="218" xfId="11" applyFont="1" applyFill="1" applyBorder="1" applyAlignment="1">
      <alignment horizontal="center" vertical="center"/>
    </xf>
    <xf numFmtId="37" fontId="30" fillId="0" borderId="135" xfId="18" applyNumberFormat="1" applyFont="1" applyFill="1" applyBorder="1" applyAlignment="1">
      <alignment horizontal="center" vertical="center"/>
    </xf>
    <xf numFmtId="37" fontId="32" fillId="6" borderId="219" xfId="10" applyNumberFormat="1" applyFont="1" applyFill="1" applyBorder="1" applyAlignment="1">
      <alignment horizontal="center" vertical="center"/>
    </xf>
    <xf numFmtId="37" fontId="32" fillId="6" borderId="220" xfId="10" applyNumberFormat="1" applyFont="1" applyFill="1" applyBorder="1" applyAlignment="1">
      <alignment horizontal="center" vertical="center"/>
    </xf>
    <xf numFmtId="0" fontId="32" fillId="6" borderId="221" xfId="2" applyFont="1" applyFill="1" applyBorder="1" applyAlignment="1">
      <alignment horizontal="center" vertical="center"/>
    </xf>
    <xf numFmtId="37" fontId="32" fillId="6" borderId="222" xfId="10" applyNumberFormat="1" applyFont="1" applyFill="1" applyBorder="1" applyAlignment="1">
      <alignment horizontal="center" vertical="center"/>
    </xf>
    <xf numFmtId="37" fontId="32" fillId="6" borderId="223" xfId="10" applyNumberFormat="1" applyFont="1" applyFill="1" applyBorder="1" applyAlignment="1">
      <alignment horizontal="center" vertical="center"/>
    </xf>
    <xf numFmtId="3" fontId="32" fillId="6" borderId="223" xfId="2" applyNumberFormat="1" applyFont="1" applyFill="1" applyBorder="1" applyAlignment="1">
      <alignment horizontal="center" vertical="center"/>
    </xf>
    <xf numFmtId="3" fontId="32" fillId="7" borderId="223" xfId="2" applyNumberFormat="1" applyFont="1" applyFill="1" applyBorder="1" applyAlignment="1">
      <alignment horizontal="center" vertical="center"/>
    </xf>
    <xf numFmtId="180" fontId="32" fillId="7" borderId="223" xfId="2" applyNumberFormat="1" applyFont="1" applyFill="1" applyBorder="1" applyAlignment="1">
      <alignment horizontal="center" vertical="center"/>
    </xf>
    <xf numFmtId="3" fontId="34" fillId="6" borderId="223" xfId="2" applyNumberFormat="1" applyFont="1" applyFill="1" applyBorder="1" applyAlignment="1">
      <alignment horizontal="center" vertical="center"/>
    </xf>
    <xf numFmtId="3" fontId="34" fillId="7" borderId="223" xfId="2" applyNumberFormat="1" applyFont="1" applyFill="1" applyBorder="1" applyAlignment="1">
      <alignment horizontal="center" vertical="center"/>
    </xf>
    <xf numFmtId="179" fontId="30" fillId="6" borderId="127" xfId="4" applyNumberFormat="1" applyFont="1" applyFill="1" applyBorder="1" applyAlignment="1">
      <alignment horizontal="center" vertical="center"/>
    </xf>
    <xf numFmtId="38" fontId="31" fillId="16" borderId="127" xfId="2" applyNumberFormat="1" applyFont="1" applyFill="1" applyBorder="1" applyAlignment="1">
      <alignment horizontal="center" vertical="center"/>
    </xf>
    <xf numFmtId="3" fontId="30" fillId="6" borderId="127" xfId="2" applyNumberFormat="1" applyFont="1" applyFill="1" applyBorder="1" applyAlignment="1">
      <alignment horizontal="center" vertical="center"/>
    </xf>
    <xf numFmtId="178" fontId="30" fillId="6" borderId="127" xfId="10" applyNumberFormat="1" applyFont="1" applyFill="1" applyBorder="1" applyAlignment="1">
      <alignment horizontal="center" vertical="center"/>
    </xf>
    <xf numFmtId="3" fontId="32" fillId="6" borderId="224" xfId="2" applyNumberFormat="1" applyFont="1" applyFill="1" applyBorder="1" applyAlignment="1">
      <alignment horizontal="center" vertical="center"/>
    </xf>
    <xf numFmtId="37" fontId="30" fillId="6" borderId="140" xfId="10" applyNumberFormat="1" applyFont="1" applyFill="1" applyBorder="1" applyAlignment="1">
      <alignment horizontal="center" vertical="center"/>
    </xf>
    <xf numFmtId="3" fontId="33" fillId="3" borderId="140" xfId="16" applyNumberFormat="1" applyFont="1" applyFill="1" applyBorder="1" applyAlignment="1">
      <alignment horizontal="center" vertical="center"/>
    </xf>
    <xf numFmtId="3" fontId="32" fillId="6" borderId="225" xfId="2" applyNumberFormat="1" applyFont="1" applyFill="1" applyBorder="1" applyAlignment="1">
      <alignment horizontal="center" vertical="center"/>
    </xf>
    <xf numFmtId="179" fontId="30" fillId="6" borderId="0" xfId="4" applyNumberFormat="1" applyFont="1" applyFill="1" applyAlignment="1">
      <alignment horizontal="center" vertical="center"/>
    </xf>
    <xf numFmtId="0" fontId="30" fillId="6" borderId="226" xfId="11" applyFont="1" applyFill="1" applyBorder="1" applyAlignment="1">
      <alignment horizontal="center" vertical="center"/>
    </xf>
    <xf numFmtId="37" fontId="30" fillId="0" borderId="116" xfId="18" applyNumberFormat="1" applyFont="1" applyFill="1" applyBorder="1" applyAlignment="1">
      <alignment horizontal="center" vertical="center"/>
    </xf>
    <xf numFmtId="0" fontId="18" fillId="6" borderId="0" xfId="11" applyFont="1" applyFill="1" applyAlignment="1">
      <alignment horizontal="center" vertical="center"/>
    </xf>
    <xf numFmtId="179" fontId="29" fillId="0" borderId="0" xfId="1" applyNumberFormat="1" applyFont="1">
      <alignment vertical="center"/>
    </xf>
    <xf numFmtId="0" fontId="55" fillId="0" borderId="0" xfId="2" applyFont="1" applyAlignment="1">
      <alignment horizontal="center" vertical="center"/>
    </xf>
    <xf numFmtId="179" fontId="13" fillId="0" borderId="0" xfId="4" applyNumberFormat="1" applyFont="1" applyAlignment="1">
      <alignment horizontal="center" vertical="center"/>
    </xf>
    <xf numFmtId="38" fontId="13" fillId="0" borderId="0" xfId="4" applyNumberFormat="1" applyFont="1" applyAlignment="1">
      <alignment horizontal="center" vertical="center"/>
    </xf>
    <xf numFmtId="179" fontId="30" fillId="0" borderId="117" xfId="4" applyNumberFormat="1" applyFont="1" applyBorder="1" applyAlignment="1">
      <alignment horizontal="center" vertical="center"/>
    </xf>
    <xf numFmtId="179" fontId="32" fillId="0" borderId="118" xfId="4" applyNumberFormat="1" applyFont="1" applyBorder="1" applyAlignment="1">
      <alignment horizontal="center" vertical="center"/>
    </xf>
    <xf numFmtId="179" fontId="30" fillId="0" borderId="122" xfId="4" applyNumberFormat="1" applyFont="1" applyBorder="1" applyAlignment="1">
      <alignment horizontal="center" vertical="center"/>
    </xf>
    <xf numFmtId="0" fontId="55" fillId="18" borderId="0" xfId="2" applyFont="1" applyFill="1" applyAlignment="1">
      <alignment horizontal="center" vertical="center"/>
    </xf>
    <xf numFmtId="179" fontId="30" fillId="0" borderId="117" xfId="4" applyNumberFormat="1" applyFont="1" applyFill="1" applyBorder="1" applyAlignment="1">
      <alignment horizontal="center" vertical="center"/>
    </xf>
    <xf numFmtId="179" fontId="32" fillId="0" borderId="118" xfId="4" applyNumberFormat="1" applyFont="1" applyFill="1" applyBorder="1" applyAlignment="1">
      <alignment horizontal="center" vertical="center"/>
    </xf>
    <xf numFmtId="179" fontId="30" fillId="0" borderId="122" xfId="4" applyNumberFormat="1" applyFont="1" applyFill="1" applyBorder="1" applyAlignment="1">
      <alignment horizontal="center" vertical="center"/>
    </xf>
    <xf numFmtId="179" fontId="32" fillId="0" borderId="133" xfId="4" applyNumberFormat="1" applyFont="1" applyFill="1" applyBorder="1" applyAlignment="1">
      <alignment horizontal="center" vertical="center"/>
    </xf>
    <xf numFmtId="179" fontId="32" fillId="0" borderId="140" xfId="4" applyNumberFormat="1" applyFont="1" applyFill="1" applyBorder="1" applyAlignment="1">
      <alignment horizontal="center" vertical="center"/>
    </xf>
    <xf numFmtId="38" fontId="35" fillId="7" borderId="140" xfId="2" applyNumberFormat="1" applyFont="1" applyFill="1" applyBorder="1" applyAlignment="1">
      <alignment horizontal="center" vertical="center"/>
    </xf>
    <xf numFmtId="179" fontId="32" fillId="0" borderId="136" xfId="4" applyNumberFormat="1" applyFont="1" applyFill="1" applyBorder="1" applyAlignment="1">
      <alignment horizontal="center" vertical="center"/>
    </xf>
    <xf numFmtId="179" fontId="13" fillId="0" borderId="0" xfId="4" applyNumberFormat="1" applyFont="1" applyFill="1" applyAlignment="1">
      <alignment horizontal="center" vertical="center"/>
    </xf>
    <xf numFmtId="43" fontId="29" fillId="0" borderId="0" xfId="20" applyFont="1">
      <alignment vertical="center"/>
    </xf>
    <xf numFmtId="187" fontId="24" fillId="14" borderId="159" xfId="29" applyNumberFormat="1" applyFont="1" applyFill="1" applyBorder="1" applyAlignment="1">
      <alignment horizontal="center" vertical="center"/>
    </xf>
    <xf numFmtId="187" fontId="24" fillId="14" borderId="160" xfId="29" applyNumberFormat="1" applyFont="1" applyFill="1" applyBorder="1" applyAlignment="1">
      <alignment horizontal="center" vertical="center"/>
    </xf>
    <xf numFmtId="0" fontId="24" fillId="0" borderId="0" xfId="11" applyFont="1" applyAlignment="1">
      <alignment horizontal="center" vertical="center"/>
    </xf>
    <xf numFmtId="0" fontId="53" fillId="0" borderId="0" xfId="38" applyFont="1" applyAlignment="1">
      <alignment horizontal="left" vertical="top" wrapText="1"/>
    </xf>
    <xf numFmtId="3" fontId="24" fillId="0" borderId="0" xfId="11" applyNumberFormat="1" applyFont="1" applyAlignment="1">
      <alignment horizontal="center" vertical="center"/>
    </xf>
    <xf numFmtId="180" fontId="24" fillId="0" borderId="0" xfId="11" applyNumberFormat="1" applyFont="1" applyAlignment="1">
      <alignment horizontal="center" vertical="center"/>
    </xf>
    <xf numFmtId="38" fontId="15" fillId="0" borderId="0" xfId="11" applyNumberFormat="1" applyFont="1" applyAlignment="1">
      <alignment horizontal="center" vertical="center"/>
    </xf>
    <xf numFmtId="0" fontId="15" fillId="8" borderId="29" xfId="2" applyFont="1" applyFill="1" applyBorder="1" applyAlignment="1">
      <alignment horizontal="center" vertical="center"/>
    </xf>
    <xf numFmtId="3" fontId="23" fillId="6" borderId="67" xfId="2" applyNumberFormat="1" applyFont="1" applyFill="1" applyBorder="1" applyAlignment="1">
      <alignment horizontal="center" vertical="center"/>
    </xf>
    <xf numFmtId="0" fontId="13" fillId="0" borderId="0" xfId="5" applyFont="1">
      <alignment vertical="center"/>
    </xf>
    <xf numFmtId="0" fontId="34" fillId="0" borderId="0" xfId="5" applyFont="1">
      <alignment vertical="center"/>
    </xf>
    <xf numFmtId="0" fontId="13" fillId="0" borderId="0" xfId="5" applyFont="1" applyAlignment="1">
      <alignment horizontal="center" vertical="center"/>
    </xf>
    <xf numFmtId="38" fontId="13" fillId="0" borderId="0" xfId="5" applyNumberFormat="1" applyFont="1" applyAlignment="1">
      <alignment horizontal="center" vertical="center"/>
    </xf>
    <xf numFmtId="38" fontId="13" fillId="0" borderId="0" xfId="5" applyNumberFormat="1" applyFont="1">
      <alignment vertical="center"/>
    </xf>
    <xf numFmtId="40" fontId="13" fillId="0" borderId="0" xfId="5" applyNumberFormat="1" applyFont="1">
      <alignment vertical="center"/>
    </xf>
    <xf numFmtId="179" fontId="13" fillId="0" borderId="0" xfId="4" applyNumberFormat="1" applyFont="1" applyAlignment="1">
      <alignment vertical="center"/>
    </xf>
    <xf numFmtId="178" fontId="13" fillId="0" borderId="0" xfId="5" applyNumberFormat="1" applyFont="1">
      <alignment vertical="center"/>
    </xf>
    <xf numFmtId="0" fontId="42" fillId="0" borderId="0" xfId="5" applyFont="1">
      <alignment vertical="center"/>
    </xf>
    <xf numFmtId="38" fontId="56" fillId="0" borderId="0" xfId="5" applyNumberFormat="1" applyFont="1" applyAlignment="1">
      <alignment horizontal="center" vertical="center"/>
    </xf>
    <xf numFmtId="185" fontId="34" fillId="0" borderId="0" xfId="5" applyNumberFormat="1" applyFont="1">
      <alignment vertical="center"/>
    </xf>
    <xf numFmtId="0" fontId="38" fillId="19" borderId="0" xfId="40" applyFont="1" applyFill="1">
      <alignment vertical="center"/>
    </xf>
    <xf numFmtId="179" fontId="13" fillId="19" borderId="0" xfId="4" applyNumberFormat="1" applyFont="1" applyFill="1" applyAlignment="1">
      <alignment vertical="center"/>
    </xf>
    <xf numFmtId="0" fontId="16" fillId="0" borderId="0" xfId="40" applyFont="1">
      <alignment vertical="center"/>
    </xf>
    <xf numFmtId="0" fontId="16" fillId="0" borderId="0" xfId="40" applyFont="1" applyAlignment="1">
      <alignment horizontal="left" vertical="center"/>
    </xf>
    <xf numFmtId="0" fontId="10" fillId="0" borderId="0" xfId="40" applyFont="1">
      <alignment vertical="center"/>
    </xf>
    <xf numFmtId="0" fontId="10" fillId="0" borderId="0" xfId="40" applyFont="1" applyAlignment="1">
      <alignment horizontal="left" vertical="center"/>
    </xf>
    <xf numFmtId="0" fontId="12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58" fillId="0" borderId="0" xfId="0" applyFont="1" applyAlignment="1">
      <alignment horizontal="center" vertical="center"/>
    </xf>
    <xf numFmtId="182" fontId="11" fillId="0" borderId="10" xfId="41" applyNumberFormat="1" applyFont="1" applyFill="1" applyBorder="1" applyAlignment="1">
      <alignment horizontal="center" vertical="center"/>
    </xf>
    <xf numFmtId="182" fontId="12" fillId="0" borderId="9" xfId="41" applyNumberFormat="1" applyFont="1" applyFill="1" applyBorder="1" applyAlignment="1">
      <alignment horizontal="center" vertical="center"/>
    </xf>
    <xf numFmtId="182" fontId="12" fillId="0" borderId="8" xfId="41" applyNumberFormat="1" applyFont="1" applyFill="1" applyBorder="1" applyAlignment="1">
      <alignment horizontal="center" vertical="center"/>
    </xf>
    <xf numFmtId="181" fontId="19" fillId="0" borderId="13" xfId="18" applyNumberFormat="1" applyFont="1" applyFill="1" applyBorder="1" applyAlignment="1">
      <alignment horizontal="center" vertical="center"/>
    </xf>
    <xf numFmtId="179" fontId="19" fillId="0" borderId="13" xfId="42" applyNumberFormat="1" applyFont="1" applyFill="1" applyBorder="1" applyAlignment="1">
      <alignment horizontal="center" vertical="center"/>
    </xf>
    <xf numFmtId="179" fontId="19" fillId="0" borderId="13" xfId="4" applyNumberFormat="1" applyFont="1" applyFill="1" applyBorder="1" applyAlignment="1">
      <alignment horizontal="center" vertical="center"/>
    </xf>
    <xf numFmtId="179" fontId="19" fillId="16" borderId="13" xfId="4" applyNumberFormat="1" applyFont="1" applyFill="1" applyBorder="1" applyAlignment="1">
      <alignment horizontal="center" vertical="center"/>
    </xf>
    <xf numFmtId="38" fontId="19" fillId="0" borderId="13" xfId="11" applyNumberFormat="1" applyFont="1" applyBorder="1" applyAlignment="1">
      <alignment horizontal="center" vertical="center"/>
    </xf>
    <xf numFmtId="3" fontId="19" fillId="16" borderId="13" xfId="11" applyNumberFormat="1" applyFont="1" applyFill="1" applyBorder="1" applyAlignment="1">
      <alignment horizontal="center" vertical="center"/>
    </xf>
    <xf numFmtId="182" fontId="19" fillId="0" borderId="13" xfId="11" applyNumberFormat="1" applyFont="1" applyBorder="1" applyAlignment="1">
      <alignment horizontal="center" vertical="center"/>
    </xf>
    <xf numFmtId="178" fontId="19" fillId="0" borderId="13" xfId="4" applyNumberFormat="1" applyFont="1" applyFill="1" applyBorder="1" applyAlignment="1">
      <alignment horizontal="center" vertical="center"/>
    </xf>
    <xf numFmtId="38" fontId="19" fillId="16" borderId="13" xfId="11" applyNumberFormat="1" applyFont="1" applyFill="1" applyBorder="1" applyAlignment="1">
      <alignment horizontal="center" vertical="center"/>
    </xf>
    <xf numFmtId="3" fontId="19" fillId="0" borderId="13" xfId="11" applyNumberFormat="1" applyFont="1" applyBorder="1" applyAlignment="1">
      <alignment horizontal="center" vertical="center"/>
    </xf>
    <xf numFmtId="2" fontId="19" fillId="0" borderId="13" xfId="10" applyNumberFormat="1" applyFont="1" applyFill="1" applyBorder="1" applyAlignment="1">
      <alignment horizontal="center" vertical="center"/>
    </xf>
    <xf numFmtId="0" fontId="61" fillId="0" borderId="0" xfId="11" applyFont="1" applyAlignment="1">
      <alignment horizontal="left" vertical="center"/>
    </xf>
    <xf numFmtId="179" fontId="17" fillId="16" borderId="13" xfId="4" applyNumberFormat="1" applyFont="1" applyFill="1" applyBorder="1" applyAlignment="1">
      <alignment horizontal="center" vertical="center"/>
    </xf>
    <xf numFmtId="179" fontId="19" fillId="23" borderId="13" xfId="4" applyNumberFormat="1" applyFont="1" applyFill="1" applyBorder="1" applyAlignment="1">
      <alignment horizontal="center" vertical="center"/>
    </xf>
    <xf numFmtId="38" fontId="19" fillId="23" borderId="13" xfId="11" applyNumberFormat="1" applyFont="1" applyFill="1" applyBorder="1" applyAlignment="1">
      <alignment horizontal="center" vertical="center"/>
    </xf>
    <xf numFmtId="3" fontId="19" fillId="23" borderId="13" xfId="11" applyNumberFormat="1" applyFont="1" applyFill="1" applyBorder="1" applyAlignment="1">
      <alignment horizontal="center" vertical="center"/>
    </xf>
    <xf numFmtId="2" fontId="19" fillId="23" borderId="13" xfId="10" applyNumberFormat="1" applyFont="1" applyFill="1" applyBorder="1" applyAlignment="1">
      <alignment horizontal="center" vertical="center"/>
    </xf>
    <xf numFmtId="182" fontId="10" fillId="20" borderId="7" xfId="41" applyNumberFormat="1" applyFont="1" applyFill="1" applyBorder="1" applyAlignment="1">
      <alignment horizontal="center" vertical="center"/>
    </xf>
    <xf numFmtId="182" fontId="8" fillId="20" borderId="5" xfId="41" applyNumberFormat="1" applyFont="1" applyFill="1" applyBorder="1" applyAlignment="1">
      <alignment horizontal="center" vertical="center"/>
    </xf>
    <xf numFmtId="182" fontId="8" fillId="20" borderId="1" xfId="41" applyNumberFormat="1" applyFont="1" applyFill="1" applyBorder="1" applyAlignment="1">
      <alignment horizontal="center" vertical="center"/>
    </xf>
    <xf numFmtId="182" fontId="8" fillId="20" borderId="235" xfId="41" applyNumberFormat="1" applyFont="1" applyFill="1" applyBorder="1" applyAlignment="1">
      <alignment horizontal="center" vertical="center"/>
    </xf>
    <xf numFmtId="181" fontId="8" fillId="20" borderId="5" xfId="41" applyNumberFormat="1" applyFont="1" applyFill="1" applyBorder="1" applyAlignment="1">
      <alignment horizontal="center" vertical="center"/>
    </xf>
    <xf numFmtId="179" fontId="8" fillId="20" borderId="5" xfId="4" applyNumberFormat="1" applyFont="1" applyFill="1" applyBorder="1" applyAlignment="1">
      <alignment horizontal="center" vertical="center"/>
    </xf>
    <xf numFmtId="178" fontId="8" fillId="20" borderId="5" xfId="4" applyNumberFormat="1" applyFont="1" applyFill="1" applyBorder="1" applyAlignment="1">
      <alignment horizontal="center" vertical="center"/>
    </xf>
    <xf numFmtId="179" fontId="8" fillId="20" borderId="2" xfId="4" applyNumberFormat="1" applyFont="1" applyFill="1" applyBorder="1" applyAlignment="1">
      <alignment horizontal="center" vertical="center"/>
    </xf>
    <xf numFmtId="2" fontId="9" fillId="20" borderId="2" xfId="41" applyNumberFormat="1" applyFont="1" applyFill="1" applyBorder="1" applyAlignment="1">
      <alignment horizontal="center" vertical="center"/>
    </xf>
    <xf numFmtId="9" fontId="13" fillId="0" borderId="0" xfId="4" applyFont="1">
      <alignment vertical="center"/>
    </xf>
    <xf numFmtId="9" fontId="59" fillId="0" borderId="0" xfId="4" applyFont="1">
      <alignment vertical="center"/>
    </xf>
    <xf numFmtId="182" fontId="10" fillId="22" borderId="0" xfId="41" applyNumberFormat="1" applyFont="1" applyFill="1" applyBorder="1" applyAlignment="1">
      <alignment horizontal="center" vertical="center"/>
    </xf>
    <xf numFmtId="182" fontId="8" fillId="22" borderId="0" xfId="41" applyNumberFormat="1" applyFont="1" applyFill="1" applyBorder="1" applyAlignment="1">
      <alignment horizontal="center" vertical="center"/>
    </xf>
    <xf numFmtId="189" fontId="8" fillId="22" borderId="0" xfId="41" applyNumberFormat="1" applyFont="1" applyFill="1" applyBorder="1" applyAlignment="1">
      <alignment horizontal="center" vertical="center"/>
    </xf>
    <xf numFmtId="179" fontId="8" fillId="22" borderId="0" xfId="4" applyNumberFormat="1" applyFont="1" applyFill="1" applyBorder="1" applyAlignment="1">
      <alignment horizontal="center" vertical="center"/>
    </xf>
    <xf numFmtId="178" fontId="8" fillId="22" borderId="0" xfId="4" applyNumberFormat="1" applyFont="1" applyFill="1" applyBorder="1" applyAlignment="1">
      <alignment horizontal="center" vertical="center"/>
    </xf>
    <xf numFmtId="178" fontId="9" fillId="22" borderId="0" xfId="41" applyNumberFormat="1" applyFont="1" applyFill="1" applyBorder="1" applyAlignment="1">
      <alignment horizontal="center" vertical="center"/>
    </xf>
    <xf numFmtId="9" fontId="13" fillId="0" borderId="0" xfId="4" applyFont="1" applyAlignment="1">
      <alignment horizontal="center" vertical="center"/>
    </xf>
    <xf numFmtId="0" fontId="26" fillId="0" borderId="0" xfId="0" applyFont="1" applyAlignment="1">
      <alignment vertical="center"/>
    </xf>
    <xf numFmtId="0" fontId="63" fillId="0" borderId="0" xfId="0" applyFont="1" applyAlignment="1">
      <alignment horizontal="left" vertical="center" indent="1"/>
    </xf>
    <xf numFmtId="0" fontId="64" fillId="0" borderId="0" xfId="0" applyFont="1" applyAlignment="1">
      <alignment horizontal="left" vertical="center" indent="2"/>
    </xf>
    <xf numFmtId="178" fontId="19" fillId="0" borderId="13" xfId="10" applyNumberFormat="1" applyFont="1" applyFill="1" applyBorder="1" applyAlignment="1">
      <alignment horizontal="center" vertical="center"/>
    </xf>
    <xf numFmtId="9" fontId="59" fillId="0" borderId="0" xfId="4" applyFont="1" applyAlignment="1">
      <alignment horizontal="center" vertical="center"/>
    </xf>
    <xf numFmtId="188" fontId="13" fillId="20" borderId="0" xfId="10" applyNumberFormat="1" applyFont="1" applyFill="1" applyAlignment="1">
      <alignment horizontal="center" vertical="center"/>
    </xf>
    <xf numFmtId="182" fontId="11" fillId="0" borderId="9" xfId="41" applyNumberFormat="1" applyFont="1" applyFill="1" applyBorder="1" applyAlignment="1">
      <alignment horizontal="center" vertical="center"/>
    </xf>
    <xf numFmtId="182" fontId="11" fillId="0" borderId="8" xfId="41" applyNumberFormat="1" applyFont="1" applyFill="1" applyBorder="1" applyAlignment="1">
      <alignment horizontal="center" vertical="center"/>
    </xf>
    <xf numFmtId="178" fontId="9" fillId="20" borderId="2" xfId="41" applyNumberFormat="1" applyFont="1" applyFill="1" applyBorder="1" applyAlignment="1">
      <alignment horizontal="center" vertical="center"/>
    </xf>
    <xf numFmtId="188" fontId="13" fillId="21" borderId="0" xfId="10" applyNumberFormat="1" applyFont="1" applyFill="1" applyAlignment="1">
      <alignment horizontal="center" vertical="center"/>
    </xf>
    <xf numFmtId="3" fontId="13" fillId="20" borderId="0" xfId="1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40" applyFont="1" applyAlignment="1">
      <alignment horizontal="left" vertical="center" wrapText="1"/>
    </xf>
    <xf numFmtId="182" fontId="11" fillId="25" borderId="10" xfId="41" applyNumberFormat="1" applyFont="1" applyFill="1" applyBorder="1" applyAlignment="1">
      <alignment horizontal="center" vertical="center"/>
    </xf>
    <xf numFmtId="182" fontId="12" fillId="22" borderId="9" xfId="41" applyNumberFormat="1" applyFont="1" applyFill="1" applyBorder="1" applyAlignment="1">
      <alignment horizontal="center" vertical="center"/>
    </xf>
    <xf numFmtId="182" fontId="12" fillId="25" borderId="8" xfId="41" applyNumberFormat="1" applyFont="1" applyFill="1" applyBorder="1" applyAlignment="1">
      <alignment horizontal="center" vertical="center"/>
    </xf>
    <xf numFmtId="181" fontId="19" fillId="22" borderId="13" xfId="18" applyNumberFormat="1" applyFont="1" applyFill="1" applyBorder="1" applyAlignment="1">
      <alignment horizontal="center" vertical="center"/>
    </xf>
    <xf numFmtId="179" fontId="19" fillId="22" borderId="13" xfId="42" applyNumberFormat="1" applyFont="1" applyFill="1" applyBorder="1" applyAlignment="1">
      <alignment horizontal="center" vertical="center"/>
    </xf>
    <xf numFmtId="179" fontId="19" fillId="22" borderId="13" xfId="4" applyNumberFormat="1" applyFont="1" applyFill="1" applyBorder="1" applyAlignment="1">
      <alignment horizontal="center" vertical="center"/>
    </xf>
    <xf numFmtId="180" fontId="19" fillId="22" borderId="13" xfId="11" applyNumberFormat="1" applyFont="1" applyFill="1" applyBorder="1" applyAlignment="1">
      <alignment horizontal="center" vertical="center"/>
    </xf>
    <xf numFmtId="3" fontId="19" fillId="22" borderId="13" xfId="11" applyNumberFormat="1" applyFont="1" applyFill="1" applyBorder="1" applyAlignment="1">
      <alignment horizontal="center" vertical="center"/>
    </xf>
    <xf numFmtId="178" fontId="19" fillId="22" borderId="13" xfId="4" applyNumberFormat="1" applyFont="1" applyFill="1" applyBorder="1" applyAlignment="1">
      <alignment horizontal="center" vertical="center"/>
    </xf>
    <xf numFmtId="38" fontId="19" fillId="22" borderId="13" xfId="11" applyNumberFormat="1" applyFont="1" applyFill="1" applyBorder="1" applyAlignment="1">
      <alignment horizontal="center" vertical="center"/>
    </xf>
    <xf numFmtId="178" fontId="19" fillId="22" borderId="13" xfId="10" applyNumberFormat="1" applyFont="1" applyFill="1" applyBorder="1" applyAlignment="1">
      <alignment horizontal="center" vertical="center"/>
    </xf>
    <xf numFmtId="181" fontId="19" fillId="6" borderId="13" xfId="18" applyNumberFormat="1" applyFont="1" applyFill="1" applyBorder="1" applyAlignment="1">
      <alignment horizontal="center" vertical="center"/>
    </xf>
    <xf numFmtId="182" fontId="11" fillId="26" borderId="10" xfId="41" applyNumberFormat="1" applyFont="1" applyFill="1" applyBorder="1" applyAlignment="1">
      <alignment horizontal="center" vertical="center"/>
    </xf>
    <xf numFmtId="182" fontId="12" fillId="26" borderId="9" xfId="41" applyNumberFormat="1" applyFont="1" applyFill="1" applyBorder="1" applyAlignment="1">
      <alignment horizontal="center" vertical="center"/>
    </xf>
    <xf numFmtId="182" fontId="12" fillId="26" borderId="8" xfId="41" applyNumberFormat="1" applyFont="1" applyFill="1" applyBorder="1" applyAlignment="1">
      <alignment horizontal="center" vertical="center"/>
    </xf>
    <xf numFmtId="181" fontId="19" fillId="26" borderId="13" xfId="18" applyNumberFormat="1" applyFont="1" applyFill="1" applyBorder="1" applyAlignment="1">
      <alignment horizontal="center" vertical="center"/>
    </xf>
    <xf numFmtId="179" fontId="19" fillId="26" borderId="13" xfId="42" applyNumberFormat="1" applyFont="1" applyFill="1" applyBorder="1" applyAlignment="1">
      <alignment horizontal="center" vertical="center"/>
    </xf>
    <xf numFmtId="179" fontId="19" fillId="26" borderId="13" xfId="4" applyNumberFormat="1" applyFont="1" applyFill="1" applyBorder="1" applyAlignment="1">
      <alignment horizontal="center" vertical="center"/>
    </xf>
    <xf numFmtId="38" fontId="19" fillId="26" borderId="13" xfId="11" applyNumberFormat="1" applyFont="1" applyFill="1" applyBorder="1" applyAlignment="1">
      <alignment horizontal="center" vertical="center"/>
    </xf>
    <xf numFmtId="3" fontId="19" fillId="26" borderId="13" xfId="11" applyNumberFormat="1" applyFont="1" applyFill="1" applyBorder="1" applyAlignment="1">
      <alignment horizontal="center" vertical="center"/>
    </xf>
    <xf numFmtId="178" fontId="19" fillId="26" borderId="13" xfId="4" applyNumberFormat="1" applyFont="1" applyFill="1" applyBorder="1" applyAlignment="1">
      <alignment horizontal="center" vertical="center"/>
    </xf>
    <xf numFmtId="178" fontId="19" fillId="26" borderId="13" xfId="10" applyNumberFormat="1" applyFont="1" applyFill="1" applyBorder="1" applyAlignment="1">
      <alignment horizontal="center" vertical="center"/>
    </xf>
    <xf numFmtId="38" fontId="19" fillId="0" borderId="13" xfId="4" applyNumberFormat="1" applyFont="1" applyFill="1" applyBorder="1" applyAlignment="1">
      <alignment horizontal="center" vertical="center"/>
    </xf>
    <xf numFmtId="182" fontId="12" fillId="0" borderId="99" xfId="41" applyNumberFormat="1" applyFont="1" applyFill="1" applyBorder="1" applyAlignment="1">
      <alignment horizontal="center" vertical="center"/>
    </xf>
    <xf numFmtId="3" fontId="13" fillId="7" borderId="13" xfId="5" applyNumberFormat="1" applyFont="1" applyFill="1" applyBorder="1" applyAlignment="1">
      <alignment horizontal="center" vertical="center" wrapText="1"/>
    </xf>
    <xf numFmtId="38" fontId="8" fillId="20" borderId="5" xfId="41" applyNumberFormat="1" applyFont="1" applyFill="1" applyBorder="1" applyAlignment="1">
      <alignment horizontal="center" vertical="center"/>
    </xf>
    <xf numFmtId="38" fontId="8" fillId="22" borderId="0" xfId="41" applyNumberFormat="1" applyFont="1" applyFill="1" applyBorder="1" applyAlignment="1">
      <alignment horizontal="center" vertical="center"/>
    </xf>
    <xf numFmtId="0" fontId="13" fillId="0" borderId="0" xfId="40" applyFont="1" applyAlignment="1">
      <alignment horizontal="center" vertical="center"/>
    </xf>
    <xf numFmtId="38" fontId="13" fillId="0" borderId="0" xfId="40" applyNumberFormat="1" applyFont="1" applyAlignment="1">
      <alignment horizontal="center" vertical="center"/>
    </xf>
    <xf numFmtId="38" fontId="13" fillId="0" borderId="0" xfId="40" applyNumberFormat="1" applyFont="1">
      <alignment vertical="center"/>
    </xf>
    <xf numFmtId="38" fontId="51" fillId="6" borderId="0" xfId="43" applyNumberFormat="1" applyFont="1" applyFill="1" applyAlignment="1">
      <alignment vertical="center"/>
    </xf>
    <xf numFmtId="40" fontId="13" fillId="6" borderId="0" xfId="40" applyNumberFormat="1" applyFont="1" applyFill="1">
      <alignment vertical="center"/>
    </xf>
    <xf numFmtId="38" fontId="13" fillId="6" borderId="0" xfId="4" applyNumberFormat="1" applyFont="1" applyFill="1" applyAlignment="1">
      <alignment vertical="center"/>
    </xf>
    <xf numFmtId="179" fontId="13" fillId="6" borderId="0" xfId="4" applyNumberFormat="1" applyFont="1" applyFill="1" applyAlignment="1">
      <alignment vertical="center"/>
    </xf>
    <xf numFmtId="178" fontId="13" fillId="0" borderId="0" xfId="40" applyNumberFormat="1" applyFont="1">
      <alignment vertical="center"/>
    </xf>
    <xf numFmtId="0" fontId="42" fillId="0" borderId="0" xfId="40" applyFont="1">
      <alignment vertical="center"/>
    </xf>
    <xf numFmtId="38" fontId="56" fillId="0" borderId="0" xfId="40" applyNumberFormat="1" applyFont="1" applyAlignment="1">
      <alignment horizontal="center" vertical="center"/>
    </xf>
    <xf numFmtId="0" fontId="13" fillId="0" borderId="0" xfId="40" applyFont="1">
      <alignment vertical="center"/>
    </xf>
    <xf numFmtId="0" fontId="13" fillId="0" borderId="0" xfId="5" applyFont="1" applyAlignment="1">
      <alignment horizontal="left" vertical="center"/>
    </xf>
    <xf numFmtId="38" fontId="54" fillId="0" borderId="0" xfId="0" applyNumberFormat="1" applyFont="1" applyAlignment="1">
      <alignment vertical="center"/>
    </xf>
    <xf numFmtId="179" fontId="54" fillId="0" borderId="0" xfId="4" applyNumberFormat="1" applyFont="1" applyAlignment="1">
      <alignment horizontal="center" vertical="center"/>
    </xf>
    <xf numFmtId="179" fontId="54" fillId="0" borderId="0" xfId="4" applyNumberFormat="1" applyFont="1" applyAlignment="1">
      <alignment vertical="center"/>
    </xf>
    <xf numFmtId="182" fontId="11" fillId="17" borderId="10" xfId="41" applyNumberFormat="1" applyFont="1" applyFill="1" applyBorder="1" applyAlignment="1">
      <alignment horizontal="center" vertical="center"/>
    </xf>
    <xf numFmtId="182" fontId="12" fillId="6" borderId="9" xfId="41" applyNumberFormat="1" applyFont="1" applyFill="1" applyBorder="1" applyAlignment="1">
      <alignment horizontal="center" vertical="center"/>
    </xf>
    <xf numFmtId="182" fontId="12" fillId="17" borderId="8" xfId="41" applyNumberFormat="1" applyFont="1" applyFill="1" applyBorder="1" applyAlignment="1">
      <alignment horizontal="center" vertical="center"/>
    </xf>
    <xf numFmtId="179" fontId="19" fillId="6" borderId="13" xfId="42" applyNumberFormat="1" applyFont="1" applyFill="1" applyBorder="1" applyAlignment="1">
      <alignment horizontal="center" vertical="center"/>
    </xf>
    <xf numFmtId="179" fontId="19" fillId="6" borderId="13" xfId="4" applyNumberFormat="1" applyFont="1" applyFill="1" applyBorder="1" applyAlignment="1">
      <alignment horizontal="center" vertical="center"/>
    </xf>
    <xf numFmtId="180" fontId="19" fillId="6" borderId="13" xfId="11" applyNumberFormat="1" applyFont="1" applyFill="1" applyBorder="1" applyAlignment="1">
      <alignment horizontal="center" vertical="center"/>
    </xf>
    <xf numFmtId="3" fontId="19" fillId="6" borderId="13" xfId="11" applyNumberFormat="1" applyFont="1" applyFill="1" applyBorder="1" applyAlignment="1">
      <alignment horizontal="center" vertical="center"/>
    </xf>
    <xf numFmtId="178" fontId="19" fillId="6" borderId="13" xfId="4" applyNumberFormat="1" applyFont="1" applyFill="1" applyBorder="1" applyAlignment="1">
      <alignment horizontal="center" vertical="center"/>
    </xf>
    <xf numFmtId="38" fontId="19" fillId="6" borderId="13" xfId="11" applyNumberFormat="1" applyFont="1" applyFill="1" applyBorder="1" applyAlignment="1">
      <alignment horizontal="center" vertical="center"/>
    </xf>
    <xf numFmtId="178" fontId="19" fillId="6" borderId="13" xfId="10" applyNumberFormat="1" applyFont="1" applyFill="1" applyBorder="1" applyAlignment="1">
      <alignment horizontal="center" vertical="center"/>
    </xf>
    <xf numFmtId="3" fontId="42" fillId="0" borderId="0" xfId="11" applyNumberFormat="1" applyFont="1" applyAlignment="1">
      <alignment horizontal="left" vertical="center"/>
    </xf>
    <xf numFmtId="3" fontId="68" fillId="0" borderId="0" xfId="0" applyNumberFormat="1" applyFont="1" applyAlignment="1">
      <alignment vertical="center"/>
    </xf>
    <xf numFmtId="179" fontId="17" fillId="27" borderId="0" xfId="4" applyNumberFormat="1" applyFont="1" applyFill="1" applyAlignment="1">
      <alignment horizontal="center" vertical="center"/>
    </xf>
    <xf numFmtId="179" fontId="13" fillId="27" borderId="0" xfId="4" applyNumberFormat="1" applyFont="1" applyFill="1" applyAlignment="1">
      <alignment horizontal="center" vertical="center"/>
    </xf>
    <xf numFmtId="179" fontId="26" fillId="0" borderId="0" xfId="4" applyNumberFormat="1" applyFont="1" applyAlignment="1">
      <alignment vertical="center"/>
    </xf>
    <xf numFmtId="182" fontId="8" fillId="20" borderId="7" xfId="41" applyNumberFormat="1" applyFont="1" applyFill="1" applyBorder="1" applyAlignment="1">
      <alignment horizontal="center" vertical="center"/>
    </xf>
    <xf numFmtId="182" fontId="11" fillId="3" borderId="10" xfId="41" applyNumberFormat="1" applyFont="1" applyFill="1" applyBorder="1" applyAlignment="1">
      <alignment horizontal="center" vertical="center"/>
    </xf>
    <xf numFmtId="182" fontId="12" fillId="3" borderId="8" xfId="41" applyNumberFormat="1" applyFont="1" applyFill="1" applyBorder="1" applyAlignment="1">
      <alignment horizontal="center" vertical="center"/>
    </xf>
    <xf numFmtId="3" fontId="13" fillId="6" borderId="16" xfId="5" applyNumberFormat="1" applyFont="1" applyFill="1" applyBorder="1" applyAlignment="1">
      <alignment horizontal="center" vertical="center"/>
    </xf>
    <xf numFmtId="182" fontId="10" fillId="2" borderId="0" xfId="41" applyNumberFormat="1" applyFont="1" applyFill="1" applyBorder="1" applyAlignment="1">
      <alignment horizontal="center" vertical="center"/>
    </xf>
    <xf numFmtId="182" fontId="8" fillId="2" borderId="0" xfId="41" applyNumberFormat="1" applyFont="1" applyFill="1" applyBorder="1" applyAlignment="1">
      <alignment horizontal="center" vertical="center"/>
    </xf>
    <xf numFmtId="189" fontId="8" fillId="2" borderId="0" xfId="41" applyNumberFormat="1" applyFont="1" applyFill="1" applyBorder="1" applyAlignment="1">
      <alignment horizontal="center" vertical="center"/>
    </xf>
    <xf numFmtId="179" fontId="8" fillId="2" borderId="0" xfId="4" applyNumberFormat="1" applyFont="1" applyFill="1" applyBorder="1" applyAlignment="1">
      <alignment horizontal="center" vertical="center"/>
    </xf>
    <xf numFmtId="178" fontId="8" fillId="2" borderId="0" xfId="4" applyNumberFormat="1" applyFont="1" applyFill="1" applyBorder="1" applyAlignment="1">
      <alignment horizontal="center" vertical="center"/>
    </xf>
    <xf numFmtId="178" fontId="9" fillId="2" borderId="0" xfId="41" applyNumberFormat="1" applyFont="1" applyFill="1" applyBorder="1" applyAlignment="1">
      <alignment horizontal="center" vertical="center"/>
    </xf>
    <xf numFmtId="179" fontId="8" fillId="22" borderId="179" xfId="4" applyNumberFormat="1" applyFont="1" applyFill="1" applyBorder="1" applyAlignment="1">
      <alignment horizontal="center" vertical="center" wrapText="1"/>
    </xf>
    <xf numFmtId="179" fontId="9" fillId="22" borderId="179" xfId="4" applyNumberFormat="1" applyFont="1" applyFill="1" applyBorder="1" applyAlignment="1">
      <alignment horizontal="center" vertical="center" wrapText="1"/>
    </xf>
    <xf numFmtId="179" fontId="8" fillId="22" borderId="179" xfId="4" applyNumberFormat="1" applyFont="1" applyFill="1" applyBorder="1" applyAlignment="1">
      <alignment horizontal="center" vertical="center"/>
    </xf>
    <xf numFmtId="38" fontId="75" fillId="0" borderId="179" xfId="41" applyNumberFormat="1" applyFont="1" applyFill="1" applyBorder="1" applyAlignment="1">
      <alignment horizontal="center" vertical="center"/>
    </xf>
    <xf numFmtId="38" fontId="33" fillId="0" borderId="179" xfId="41" applyNumberFormat="1" applyFont="1" applyFill="1" applyBorder="1" applyAlignment="1">
      <alignment horizontal="center" vertical="center"/>
    </xf>
    <xf numFmtId="40" fontId="76" fillId="0" borderId="179" xfId="18" applyNumberFormat="1" applyFont="1" applyFill="1" applyBorder="1" applyAlignment="1">
      <alignment horizontal="center" vertical="center"/>
    </xf>
    <xf numFmtId="179" fontId="76" fillId="0" borderId="179" xfId="4" applyNumberFormat="1" applyFont="1" applyFill="1" applyBorder="1" applyAlignment="1">
      <alignment horizontal="center" vertical="center"/>
    </xf>
    <xf numFmtId="38" fontId="76" fillId="0" borderId="179" xfId="11" applyNumberFormat="1" applyFont="1" applyBorder="1" applyAlignment="1">
      <alignment horizontal="center" vertical="center"/>
    </xf>
    <xf numFmtId="178" fontId="76" fillId="0" borderId="179" xfId="4" applyNumberFormat="1" applyFont="1" applyFill="1" applyBorder="1" applyAlignment="1">
      <alignment horizontal="center" vertical="center"/>
    </xf>
    <xf numFmtId="178" fontId="76" fillId="0" borderId="179" xfId="10" applyNumberFormat="1" applyFont="1" applyFill="1" applyBorder="1" applyAlignment="1">
      <alignment horizontal="center" vertical="center"/>
    </xf>
    <xf numFmtId="38" fontId="78" fillId="20" borderId="179" xfId="41" applyNumberFormat="1" applyFont="1" applyFill="1" applyBorder="1" applyAlignment="1">
      <alignment horizontal="center" vertical="center"/>
    </xf>
    <xf numFmtId="38" fontId="31" fillId="20" borderId="179" xfId="41" applyNumberFormat="1" applyFont="1" applyFill="1" applyBorder="1" applyAlignment="1">
      <alignment horizontal="center" vertical="center"/>
    </xf>
    <xf numFmtId="40" fontId="31" fillId="20" borderId="179" xfId="41" applyNumberFormat="1" applyFont="1" applyFill="1" applyBorder="1" applyAlignment="1">
      <alignment horizontal="center" vertical="center"/>
    </xf>
    <xf numFmtId="179" fontId="31" fillId="20" borderId="179" xfId="4" applyNumberFormat="1" applyFont="1" applyFill="1" applyBorder="1" applyAlignment="1">
      <alignment horizontal="center" vertical="center"/>
    </xf>
    <xf numFmtId="178" fontId="31" fillId="20" borderId="179" xfId="4" applyNumberFormat="1" applyFont="1" applyFill="1" applyBorder="1" applyAlignment="1">
      <alignment horizontal="center" vertical="center"/>
    </xf>
    <xf numFmtId="178" fontId="35" fillId="20" borderId="179" xfId="41" applyNumberFormat="1" applyFont="1" applyFill="1" applyBorder="1" applyAlignment="1">
      <alignment horizontal="center" vertical="center"/>
    </xf>
    <xf numFmtId="38" fontId="78" fillId="28" borderId="179" xfId="41" applyNumberFormat="1" applyFont="1" applyFill="1" applyBorder="1" applyAlignment="1">
      <alignment horizontal="center" vertical="center"/>
    </xf>
    <xf numFmtId="38" fontId="31" fillId="28" borderId="179" xfId="41" applyNumberFormat="1" applyFont="1" applyFill="1" applyBorder="1" applyAlignment="1">
      <alignment horizontal="center" vertical="center"/>
    </xf>
    <xf numFmtId="40" fontId="31" fillId="28" borderId="179" xfId="41" applyNumberFormat="1" applyFont="1" applyFill="1" applyBorder="1" applyAlignment="1">
      <alignment horizontal="center" vertical="center"/>
    </xf>
    <xf numFmtId="179" fontId="31" fillId="28" borderId="179" xfId="4" applyNumberFormat="1" applyFont="1" applyFill="1" applyBorder="1" applyAlignment="1">
      <alignment horizontal="center" vertical="center"/>
    </xf>
    <xf numFmtId="178" fontId="31" fillId="28" borderId="179" xfId="4" applyNumberFormat="1" applyFont="1" applyFill="1" applyBorder="1" applyAlignment="1">
      <alignment horizontal="center" vertical="center"/>
    </xf>
    <xf numFmtId="178" fontId="35" fillId="28" borderId="179" xfId="41" applyNumberFormat="1" applyFont="1" applyFill="1" applyBorder="1" applyAlignment="1">
      <alignment horizontal="center" vertical="center"/>
    </xf>
    <xf numFmtId="38" fontId="80" fillId="0" borderId="0" xfId="0" applyNumberFormat="1" applyFont="1" applyAlignment="1">
      <alignment vertical="center"/>
    </xf>
    <xf numFmtId="179" fontId="11" fillId="27" borderId="0" xfId="4" applyNumberFormat="1" applyFont="1" applyFill="1" applyAlignment="1">
      <alignment horizontal="center" vertical="center"/>
    </xf>
    <xf numFmtId="14" fontId="13" fillId="0" borderId="0" xfId="5" applyNumberFormat="1" applyFont="1" applyAlignment="1">
      <alignment horizontal="center" vertical="center"/>
    </xf>
    <xf numFmtId="179" fontId="69" fillId="0" borderId="0" xfId="4" applyNumberFormat="1" applyFont="1" applyAlignment="1">
      <alignment vertical="center"/>
    </xf>
    <xf numFmtId="40" fontId="13" fillId="0" borderId="0" xfId="40" applyNumberFormat="1" applyFont="1">
      <alignment vertical="center"/>
    </xf>
    <xf numFmtId="179" fontId="19" fillId="0" borderId="0" xfId="4" applyNumberFormat="1" applyFont="1" applyFill="1" applyBorder="1" applyAlignment="1">
      <alignment horizontal="center" vertical="center"/>
    </xf>
    <xf numFmtId="38" fontId="13" fillId="6" borderId="0" xfId="40" applyNumberFormat="1" applyFont="1" applyFill="1">
      <alignment vertical="center"/>
    </xf>
    <xf numFmtId="0" fontId="42" fillId="0" borderId="0" xfId="0" applyFont="1" applyAlignment="1">
      <alignment vertical="center"/>
    </xf>
    <xf numFmtId="38" fontId="17" fillId="0" borderId="0" xfId="43" applyNumberFormat="1" applyFont="1" applyAlignment="1">
      <alignment vertical="center"/>
    </xf>
    <xf numFmtId="0" fontId="42" fillId="3" borderId="0" xfId="40" applyFont="1" applyFill="1">
      <alignment vertical="center"/>
    </xf>
    <xf numFmtId="38" fontId="42" fillId="0" borderId="0" xfId="0" applyNumberFormat="1" applyFont="1" applyAlignment="1">
      <alignment vertical="center"/>
    </xf>
    <xf numFmtId="179" fontId="8" fillId="29" borderId="179" xfId="4" applyNumberFormat="1" applyFont="1" applyFill="1" applyBorder="1" applyAlignment="1">
      <alignment horizontal="center" vertical="center" wrapText="1"/>
    </xf>
    <xf numFmtId="179" fontId="9" fillId="29" borderId="179" xfId="4" applyNumberFormat="1" applyFont="1" applyFill="1" applyBorder="1" applyAlignment="1">
      <alignment horizontal="center" vertical="center" wrapText="1"/>
    </xf>
    <xf numFmtId="179" fontId="8" fillId="29" borderId="179" xfId="4" applyNumberFormat="1" applyFont="1" applyFill="1" applyBorder="1" applyAlignment="1">
      <alignment horizontal="center" vertical="center"/>
    </xf>
    <xf numFmtId="0" fontId="42" fillId="0" borderId="0" xfId="5" applyFont="1" applyAlignment="1">
      <alignment horizontal="left" vertical="center"/>
    </xf>
    <xf numFmtId="38" fontId="78" fillId="30" borderId="179" xfId="41" applyNumberFormat="1" applyFont="1" applyFill="1" applyBorder="1" applyAlignment="1">
      <alignment horizontal="center" vertical="center"/>
    </xf>
    <xf numFmtId="38" fontId="31" fillId="30" borderId="179" xfId="41" applyNumberFormat="1" applyFont="1" applyFill="1" applyBorder="1" applyAlignment="1">
      <alignment horizontal="center" vertical="center"/>
    </xf>
    <xf numFmtId="40" fontId="31" fillId="30" borderId="179" xfId="41" applyNumberFormat="1" applyFont="1" applyFill="1" applyBorder="1" applyAlignment="1">
      <alignment horizontal="center" vertical="center"/>
    </xf>
    <xf numFmtId="179" fontId="31" fillId="30" borderId="179" xfId="4" applyNumberFormat="1" applyFont="1" applyFill="1" applyBorder="1" applyAlignment="1">
      <alignment horizontal="center" vertical="center"/>
    </xf>
    <xf numFmtId="178" fontId="31" fillId="30" borderId="179" xfId="4" applyNumberFormat="1" applyFont="1" applyFill="1" applyBorder="1" applyAlignment="1">
      <alignment horizontal="center" vertical="center"/>
    </xf>
    <xf numFmtId="178" fontId="35" fillId="30" borderId="179" xfId="41" applyNumberFormat="1" applyFont="1" applyFill="1" applyBorder="1" applyAlignment="1">
      <alignment horizontal="center" vertical="center"/>
    </xf>
    <xf numFmtId="38" fontId="68" fillId="0" borderId="0" xfId="0" applyNumberFormat="1" applyFont="1" applyAlignment="1">
      <alignment vertical="center"/>
    </xf>
    <xf numFmtId="179" fontId="13" fillId="0" borderId="0" xfId="4" applyNumberFormat="1" applyFont="1" applyFill="1" applyBorder="1" applyAlignment="1">
      <alignment vertical="center"/>
    </xf>
    <xf numFmtId="38" fontId="10" fillId="0" borderId="0" xfId="41" applyNumberFormat="1" applyFont="1" applyFill="1" applyBorder="1" applyAlignment="1">
      <alignment horizontal="center" vertical="center"/>
    </xf>
    <xf numFmtId="38" fontId="8" fillId="0" borderId="0" xfId="41" applyNumberFormat="1" applyFont="1" applyFill="1" applyBorder="1" applyAlignment="1">
      <alignment horizontal="center" vertical="center"/>
    </xf>
    <xf numFmtId="40" fontId="8" fillId="0" borderId="0" xfId="41" applyNumberFormat="1" applyFont="1" applyFill="1" applyBorder="1" applyAlignment="1">
      <alignment horizontal="center" vertical="center"/>
    </xf>
    <xf numFmtId="179" fontId="8" fillId="0" borderId="0" xfId="4" applyNumberFormat="1" applyFont="1" applyFill="1" applyBorder="1" applyAlignment="1">
      <alignment horizontal="center" vertical="center"/>
    </xf>
    <xf numFmtId="178" fontId="8" fillId="0" borderId="0" xfId="4" applyNumberFormat="1" applyFont="1" applyFill="1" applyBorder="1" applyAlignment="1">
      <alignment horizontal="center" vertical="center"/>
    </xf>
    <xf numFmtId="179" fontId="8" fillId="0" borderId="0" xfId="4" applyNumberFormat="1" applyFont="1" applyAlignment="1">
      <alignment horizontal="center" vertical="center"/>
    </xf>
    <xf numFmtId="179" fontId="13" fillId="6" borderId="0" xfId="4" applyNumberFormat="1" applyFont="1" applyFill="1" applyAlignment="1">
      <alignment horizontal="center" vertical="center"/>
    </xf>
    <xf numFmtId="3" fontId="42" fillId="6" borderId="0" xfId="11" applyNumberFormat="1" applyFont="1" applyFill="1" applyAlignment="1">
      <alignment horizontal="left" vertical="center"/>
    </xf>
    <xf numFmtId="179" fontId="56" fillId="27" borderId="0" xfId="4" applyNumberFormat="1" applyFont="1" applyFill="1" applyAlignment="1">
      <alignment horizontal="center" vertical="center"/>
    </xf>
    <xf numFmtId="179" fontId="30" fillId="0" borderId="0" xfId="4" applyNumberFormat="1" applyFont="1" applyAlignment="1">
      <alignment vertical="center"/>
    </xf>
    <xf numFmtId="179" fontId="30" fillId="0" borderId="179" xfId="4" applyNumberFormat="1" applyFont="1" applyFill="1" applyBorder="1" applyAlignment="1">
      <alignment horizontal="center" vertical="center"/>
    </xf>
    <xf numFmtId="178" fontId="30" fillId="0" borderId="179" xfId="4" applyNumberFormat="1" applyFont="1" applyFill="1" applyBorder="1" applyAlignment="1">
      <alignment horizontal="center" vertical="center"/>
    </xf>
    <xf numFmtId="38" fontId="78" fillId="22" borderId="179" xfId="41" applyNumberFormat="1" applyFont="1" applyFill="1" applyBorder="1" applyAlignment="1">
      <alignment horizontal="center" vertical="center"/>
    </xf>
    <xf numFmtId="38" fontId="31" fillId="22" borderId="179" xfId="41" applyNumberFormat="1" applyFont="1" applyFill="1" applyBorder="1" applyAlignment="1">
      <alignment horizontal="center" vertical="center"/>
    </xf>
    <xf numFmtId="40" fontId="31" fillId="22" borderId="179" xfId="41" applyNumberFormat="1" applyFont="1" applyFill="1" applyBorder="1" applyAlignment="1">
      <alignment horizontal="center" vertical="center"/>
    </xf>
    <xf numFmtId="179" fontId="31" fillId="22" borderId="179" xfId="4" applyNumberFormat="1" applyFont="1" applyFill="1" applyBorder="1" applyAlignment="1">
      <alignment horizontal="center" vertical="center"/>
    </xf>
    <xf numFmtId="178" fontId="31" fillId="22" borderId="179" xfId="4" applyNumberFormat="1" applyFont="1" applyFill="1" applyBorder="1" applyAlignment="1">
      <alignment horizontal="center" vertical="center"/>
    </xf>
    <xf numFmtId="0" fontId="15" fillId="29" borderId="179" xfId="11" applyFont="1" applyFill="1" applyBorder="1" applyAlignment="1">
      <alignment horizontal="center" vertical="center"/>
    </xf>
    <xf numFmtId="38" fontId="74" fillId="0" borderId="0" xfId="11" applyNumberFormat="1" applyFont="1" applyAlignment="1">
      <alignment horizontal="center" vertical="center"/>
    </xf>
    <xf numFmtId="0" fontId="15" fillId="0" borderId="0" xfId="11" applyFont="1">
      <alignment vertical="center"/>
    </xf>
    <xf numFmtId="38" fontId="15" fillId="29" borderId="179" xfId="11" applyNumberFormat="1" applyFont="1" applyFill="1" applyBorder="1" applyAlignment="1">
      <alignment horizontal="center" vertical="center" wrapText="1"/>
    </xf>
    <xf numFmtId="38" fontId="8" fillId="29" borderId="179" xfId="11" applyNumberFormat="1" applyFont="1" applyFill="1" applyBorder="1" applyAlignment="1">
      <alignment horizontal="center" vertical="center" wrapText="1"/>
    </xf>
    <xf numFmtId="40" fontId="8" fillId="29" borderId="179" xfId="11" applyNumberFormat="1" applyFont="1" applyFill="1" applyBorder="1" applyAlignment="1">
      <alignment horizontal="center" vertical="center" wrapText="1"/>
    </xf>
    <xf numFmtId="178" fontId="8" fillId="29" borderId="179" xfId="11" applyNumberFormat="1" applyFont="1" applyFill="1" applyBorder="1" applyAlignment="1">
      <alignment horizontal="center" vertical="center" wrapText="1"/>
    </xf>
    <xf numFmtId="38" fontId="15" fillId="29" borderId="179" xfId="11" applyNumberFormat="1" applyFont="1" applyFill="1" applyBorder="1" applyAlignment="1">
      <alignment horizontal="center" vertical="center"/>
    </xf>
    <xf numFmtId="179" fontId="15" fillId="29" borderId="179" xfId="4" applyNumberFormat="1" applyFont="1" applyFill="1" applyBorder="1" applyAlignment="1">
      <alignment horizontal="center" vertical="center"/>
    </xf>
    <xf numFmtId="178" fontId="15" fillId="29" borderId="179" xfId="11" applyNumberFormat="1" applyFont="1" applyFill="1" applyBorder="1" applyAlignment="1">
      <alignment horizontal="center" vertical="center"/>
    </xf>
    <xf numFmtId="38" fontId="56" fillId="0" borderId="0" xfId="11" applyNumberFormat="1" applyFont="1" applyAlignment="1">
      <alignment horizontal="center" vertical="center"/>
    </xf>
    <xf numFmtId="0" fontId="19" fillId="0" borderId="0" xfId="11" applyFont="1">
      <alignment vertical="center"/>
    </xf>
    <xf numFmtId="0" fontId="76" fillId="0" borderId="179" xfId="11" applyFont="1" applyBorder="1" applyAlignment="1">
      <alignment horizontal="center" vertical="center"/>
    </xf>
    <xf numFmtId="38" fontId="75" fillId="0" borderId="179" xfId="10" applyNumberFormat="1" applyFont="1" applyFill="1" applyBorder="1" applyAlignment="1">
      <alignment horizontal="center" vertical="center"/>
    </xf>
    <xf numFmtId="38" fontId="76" fillId="0" borderId="179" xfId="10" applyNumberFormat="1" applyFont="1" applyFill="1" applyBorder="1" applyAlignment="1">
      <alignment horizontal="center" vertical="center"/>
    </xf>
    <xf numFmtId="40" fontId="76" fillId="0" borderId="179" xfId="10" applyNumberFormat="1" applyFont="1" applyFill="1" applyBorder="1" applyAlignment="1">
      <alignment horizontal="center" vertical="center"/>
    </xf>
    <xf numFmtId="38" fontId="77" fillId="0" borderId="0" xfId="11" applyNumberFormat="1" applyFont="1" applyAlignment="1">
      <alignment horizontal="center" vertical="center"/>
    </xf>
    <xf numFmtId="0" fontId="76" fillId="0" borderId="0" xfId="11" applyFont="1">
      <alignment vertical="center"/>
    </xf>
    <xf numFmtId="38" fontId="76" fillId="0" borderId="179" xfId="11" applyNumberFormat="1" applyFont="1" applyBorder="1" applyAlignment="1">
      <alignment horizontal="center" vertical="center" wrapText="1"/>
    </xf>
    <xf numFmtId="0" fontId="42" fillId="6" borderId="0" xfId="11" applyFont="1" applyFill="1">
      <alignment vertical="center"/>
    </xf>
    <xf numFmtId="0" fontId="76" fillId="6" borderId="0" xfId="11" applyFont="1" applyFill="1">
      <alignment vertical="center"/>
    </xf>
    <xf numFmtId="0" fontId="85" fillId="6" borderId="0" xfId="11" applyFont="1" applyFill="1">
      <alignment vertical="center"/>
    </xf>
    <xf numFmtId="182" fontId="78" fillId="22" borderId="242" xfId="10" applyNumberFormat="1" applyFont="1" applyFill="1" applyBorder="1" applyAlignment="1">
      <alignment horizontal="center" vertical="center"/>
    </xf>
    <xf numFmtId="0" fontId="86" fillId="22" borderId="179" xfId="11" applyFont="1" applyFill="1" applyBorder="1" applyAlignment="1">
      <alignment horizontal="center" vertical="center"/>
    </xf>
    <xf numFmtId="38" fontId="78" fillId="22" borderId="179" xfId="10" applyNumberFormat="1" applyFont="1" applyFill="1" applyBorder="1" applyAlignment="1">
      <alignment horizontal="center" vertical="center"/>
    </xf>
    <xf numFmtId="38" fontId="86" fillId="22" borderId="179" xfId="10" applyNumberFormat="1" applyFont="1" applyFill="1" applyBorder="1" applyAlignment="1">
      <alignment horizontal="center" vertical="center"/>
    </xf>
    <xf numFmtId="40" fontId="86" fillId="22" borderId="179" xfId="10" applyNumberFormat="1" applyFont="1" applyFill="1" applyBorder="1" applyAlignment="1">
      <alignment horizontal="center" vertical="center"/>
    </xf>
    <xf numFmtId="179" fontId="86" fillId="22" borderId="179" xfId="4" applyNumberFormat="1" applyFont="1" applyFill="1" applyBorder="1" applyAlignment="1">
      <alignment horizontal="center" vertical="center"/>
    </xf>
    <xf numFmtId="38" fontId="86" fillId="22" borderId="179" xfId="11" applyNumberFormat="1" applyFont="1" applyFill="1" applyBorder="1" applyAlignment="1">
      <alignment horizontal="center" vertical="center"/>
    </xf>
    <xf numFmtId="178" fontId="86" fillId="22" borderId="179" xfId="4" applyNumberFormat="1" applyFont="1" applyFill="1" applyBorder="1" applyAlignment="1">
      <alignment horizontal="center" vertical="center"/>
    </xf>
    <xf numFmtId="38" fontId="31" fillId="22" borderId="179" xfId="11" applyNumberFormat="1" applyFont="1" applyFill="1" applyBorder="1" applyAlignment="1">
      <alignment horizontal="center" vertical="center"/>
    </xf>
    <xf numFmtId="178" fontId="31" fillId="22" borderId="179" xfId="10" applyNumberFormat="1" applyFont="1" applyFill="1" applyBorder="1" applyAlignment="1">
      <alignment horizontal="center" vertical="center"/>
    </xf>
    <xf numFmtId="38" fontId="19" fillId="0" borderId="0" xfId="11" applyNumberFormat="1" applyFont="1" applyAlignment="1">
      <alignment horizontal="center" vertical="center"/>
    </xf>
    <xf numFmtId="38" fontId="19" fillId="0" borderId="0" xfId="11" applyNumberFormat="1" applyFont="1">
      <alignment vertical="center"/>
    </xf>
    <xf numFmtId="40" fontId="19" fillId="0" borderId="0" xfId="11" applyNumberFormat="1" applyFont="1">
      <alignment vertical="center"/>
    </xf>
    <xf numFmtId="179" fontId="19" fillId="0" borderId="0" xfId="4" applyNumberFormat="1" applyFont="1" applyAlignment="1">
      <alignment vertical="center"/>
    </xf>
    <xf numFmtId="178" fontId="19" fillId="0" borderId="0" xfId="11" applyNumberFormat="1" applyFont="1">
      <alignment vertical="center"/>
    </xf>
    <xf numFmtId="38" fontId="8" fillId="29" borderId="179" xfId="11" applyNumberFormat="1" applyFont="1" applyFill="1" applyBorder="1" applyAlignment="1">
      <alignment horizontal="center" vertical="center"/>
    </xf>
    <xf numFmtId="0" fontId="76" fillId="6" borderId="179" xfId="11" applyFont="1" applyFill="1" applyBorder="1" applyAlignment="1">
      <alignment horizontal="center" vertical="center" wrapText="1"/>
    </xf>
    <xf numFmtId="0" fontId="76" fillId="6" borderId="179" xfId="11" applyFont="1" applyFill="1" applyBorder="1" applyAlignment="1">
      <alignment horizontal="center" vertical="center"/>
    </xf>
    <xf numFmtId="38" fontId="75" fillId="6" borderId="179" xfId="10" applyNumberFormat="1" applyFont="1" applyFill="1" applyBorder="1" applyAlignment="1">
      <alignment horizontal="center" vertical="center"/>
    </xf>
    <xf numFmtId="38" fontId="76" fillId="6" borderId="179" xfId="10" applyNumberFormat="1" applyFont="1" applyFill="1" applyBorder="1" applyAlignment="1">
      <alignment horizontal="center" vertical="center"/>
    </xf>
    <xf numFmtId="38" fontId="76" fillId="6" borderId="179" xfId="11" applyNumberFormat="1" applyFont="1" applyFill="1" applyBorder="1" applyAlignment="1">
      <alignment horizontal="center" vertical="center"/>
    </xf>
    <xf numFmtId="40" fontId="76" fillId="6" borderId="179" xfId="10" applyNumberFormat="1" applyFont="1" applyFill="1" applyBorder="1" applyAlignment="1">
      <alignment horizontal="center" vertical="center"/>
    </xf>
    <xf numFmtId="179" fontId="76" fillId="6" borderId="179" xfId="4" applyNumberFormat="1" applyFont="1" applyFill="1" applyBorder="1" applyAlignment="1">
      <alignment horizontal="center" vertical="center"/>
    </xf>
    <xf numFmtId="178" fontId="76" fillId="6" borderId="179" xfId="4" applyNumberFormat="1" applyFont="1" applyFill="1" applyBorder="1" applyAlignment="1">
      <alignment horizontal="center" vertical="center"/>
    </xf>
    <xf numFmtId="38" fontId="76" fillId="6" borderId="179" xfId="11" applyNumberFormat="1" applyFont="1" applyFill="1" applyBorder="1" applyAlignment="1">
      <alignment horizontal="center" vertical="center" wrapText="1"/>
    </xf>
    <xf numFmtId="0" fontId="76" fillId="16" borderId="179" xfId="11" applyFont="1" applyFill="1" applyBorder="1" applyAlignment="1">
      <alignment horizontal="center" vertical="center" wrapText="1"/>
    </xf>
    <xf numFmtId="0" fontId="76" fillId="16" borderId="179" xfId="11" applyFont="1" applyFill="1" applyBorder="1" applyAlignment="1">
      <alignment horizontal="center" vertical="center"/>
    </xf>
    <xf numFmtId="38" fontId="75" fillId="16" borderId="179" xfId="10" applyNumberFormat="1" applyFont="1" applyFill="1" applyBorder="1" applyAlignment="1">
      <alignment horizontal="center" vertical="center"/>
    </xf>
    <xf numFmtId="38" fontId="76" fillId="16" borderId="179" xfId="10" applyNumberFormat="1" applyFont="1" applyFill="1" applyBorder="1" applyAlignment="1">
      <alignment horizontal="center" vertical="center"/>
    </xf>
    <xf numFmtId="38" fontId="76" fillId="16" borderId="179" xfId="11" applyNumberFormat="1" applyFont="1" applyFill="1" applyBorder="1" applyAlignment="1">
      <alignment horizontal="center" vertical="center"/>
    </xf>
    <xf numFmtId="40" fontId="76" fillId="16" borderId="179" xfId="10" applyNumberFormat="1" applyFont="1" applyFill="1" applyBorder="1" applyAlignment="1">
      <alignment horizontal="center" vertical="center"/>
    </xf>
    <xf numFmtId="179" fontId="76" fillId="16" borderId="179" xfId="4" applyNumberFormat="1" applyFont="1" applyFill="1" applyBorder="1" applyAlignment="1">
      <alignment horizontal="center" vertical="center"/>
    </xf>
    <xf numFmtId="178" fontId="76" fillId="16" borderId="179" xfId="4" applyNumberFormat="1" applyFont="1" applyFill="1" applyBorder="1" applyAlignment="1">
      <alignment horizontal="center" vertical="center"/>
    </xf>
    <xf numFmtId="182" fontId="78" fillId="22" borderId="179" xfId="10" applyNumberFormat="1" applyFont="1" applyFill="1" applyBorder="1" applyAlignment="1">
      <alignment horizontal="center" vertical="center"/>
    </xf>
    <xf numFmtId="0" fontId="10" fillId="29" borderId="179" xfId="11" applyFont="1" applyFill="1" applyBorder="1" applyAlignment="1">
      <alignment horizontal="center" vertical="center"/>
    </xf>
    <xf numFmtId="38" fontId="10" fillId="29" borderId="179" xfId="11" applyNumberFormat="1" applyFont="1" applyFill="1" applyBorder="1" applyAlignment="1">
      <alignment horizontal="center" vertical="center" wrapText="1"/>
    </xf>
    <xf numFmtId="38" fontId="10" fillId="29" borderId="179" xfId="11" applyNumberFormat="1" applyFont="1" applyFill="1" applyBorder="1" applyAlignment="1">
      <alignment horizontal="center" vertical="center"/>
    </xf>
    <xf numFmtId="179" fontId="10" fillId="29" borderId="179" xfId="4" applyNumberFormat="1" applyFont="1" applyFill="1" applyBorder="1" applyAlignment="1">
      <alignment horizontal="center" vertical="center" wrapText="1"/>
    </xf>
    <xf numFmtId="178" fontId="10" fillId="29" borderId="179" xfId="11" applyNumberFormat="1" applyFont="1" applyFill="1" applyBorder="1" applyAlignment="1">
      <alignment horizontal="center" vertical="center" wrapText="1"/>
    </xf>
    <xf numFmtId="0" fontId="75" fillId="0" borderId="179" xfId="11" applyFont="1" applyBorder="1" applyAlignment="1">
      <alignment horizontal="center" vertical="center"/>
    </xf>
    <xf numFmtId="38" fontId="75" fillId="0" borderId="179" xfId="11" applyNumberFormat="1" applyFont="1" applyBorder="1" applyAlignment="1">
      <alignment horizontal="center" vertical="center"/>
    </xf>
    <xf numFmtId="40" fontId="75" fillId="0" borderId="179" xfId="10" applyNumberFormat="1" applyFont="1" applyFill="1" applyBorder="1" applyAlignment="1">
      <alignment horizontal="center" vertical="center"/>
    </xf>
    <xf numFmtId="179" fontId="75" fillId="0" borderId="179" xfId="4" applyNumberFormat="1" applyFont="1" applyFill="1" applyBorder="1" applyAlignment="1">
      <alignment horizontal="center" vertical="center"/>
    </xf>
    <xf numFmtId="178" fontId="75" fillId="0" borderId="179" xfId="4" applyNumberFormat="1" applyFont="1" applyFill="1" applyBorder="1" applyAlignment="1">
      <alignment horizontal="center" vertical="center"/>
    </xf>
    <xf numFmtId="38" fontId="75" fillId="0" borderId="179" xfId="11" applyNumberFormat="1" applyFont="1" applyBorder="1" applyAlignment="1">
      <alignment horizontal="center" vertical="center" wrapText="1"/>
    </xf>
    <xf numFmtId="40" fontId="75" fillId="0" borderId="179" xfId="10" applyNumberFormat="1" applyFont="1" applyFill="1" applyBorder="1" applyAlignment="1">
      <alignment horizontal="center" vertical="center" wrapText="1"/>
    </xf>
    <xf numFmtId="0" fontId="87" fillId="0" borderId="179" xfId="11" applyFont="1" applyBorder="1" applyAlignment="1">
      <alignment horizontal="center" vertical="center"/>
    </xf>
    <xf numFmtId="38" fontId="87" fillId="0" borderId="179" xfId="10" applyNumberFormat="1" applyFont="1" applyFill="1" applyBorder="1" applyAlignment="1">
      <alignment horizontal="center" vertical="center"/>
    </xf>
    <xf numFmtId="38" fontId="87" fillId="0" borderId="179" xfId="11" applyNumberFormat="1" applyFont="1" applyBorder="1" applyAlignment="1">
      <alignment horizontal="center" vertical="center"/>
    </xf>
    <xf numFmtId="40" fontId="87" fillId="0" borderId="179" xfId="10" applyNumberFormat="1" applyFont="1" applyFill="1" applyBorder="1" applyAlignment="1">
      <alignment horizontal="center" vertical="center"/>
    </xf>
    <xf numFmtId="179" fontId="87" fillId="0" borderId="179" xfId="4" applyNumberFormat="1" applyFont="1" applyFill="1" applyBorder="1" applyAlignment="1">
      <alignment horizontal="center" vertical="center"/>
    </xf>
    <xf numFmtId="178" fontId="87" fillId="0" borderId="179" xfId="4" applyNumberFormat="1" applyFont="1" applyFill="1" applyBorder="1" applyAlignment="1">
      <alignment horizontal="center" vertical="center"/>
    </xf>
    <xf numFmtId="0" fontId="78" fillId="22" borderId="179" xfId="11" applyFont="1" applyFill="1" applyBorder="1" applyAlignment="1">
      <alignment horizontal="center" vertical="center"/>
    </xf>
    <xf numFmtId="38" fontId="78" fillId="22" borderId="179" xfId="11" applyNumberFormat="1" applyFont="1" applyFill="1" applyBorder="1" applyAlignment="1">
      <alignment horizontal="center" vertical="center"/>
    </xf>
    <xf numFmtId="40" fontId="78" fillId="22" borderId="179" xfId="10" applyNumberFormat="1" applyFont="1" applyFill="1" applyBorder="1" applyAlignment="1">
      <alignment horizontal="center" vertical="center"/>
    </xf>
    <xf numFmtId="179" fontId="78" fillId="22" borderId="179" xfId="4" applyNumberFormat="1" applyFont="1" applyFill="1" applyBorder="1" applyAlignment="1">
      <alignment horizontal="center" vertical="center"/>
    </xf>
    <xf numFmtId="178" fontId="78" fillId="22" borderId="179" xfId="4" applyNumberFormat="1" applyFont="1" applyFill="1" applyBorder="1" applyAlignment="1">
      <alignment horizontal="center" vertical="center"/>
    </xf>
    <xf numFmtId="0" fontId="23" fillId="6" borderId="0" xfId="2" applyFont="1" applyFill="1" applyAlignment="1">
      <alignment horizontal="center" vertical="center"/>
    </xf>
    <xf numFmtId="0" fontId="23" fillId="6" borderId="0" xfId="40" applyFont="1" applyFill="1">
      <alignment vertical="center"/>
    </xf>
    <xf numFmtId="0" fontId="23" fillId="0" borderId="0" xfId="40" applyFont="1" applyAlignment="1">
      <alignment horizontal="left" vertical="center"/>
    </xf>
    <xf numFmtId="0" fontId="23" fillId="0" borderId="0" xfId="40" applyFont="1">
      <alignment vertical="center"/>
    </xf>
    <xf numFmtId="0" fontId="23" fillId="0" borderId="0" xfId="40" applyFont="1" applyAlignment="1">
      <alignment horizontal="center" vertical="center"/>
    </xf>
    <xf numFmtId="0" fontId="23" fillId="6" borderId="0" xfId="40" applyFont="1" applyFill="1" applyAlignment="1">
      <alignment horizontal="center" vertical="center"/>
    </xf>
    <xf numFmtId="3" fontId="23" fillId="6" borderId="0" xfId="40" applyNumberFormat="1" applyFont="1" applyFill="1">
      <alignment vertical="center"/>
    </xf>
    <xf numFmtId="0" fontId="23" fillId="6" borderId="0" xfId="2" applyFont="1" applyFill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11" fillId="0" borderId="0" xfId="2" applyFont="1">
      <alignment vertical="center"/>
    </xf>
    <xf numFmtId="3" fontId="23" fillId="0" borderId="0" xfId="2" applyNumberFormat="1" applyFont="1">
      <alignment vertical="center"/>
    </xf>
    <xf numFmtId="0" fontId="11" fillId="0" borderId="0" xfId="2" applyFont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0" fontId="70" fillId="6" borderId="0" xfId="2" applyFont="1" applyFill="1" applyAlignment="1">
      <alignment horizontal="left" vertical="center"/>
    </xf>
    <xf numFmtId="0" fontId="11" fillId="0" borderId="0" xfId="2" applyFont="1" applyAlignment="1"/>
    <xf numFmtId="0" fontId="11" fillId="6" borderId="0" xfId="2" applyFont="1" applyFill="1">
      <alignment vertical="center"/>
    </xf>
    <xf numFmtId="3" fontId="23" fillId="6" borderId="0" xfId="2" applyNumberFormat="1" applyFont="1" applyFill="1" applyAlignment="1"/>
    <xf numFmtId="0" fontId="24" fillId="6" borderId="0" xfId="2" applyFont="1" applyFill="1" applyAlignment="1">
      <alignment horizontal="left"/>
    </xf>
    <xf numFmtId="0" fontId="43" fillId="0" borderId="0" xfId="40" applyFont="1" applyAlignment="1"/>
    <xf numFmtId="0" fontId="12" fillId="0" borderId="17" xfId="2" applyFont="1" applyBorder="1" applyAlignment="1">
      <alignment horizontal="center" vertical="center"/>
    </xf>
    <xf numFmtId="0" fontId="23" fillId="6" borderId="174" xfId="2" applyFont="1" applyFill="1" applyBorder="1" applyAlignment="1">
      <alignment horizontal="center" vertical="center"/>
    </xf>
    <xf numFmtId="0" fontId="12" fillId="0" borderId="251" xfId="2" applyFont="1" applyBorder="1" applyAlignment="1">
      <alignment horizontal="center" vertical="center"/>
    </xf>
    <xf numFmtId="182" fontId="11" fillId="6" borderId="252" xfId="10" applyNumberFormat="1" applyFont="1" applyFill="1" applyBorder="1" applyAlignment="1">
      <alignment horizontal="center" vertical="center"/>
    </xf>
    <xf numFmtId="182" fontId="23" fillId="0" borderId="174" xfId="10" applyNumberFormat="1" applyFont="1" applyBorder="1" applyAlignment="1">
      <alignment horizontal="center" vertical="center"/>
    </xf>
    <xf numFmtId="182" fontId="23" fillId="0" borderId="253" xfId="10" applyNumberFormat="1" applyFont="1" applyBorder="1" applyAlignment="1">
      <alignment horizontal="center" vertical="center"/>
    </xf>
    <xf numFmtId="3" fontId="23" fillId="6" borderId="175" xfId="2" applyNumberFormat="1" applyFont="1" applyFill="1" applyBorder="1" applyAlignment="1">
      <alignment horizontal="center" vertical="center" wrapText="1"/>
    </xf>
    <xf numFmtId="3" fontId="23" fillId="15" borderId="174" xfId="2" applyNumberFormat="1" applyFont="1" applyFill="1" applyBorder="1" applyAlignment="1">
      <alignment horizontal="center" vertical="center" wrapText="1"/>
    </xf>
    <xf numFmtId="179" fontId="23" fillId="6" borderId="13" xfId="45" applyNumberFormat="1" applyFont="1" applyFill="1" applyBorder="1" applyAlignment="1">
      <alignment horizontal="center" vertical="center"/>
    </xf>
    <xf numFmtId="3" fontId="23" fillId="6" borderId="174" xfId="2" applyNumberFormat="1" applyFont="1" applyFill="1" applyBorder="1" applyAlignment="1">
      <alignment horizontal="center" vertical="center"/>
    </xf>
    <xf numFmtId="9" fontId="23" fillId="15" borderId="13" xfId="2" applyNumberFormat="1" applyFont="1" applyFill="1" applyBorder="1" applyAlignment="1">
      <alignment horizontal="center" vertical="center"/>
    </xf>
    <xf numFmtId="3" fontId="23" fillId="0" borderId="68" xfId="2" applyNumberFormat="1" applyFont="1" applyBorder="1" applyAlignment="1">
      <alignment horizontal="center" vertical="center" wrapText="1"/>
    </xf>
    <xf numFmtId="0" fontId="34" fillId="6" borderId="0" xfId="2" applyFont="1" applyFill="1">
      <alignment vertical="center"/>
    </xf>
    <xf numFmtId="179" fontId="17" fillId="6" borderId="0" xfId="33" applyNumberFormat="1" applyFont="1" applyFill="1">
      <alignment vertical="center"/>
    </xf>
    <xf numFmtId="3" fontId="23" fillId="6" borderId="0" xfId="2" applyNumberFormat="1" applyFont="1" applyFill="1" applyAlignment="1">
      <alignment horizontal="center" vertical="center"/>
    </xf>
    <xf numFmtId="0" fontId="47" fillId="0" borderId="0" xfId="2" applyFont="1" applyAlignment="1">
      <alignment horizontal="center" vertical="center"/>
    </xf>
    <xf numFmtId="0" fontId="12" fillId="6" borderId="251" xfId="2" applyFont="1" applyFill="1" applyBorder="1" applyAlignment="1">
      <alignment horizontal="center" vertical="center"/>
    </xf>
    <xf numFmtId="182" fontId="11" fillId="6" borderId="256" xfId="10" applyNumberFormat="1" applyFont="1" applyFill="1" applyBorder="1" applyAlignment="1">
      <alignment horizontal="center" vertical="center"/>
    </xf>
    <xf numFmtId="182" fontId="23" fillId="0" borderId="13" xfId="10" applyNumberFormat="1" applyFont="1" applyBorder="1" applyAlignment="1">
      <alignment horizontal="center" vertical="center"/>
    </xf>
    <xf numFmtId="182" fontId="23" fillId="0" borderId="251" xfId="10" applyNumberFormat="1" applyFont="1" applyBorder="1" applyAlignment="1">
      <alignment horizontal="center" vertical="center"/>
    </xf>
    <xf numFmtId="3" fontId="23" fillId="6" borderId="95" xfId="2" applyNumberFormat="1" applyFont="1" applyFill="1" applyBorder="1" applyAlignment="1">
      <alignment horizontal="center" vertical="center" wrapText="1"/>
    </xf>
    <xf numFmtId="3" fontId="23" fillId="0" borderId="108" xfId="2" applyNumberFormat="1" applyFont="1" applyBorder="1" applyAlignment="1">
      <alignment horizontal="center" vertical="center"/>
    </xf>
    <xf numFmtId="9" fontId="23" fillId="6" borderId="103" xfId="45" applyFont="1" applyFill="1" applyBorder="1" applyAlignment="1">
      <alignment horizontal="center" vertical="center"/>
    </xf>
    <xf numFmtId="179" fontId="23" fillId="6" borderId="0" xfId="2" applyNumberFormat="1" applyFont="1" applyFill="1">
      <alignment vertical="center"/>
    </xf>
    <xf numFmtId="0" fontId="91" fillId="6" borderId="251" xfId="2" applyFont="1" applyFill="1" applyBorder="1" applyAlignment="1">
      <alignment horizontal="center" vertical="center"/>
    </xf>
    <xf numFmtId="182" fontId="93" fillId="6" borderId="256" xfId="10" applyNumberFormat="1" applyFont="1" applyFill="1" applyBorder="1" applyAlignment="1">
      <alignment horizontal="center" vertical="center"/>
    </xf>
    <xf numFmtId="182" fontId="23" fillId="0" borderId="13" xfId="10" applyNumberFormat="1" applyFont="1" applyFill="1" applyBorder="1" applyAlignment="1">
      <alignment horizontal="center" vertical="center"/>
    </xf>
    <xf numFmtId="182" fontId="23" fillId="0" borderId="251" xfId="10" applyNumberFormat="1" applyFont="1" applyFill="1" applyBorder="1" applyAlignment="1">
      <alignment horizontal="center" vertical="center"/>
    </xf>
    <xf numFmtId="3" fontId="92" fillId="6" borderId="13" xfId="2" applyNumberFormat="1" applyFont="1" applyFill="1" applyBorder="1" applyAlignment="1">
      <alignment horizontal="center" vertical="center"/>
    </xf>
    <xf numFmtId="180" fontId="92" fillId="6" borderId="13" xfId="2" applyNumberFormat="1" applyFont="1" applyFill="1" applyBorder="1" applyAlignment="1">
      <alignment horizontal="center" vertical="center"/>
    </xf>
    <xf numFmtId="179" fontId="92" fillId="6" borderId="13" xfId="4" applyNumberFormat="1" applyFont="1" applyFill="1" applyBorder="1" applyAlignment="1">
      <alignment horizontal="center" vertical="center"/>
    </xf>
    <xf numFmtId="38" fontId="92" fillId="6" borderId="13" xfId="2" applyNumberFormat="1" applyFont="1" applyFill="1" applyBorder="1" applyAlignment="1">
      <alignment horizontal="center" vertical="center"/>
    </xf>
    <xf numFmtId="38" fontId="92" fillId="15" borderId="13" xfId="2" applyNumberFormat="1" applyFont="1" applyFill="1" applyBorder="1" applyAlignment="1">
      <alignment horizontal="center" vertical="center"/>
    </xf>
    <xf numFmtId="178" fontId="92" fillId="6" borderId="13" xfId="10" applyNumberFormat="1" applyFont="1" applyFill="1" applyBorder="1" applyAlignment="1">
      <alignment horizontal="center" vertical="center"/>
    </xf>
    <xf numFmtId="0" fontId="91" fillId="0" borderId="251" xfId="2" applyFont="1" applyBorder="1" applyAlignment="1">
      <alignment horizontal="center" vertical="center"/>
    </xf>
    <xf numFmtId="182" fontId="23" fillId="0" borderId="174" xfId="10" applyNumberFormat="1" applyFont="1" applyFill="1" applyBorder="1" applyAlignment="1">
      <alignment horizontal="center" vertical="center"/>
    </xf>
    <xf numFmtId="182" fontId="23" fillId="0" borderId="253" xfId="10" applyNumberFormat="1" applyFont="1" applyFill="1" applyBorder="1" applyAlignment="1">
      <alignment horizontal="center" vertical="center"/>
    </xf>
    <xf numFmtId="3" fontId="92" fillId="6" borderId="174" xfId="2" applyNumberFormat="1" applyFont="1" applyFill="1" applyBorder="1" applyAlignment="1">
      <alignment horizontal="center" vertical="center"/>
    </xf>
    <xf numFmtId="0" fontId="92" fillId="6" borderId="0" xfId="2" applyFont="1" applyFill="1">
      <alignment vertical="center"/>
    </xf>
    <xf numFmtId="0" fontId="92" fillId="0" borderId="0" xfId="2" applyFont="1" applyAlignment="1">
      <alignment horizontal="center" vertical="center"/>
    </xf>
    <xf numFmtId="0" fontId="92" fillId="6" borderId="0" xfId="2" applyFont="1" applyFill="1" applyAlignment="1">
      <alignment horizontal="center" vertical="center"/>
    </xf>
    <xf numFmtId="0" fontId="97" fillId="6" borderId="0" xfId="2" applyFont="1" applyFill="1" applyAlignment="1">
      <alignment horizontal="center" vertical="center"/>
    </xf>
    <xf numFmtId="0" fontId="97" fillId="6" borderId="0" xfId="2" applyFont="1" applyFill="1">
      <alignment vertical="center"/>
    </xf>
    <xf numFmtId="0" fontId="92" fillId="0" borderId="0" xfId="2" applyFont="1">
      <alignment vertical="center"/>
    </xf>
    <xf numFmtId="4" fontId="92" fillId="0" borderId="0" xfId="2" applyNumberFormat="1" applyFont="1">
      <alignment vertical="center"/>
    </xf>
    <xf numFmtId="0" fontId="97" fillId="0" borderId="0" xfId="2" applyFont="1" applyAlignment="1">
      <alignment horizontal="center" vertical="center"/>
    </xf>
    <xf numFmtId="0" fontId="97" fillId="0" borderId="0" xfId="2" applyFont="1">
      <alignment vertical="center"/>
    </xf>
    <xf numFmtId="0" fontId="15" fillId="8" borderId="246" xfId="2" applyFont="1" applyFill="1" applyBorder="1" applyAlignment="1">
      <alignment horizontal="center" vertical="center"/>
    </xf>
    <xf numFmtId="0" fontId="15" fillId="8" borderId="29" xfId="2" applyFont="1" applyFill="1" applyBorder="1" applyAlignment="1">
      <alignment horizontal="center" vertical="center" wrapText="1"/>
    </xf>
    <xf numFmtId="0" fontId="24" fillId="8" borderId="29" xfId="2" applyFont="1" applyFill="1" applyBorder="1" applyAlignment="1">
      <alignment horizontal="center" vertical="center" wrapText="1"/>
    </xf>
    <xf numFmtId="0" fontId="24" fillId="8" borderId="250" xfId="2" applyFont="1" applyFill="1" applyBorder="1" applyAlignment="1">
      <alignment horizontal="center" vertical="center" wrapText="1"/>
    </xf>
    <xf numFmtId="0" fontId="24" fillId="8" borderId="248" xfId="2" applyFont="1" applyFill="1" applyBorder="1" applyAlignment="1">
      <alignment horizontal="center" vertical="center"/>
    </xf>
    <xf numFmtId="0" fontId="24" fillId="8" borderId="29" xfId="2" applyFont="1" applyFill="1" applyBorder="1" applyAlignment="1">
      <alignment horizontal="center" vertical="center"/>
    </xf>
    <xf numFmtId="0" fontId="24" fillId="8" borderId="250" xfId="2" applyFont="1" applyFill="1" applyBorder="1" applyAlignment="1">
      <alignment horizontal="center" vertical="center"/>
    </xf>
    <xf numFmtId="3" fontId="23" fillId="6" borderId="17" xfId="2" applyNumberFormat="1" applyFont="1" applyFill="1" applyBorder="1" applyAlignment="1">
      <alignment horizontal="center" vertical="center" wrapText="1"/>
    </xf>
    <xf numFmtId="3" fontId="23" fillId="0" borderId="95" xfId="2" applyNumberFormat="1" applyFont="1" applyBorder="1" applyAlignment="1">
      <alignment horizontal="center" vertical="center" wrapText="1"/>
    </xf>
    <xf numFmtId="182" fontId="93" fillId="6" borderId="17" xfId="10" applyNumberFormat="1" applyFont="1" applyFill="1" applyBorder="1" applyAlignment="1">
      <alignment horizontal="center" vertical="center"/>
    </xf>
    <xf numFmtId="182" fontId="23" fillId="6" borderId="238" xfId="10" applyNumberFormat="1" applyFont="1" applyFill="1" applyBorder="1" applyAlignment="1">
      <alignment horizontal="center" vertical="center"/>
    </xf>
    <xf numFmtId="3" fontId="23" fillId="6" borderId="68" xfId="2" applyNumberFormat="1" applyFont="1" applyFill="1" applyBorder="1" applyAlignment="1">
      <alignment horizontal="center" vertical="center" wrapText="1"/>
    </xf>
    <xf numFmtId="3" fontId="23" fillId="0" borderId="175" xfId="2" applyNumberFormat="1" applyFont="1" applyBorder="1" applyAlignment="1">
      <alignment horizontal="center" vertical="center" wrapText="1"/>
    </xf>
    <xf numFmtId="0" fontId="92" fillId="0" borderId="0" xfId="2" applyFont="1" applyAlignment="1">
      <alignment vertical="center" wrapText="1"/>
    </xf>
    <xf numFmtId="0" fontId="94" fillId="0" borderId="0" xfId="2" applyFont="1" applyAlignment="1">
      <alignment horizontal="center" vertical="center"/>
    </xf>
    <xf numFmtId="182" fontId="95" fillId="0" borderId="0" xfId="10" applyNumberFormat="1" applyFont="1" applyFill="1" applyBorder="1" applyAlignment="1">
      <alignment horizontal="center" vertical="center"/>
    </xf>
    <xf numFmtId="182" fontId="94" fillId="0" borderId="0" xfId="10" applyNumberFormat="1" applyFont="1" applyFill="1" applyBorder="1" applyAlignment="1">
      <alignment horizontal="center" vertical="center"/>
    </xf>
    <xf numFmtId="3" fontId="94" fillId="0" borderId="0" xfId="2" applyNumberFormat="1" applyFont="1" applyAlignment="1">
      <alignment horizontal="center" vertical="center"/>
    </xf>
    <xf numFmtId="181" fontId="94" fillId="0" borderId="0" xfId="10" applyNumberFormat="1" applyFont="1" applyFill="1" applyBorder="1" applyAlignment="1">
      <alignment horizontal="center" vertical="center"/>
    </xf>
    <xf numFmtId="179" fontId="94" fillId="0" borderId="0" xfId="4" applyNumberFormat="1" applyFont="1" applyFill="1" applyBorder="1" applyAlignment="1">
      <alignment horizontal="center" vertical="center"/>
    </xf>
    <xf numFmtId="9" fontId="94" fillId="0" borderId="0" xfId="2" applyNumberFormat="1" applyFont="1" applyAlignment="1">
      <alignment horizontal="center" vertical="center"/>
    </xf>
    <xf numFmtId="180" fontId="94" fillId="0" borderId="0" xfId="2" applyNumberFormat="1" applyFont="1" applyAlignment="1">
      <alignment horizontal="center" vertical="center"/>
    </xf>
    <xf numFmtId="178" fontId="94" fillId="0" borderId="0" xfId="4" applyNumberFormat="1" applyFont="1" applyFill="1" applyBorder="1" applyAlignment="1">
      <alignment horizontal="center" vertical="center"/>
    </xf>
    <xf numFmtId="3" fontId="92" fillId="0" borderId="0" xfId="2" applyNumberFormat="1" applyFont="1" applyAlignment="1">
      <alignment horizontal="center" vertical="center"/>
    </xf>
    <xf numFmtId="38" fontId="96" fillId="0" borderId="0" xfId="2" applyNumberFormat="1" applyFont="1" applyAlignment="1">
      <alignment horizontal="center" vertical="center"/>
    </xf>
    <xf numFmtId="178" fontId="96" fillId="0" borderId="0" xfId="10" applyNumberFormat="1" applyFont="1" applyFill="1" applyBorder="1" applyAlignment="1">
      <alignment horizontal="center" vertical="center"/>
    </xf>
    <xf numFmtId="0" fontId="94" fillId="6" borderId="0" xfId="2" applyFont="1" applyFill="1">
      <alignment vertical="center"/>
    </xf>
    <xf numFmtId="0" fontId="94" fillId="8" borderId="72" xfId="2" applyFont="1" applyFill="1" applyBorder="1" applyAlignment="1">
      <alignment horizontal="center" vertical="center" wrapText="1"/>
    </xf>
    <xf numFmtId="0" fontId="94" fillId="8" borderId="71" xfId="2" applyFont="1" applyFill="1" applyBorder="1" applyAlignment="1">
      <alignment horizontal="center" vertical="center" wrapText="1"/>
    </xf>
    <xf numFmtId="0" fontId="96" fillId="8" borderId="246" xfId="2" applyFont="1" applyFill="1" applyBorder="1" applyAlignment="1">
      <alignment horizontal="center" vertical="center"/>
    </xf>
    <xf numFmtId="0" fontId="96" fillId="8" borderId="29" xfId="2" applyFont="1" applyFill="1" applyBorder="1" applyAlignment="1">
      <alignment horizontal="center" vertical="center" wrapText="1"/>
    </xf>
    <xf numFmtId="0" fontId="94" fillId="8" borderId="29" xfId="2" applyFont="1" applyFill="1" applyBorder="1" applyAlignment="1">
      <alignment horizontal="center" vertical="center" wrapText="1"/>
    </xf>
    <xf numFmtId="0" fontId="96" fillId="8" borderId="29" xfId="2" applyFont="1" applyFill="1" applyBorder="1" applyAlignment="1">
      <alignment horizontal="center" vertical="center"/>
    </xf>
    <xf numFmtId="0" fontId="96" fillId="8" borderId="27" xfId="2" applyFont="1" applyFill="1" applyBorder="1" applyAlignment="1">
      <alignment horizontal="center" vertical="center" wrapText="1"/>
    </xf>
    <xf numFmtId="0" fontId="94" fillId="8" borderId="250" xfId="2" applyFont="1" applyFill="1" applyBorder="1" applyAlignment="1">
      <alignment horizontal="center" vertical="center" wrapText="1"/>
    </xf>
    <xf numFmtId="0" fontId="94" fillId="8" borderId="248" xfId="2" applyFont="1" applyFill="1" applyBorder="1" applyAlignment="1">
      <alignment horizontal="center" vertical="center"/>
    </xf>
    <xf numFmtId="0" fontId="94" fillId="8" borderId="29" xfId="2" applyFont="1" applyFill="1" applyBorder="1" applyAlignment="1">
      <alignment horizontal="center" vertical="center"/>
    </xf>
    <xf numFmtId="0" fontId="94" fillId="8" borderId="250" xfId="2" applyFont="1" applyFill="1" applyBorder="1" applyAlignment="1">
      <alignment horizontal="center" vertical="center"/>
    </xf>
    <xf numFmtId="0" fontId="92" fillId="6" borderId="95" xfId="2" applyFont="1" applyFill="1" applyBorder="1" applyAlignment="1">
      <alignment horizontal="center" vertical="center"/>
    </xf>
    <xf numFmtId="182" fontId="92" fillId="6" borderId="13" xfId="10" applyNumberFormat="1" applyFont="1" applyFill="1" applyBorder="1" applyAlignment="1">
      <alignment horizontal="center" vertical="center"/>
    </xf>
    <xf numFmtId="3" fontId="92" fillId="6" borderId="17" xfId="2" applyNumberFormat="1" applyFont="1" applyFill="1" applyBorder="1" applyAlignment="1">
      <alignment horizontal="center" vertical="center" wrapText="1"/>
    </xf>
    <xf numFmtId="181" fontId="92" fillId="6" borderId="13" xfId="10" applyNumberFormat="1" applyFont="1" applyFill="1" applyBorder="1" applyAlignment="1">
      <alignment horizontal="center" vertical="center"/>
    </xf>
    <xf numFmtId="3" fontId="92" fillId="15" borderId="13" xfId="2" applyNumberFormat="1" applyFont="1" applyFill="1" applyBorder="1" applyAlignment="1">
      <alignment horizontal="center" vertical="center" wrapText="1"/>
    </xf>
    <xf numFmtId="179" fontId="92" fillId="6" borderId="13" xfId="45" applyNumberFormat="1" applyFont="1" applyFill="1" applyBorder="1" applyAlignment="1">
      <alignment horizontal="center" vertical="center"/>
    </xf>
    <xf numFmtId="3" fontId="92" fillId="15" borderId="13" xfId="2" applyNumberFormat="1" applyFont="1" applyFill="1" applyBorder="1" applyAlignment="1">
      <alignment horizontal="center" vertical="center"/>
    </xf>
    <xf numFmtId="9" fontId="92" fillId="15" borderId="13" xfId="2" applyNumberFormat="1" applyFont="1" applyFill="1" applyBorder="1" applyAlignment="1">
      <alignment horizontal="center" vertical="center"/>
    </xf>
    <xf numFmtId="178" fontId="92" fillId="6" borderId="13" xfId="4" applyNumberFormat="1" applyFont="1" applyFill="1" applyBorder="1" applyAlignment="1">
      <alignment horizontal="center" vertical="center"/>
    </xf>
    <xf numFmtId="3" fontId="92" fillId="6" borderId="16" xfId="2" applyNumberFormat="1" applyFont="1" applyFill="1" applyBorder="1" applyAlignment="1">
      <alignment horizontal="center" vertical="center"/>
    </xf>
    <xf numFmtId="182" fontId="92" fillId="6" borderId="174" xfId="10" applyNumberFormat="1" applyFont="1" applyFill="1" applyBorder="1" applyAlignment="1">
      <alignment horizontal="center" vertical="center"/>
    </xf>
    <xf numFmtId="182" fontId="92" fillId="6" borderId="238" xfId="10" applyNumberFormat="1" applyFont="1" applyFill="1" applyBorder="1" applyAlignment="1">
      <alignment horizontal="center" vertical="center"/>
    </xf>
    <xf numFmtId="3" fontId="92" fillId="6" borderId="68" xfId="2" applyNumberFormat="1" applyFont="1" applyFill="1" applyBorder="1" applyAlignment="1">
      <alignment horizontal="center" vertical="center" wrapText="1"/>
    </xf>
    <xf numFmtId="3" fontId="92" fillId="15" borderId="174" xfId="2" applyNumberFormat="1" applyFont="1" applyFill="1" applyBorder="1" applyAlignment="1">
      <alignment horizontal="center" vertical="center" wrapText="1"/>
    </xf>
    <xf numFmtId="3" fontId="92" fillId="0" borderId="175" xfId="2" applyNumberFormat="1" applyFont="1" applyBorder="1" applyAlignment="1">
      <alignment horizontal="center" vertical="center" wrapText="1"/>
    </xf>
    <xf numFmtId="3" fontId="92" fillId="6" borderId="67" xfId="2" applyNumberFormat="1" applyFont="1" applyFill="1" applyBorder="1" applyAlignment="1">
      <alignment horizontal="center" vertical="center"/>
    </xf>
    <xf numFmtId="0" fontId="7" fillId="0" borderId="0" xfId="33">
      <alignment vertical="center"/>
    </xf>
    <xf numFmtId="182" fontId="23" fillId="6" borderId="174" xfId="10" applyNumberFormat="1" applyFont="1" applyFill="1" applyBorder="1" applyAlignment="1">
      <alignment horizontal="center" vertical="center"/>
    </xf>
    <xf numFmtId="179" fontId="23" fillId="6" borderId="174" xfId="4" applyNumberFormat="1" applyFont="1" applyFill="1" applyBorder="1" applyAlignment="1">
      <alignment horizontal="center" vertical="center"/>
    </xf>
    <xf numFmtId="0" fontId="94" fillId="8" borderId="69" xfId="2" applyFont="1" applyFill="1" applyBorder="1" applyAlignment="1">
      <alignment horizontal="center" vertical="center" wrapText="1"/>
    </xf>
    <xf numFmtId="0" fontId="94" fillId="8" borderId="246" xfId="2" applyFont="1" applyFill="1" applyBorder="1" applyAlignment="1">
      <alignment horizontal="center" vertical="center"/>
    </xf>
    <xf numFmtId="0" fontId="91" fillId="6" borderId="17" xfId="2" applyFont="1" applyFill="1" applyBorder="1" applyAlignment="1">
      <alignment horizontal="center" vertical="center"/>
    </xf>
    <xf numFmtId="0" fontId="92" fillId="6" borderId="13" xfId="2" applyFont="1" applyFill="1" applyBorder="1" applyAlignment="1">
      <alignment horizontal="center" vertical="center"/>
    </xf>
    <xf numFmtId="0" fontId="91" fillId="6" borderId="95" xfId="2" applyFont="1" applyFill="1" applyBorder="1" applyAlignment="1">
      <alignment horizontal="center" vertical="center"/>
    </xf>
    <xf numFmtId="182" fontId="92" fillId="6" borderId="16" xfId="10" applyNumberFormat="1" applyFont="1" applyFill="1" applyBorder="1" applyAlignment="1">
      <alignment horizontal="center" vertical="center"/>
    </xf>
    <xf numFmtId="3" fontId="92" fillId="5" borderId="16" xfId="2" applyNumberFormat="1" applyFont="1" applyFill="1" applyBorder="1" applyAlignment="1">
      <alignment horizontal="center" vertical="center"/>
    </xf>
    <xf numFmtId="3" fontId="92" fillId="0" borderId="17" xfId="2" applyNumberFormat="1" applyFont="1" applyBorder="1" applyAlignment="1">
      <alignment horizontal="center" vertical="center" wrapText="1"/>
    </xf>
    <xf numFmtId="0" fontId="92" fillId="0" borderId="3" xfId="2" applyFont="1" applyBorder="1" applyAlignment="1">
      <alignment vertical="center" wrapText="1"/>
    </xf>
    <xf numFmtId="0" fontId="94" fillId="14" borderId="2" xfId="2" applyFont="1" applyFill="1" applyBorder="1" applyAlignment="1">
      <alignment horizontal="center" vertical="center"/>
    </xf>
    <xf numFmtId="0" fontId="94" fillId="14" borderId="1" xfId="2" applyFont="1" applyFill="1" applyBorder="1" applyAlignment="1">
      <alignment horizontal="center" vertical="center"/>
    </xf>
    <xf numFmtId="182" fontId="95" fillId="14" borderId="3" xfId="10" applyNumberFormat="1" applyFont="1" applyFill="1" applyBorder="1" applyAlignment="1">
      <alignment horizontal="center" vertical="center"/>
    </xf>
    <xf numFmtId="182" fontId="94" fillId="14" borderId="2" xfId="10" applyNumberFormat="1" applyFont="1" applyFill="1" applyBorder="1" applyAlignment="1">
      <alignment horizontal="center" vertical="center"/>
    </xf>
    <xf numFmtId="182" fontId="94" fillId="14" borderId="1" xfId="10" applyNumberFormat="1" applyFont="1" applyFill="1" applyBorder="1" applyAlignment="1">
      <alignment horizontal="center" vertical="center"/>
    </xf>
    <xf numFmtId="3" fontId="94" fillId="14" borderId="3" xfId="2" applyNumberFormat="1" applyFont="1" applyFill="1" applyBorder="1" applyAlignment="1">
      <alignment horizontal="center" vertical="center"/>
    </xf>
    <xf numFmtId="181" fontId="94" fillId="14" borderId="2" xfId="10" applyNumberFormat="1" applyFont="1" applyFill="1" applyBorder="1" applyAlignment="1">
      <alignment horizontal="center" vertical="center"/>
    </xf>
    <xf numFmtId="3" fontId="94" fillId="14" borderId="2" xfId="2" applyNumberFormat="1" applyFont="1" applyFill="1" applyBorder="1" applyAlignment="1">
      <alignment horizontal="center" vertical="center"/>
    </xf>
    <xf numFmtId="179" fontId="94" fillId="14" borderId="2" xfId="4" applyNumberFormat="1" applyFont="1" applyFill="1" applyBorder="1" applyAlignment="1">
      <alignment horizontal="center" vertical="center"/>
    </xf>
    <xf numFmtId="9" fontId="94" fillId="14" borderId="2" xfId="2" applyNumberFormat="1" applyFont="1" applyFill="1" applyBorder="1" applyAlignment="1">
      <alignment horizontal="center" vertical="center"/>
    </xf>
    <xf numFmtId="180" fontId="94" fillId="14" borderId="2" xfId="2" applyNumberFormat="1" applyFont="1" applyFill="1" applyBorder="1" applyAlignment="1">
      <alignment horizontal="center" vertical="center"/>
    </xf>
    <xf numFmtId="178" fontId="94" fillId="14" borderId="2" xfId="4" applyNumberFormat="1" applyFont="1" applyFill="1" applyBorder="1" applyAlignment="1">
      <alignment horizontal="center" vertical="center"/>
    </xf>
    <xf numFmtId="3" fontId="94" fillId="14" borderId="1" xfId="2" applyNumberFormat="1" applyFont="1" applyFill="1" applyBorder="1" applyAlignment="1">
      <alignment horizontal="center" vertical="center"/>
    </xf>
    <xf numFmtId="38" fontId="96" fillId="14" borderId="2" xfId="2" applyNumberFormat="1" applyFont="1" applyFill="1" applyBorder="1" applyAlignment="1">
      <alignment horizontal="center" vertical="center"/>
    </xf>
    <xf numFmtId="178" fontId="96" fillId="14" borderId="2" xfId="10" applyNumberFormat="1" applyFont="1" applyFill="1" applyBorder="1" applyAlignment="1">
      <alignment horizontal="center" vertical="center"/>
    </xf>
    <xf numFmtId="3" fontId="92" fillId="0" borderId="0" xfId="2" applyNumberFormat="1" applyFont="1">
      <alignment vertical="center"/>
    </xf>
    <xf numFmtId="0" fontId="92" fillId="6" borderId="16" xfId="2" applyFont="1" applyFill="1" applyBorder="1" applyAlignment="1">
      <alignment horizontal="center" vertical="center"/>
    </xf>
    <xf numFmtId="182" fontId="93" fillId="6" borderId="16" xfId="10" applyNumberFormat="1" applyFont="1" applyFill="1" applyBorder="1" applyAlignment="1">
      <alignment horizontal="center" vertical="center"/>
    </xf>
    <xf numFmtId="3" fontId="92" fillId="6" borderId="17" xfId="2" applyNumberFormat="1" applyFont="1" applyFill="1" applyBorder="1" applyAlignment="1">
      <alignment horizontal="center" vertical="center"/>
    </xf>
    <xf numFmtId="0" fontId="92" fillId="6" borderId="17" xfId="2" applyFont="1" applyFill="1" applyBorder="1" applyAlignment="1">
      <alignment horizontal="center" vertical="center"/>
    </xf>
    <xf numFmtId="0" fontId="92" fillId="0" borderId="17" xfId="2" applyFont="1" applyBorder="1" applyAlignment="1">
      <alignment vertical="center" wrapText="1"/>
    </xf>
    <xf numFmtId="0" fontId="94" fillId="14" borderId="13" xfId="2" applyFont="1" applyFill="1" applyBorder="1" applyAlignment="1">
      <alignment horizontal="center" vertical="center"/>
    </xf>
    <xf numFmtId="0" fontId="94" fillId="14" borderId="16" xfId="2" applyFont="1" applyFill="1" applyBorder="1" applyAlignment="1">
      <alignment horizontal="center" vertical="center"/>
    </xf>
    <xf numFmtId="182" fontId="95" fillId="14" borderId="17" xfId="10" applyNumberFormat="1" applyFont="1" applyFill="1" applyBorder="1" applyAlignment="1">
      <alignment horizontal="center" vertical="center"/>
    </xf>
    <xf numFmtId="182" fontId="94" fillId="14" borderId="13" xfId="10" applyNumberFormat="1" applyFont="1" applyFill="1" applyBorder="1" applyAlignment="1">
      <alignment horizontal="center" vertical="center"/>
    </xf>
    <xf numFmtId="182" fontId="94" fillId="14" borderId="16" xfId="10" applyNumberFormat="1" applyFont="1" applyFill="1" applyBorder="1" applyAlignment="1">
      <alignment horizontal="center" vertical="center"/>
    </xf>
    <xf numFmtId="3" fontId="94" fillId="14" borderId="17" xfId="2" applyNumberFormat="1" applyFont="1" applyFill="1" applyBorder="1" applyAlignment="1">
      <alignment horizontal="center" vertical="center"/>
    </xf>
    <xf numFmtId="181" fontId="94" fillId="14" borderId="13" xfId="10" applyNumberFormat="1" applyFont="1" applyFill="1" applyBorder="1" applyAlignment="1">
      <alignment horizontal="center" vertical="center"/>
    </xf>
    <xf numFmtId="3" fontId="94" fillId="14" borderId="13" xfId="2" applyNumberFormat="1" applyFont="1" applyFill="1" applyBorder="1" applyAlignment="1">
      <alignment horizontal="center" vertical="center"/>
    </xf>
    <xf numFmtId="179" fontId="94" fillId="14" borderId="13" xfId="4" applyNumberFormat="1" applyFont="1" applyFill="1" applyBorder="1" applyAlignment="1">
      <alignment horizontal="center" vertical="center"/>
    </xf>
    <xf numFmtId="9" fontId="94" fillId="14" borderId="13" xfId="2" applyNumberFormat="1" applyFont="1" applyFill="1" applyBorder="1" applyAlignment="1">
      <alignment horizontal="center" vertical="center"/>
    </xf>
    <xf numFmtId="180" fontId="94" fillId="14" borderId="13" xfId="2" applyNumberFormat="1" applyFont="1" applyFill="1" applyBorder="1" applyAlignment="1">
      <alignment horizontal="center" vertical="center"/>
    </xf>
    <xf numFmtId="178" fontId="94" fillId="14" borderId="13" xfId="4" applyNumberFormat="1" applyFont="1" applyFill="1" applyBorder="1" applyAlignment="1">
      <alignment horizontal="center" vertical="center"/>
    </xf>
    <xf numFmtId="3" fontId="94" fillId="14" borderId="16" xfId="2" applyNumberFormat="1" applyFont="1" applyFill="1" applyBorder="1" applyAlignment="1">
      <alignment horizontal="center" vertical="center"/>
    </xf>
    <xf numFmtId="38" fontId="96" fillId="14" borderId="13" xfId="2" applyNumberFormat="1" applyFont="1" applyFill="1" applyBorder="1" applyAlignment="1">
      <alignment horizontal="center" vertical="center"/>
    </xf>
    <xf numFmtId="178" fontId="96" fillId="14" borderId="13" xfId="10" applyNumberFormat="1" applyFont="1" applyFill="1" applyBorder="1" applyAlignment="1">
      <alignment horizontal="center" vertical="center"/>
    </xf>
    <xf numFmtId="0" fontId="94" fillId="6" borderId="3" xfId="2" applyFont="1" applyFill="1" applyBorder="1" applyAlignment="1">
      <alignment horizontal="center" vertical="center"/>
    </xf>
    <xf numFmtId="3" fontId="94" fillId="14" borderId="2" xfId="2" applyNumberFormat="1" applyFont="1" applyFill="1" applyBorder="1" applyAlignment="1">
      <alignment horizontal="center" vertical="center" wrapText="1"/>
    </xf>
    <xf numFmtId="179" fontId="94" fillId="14" borderId="2" xfId="45" applyNumberFormat="1" applyFont="1" applyFill="1" applyBorder="1" applyAlignment="1">
      <alignment horizontal="center" vertical="center"/>
    </xf>
    <xf numFmtId="9" fontId="94" fillId="14" borderId="2" xfId="46" applyFont="1" applyFill="1" applyBorder="1" applyAlignment="1">
      <alignment horizontal="center" vertical="center"/>
    </xf>
    <xf numFmtId="3" fontId="94" fillId="14" borderId="3" xfId="2" applyNumberFormat="1" applyFont="1" applyFill="1" applyBorder="1" applyAlignment="1">
      <alignment horizontal="center" vertical="center" wrapText="1"/>
    </xf>
    <xf numFmtId="38" fontId="94" fillId="14" borderId="2" xfId="2" applyNumberFormat="1" applyFont="1" applyFill="1" applyBorder="1" applyAlignment="1">
      <alignment horizontal="center" vertical="center"/>
    </xf>
    <xf numFmtId="178" fontId="94" fillId="14" borderId="2" xfId="10" applyNumberFormat="1" applyFont="1" applyFill="1" applyBorder="1" applyAlignment="1">
      <alignment horizontal="center" vertical="center"/>
    </xf>
    <xf numFmtId="0" fontId="97" fillId="18" borderId="0" xfId="2" applyFont="1" applyFill="1" applyAlignment="1">
      <alignment horizontal="left" vertical="center" wrapText="1"/>
    </xf>
    <xf numFmtId="0" fontId="97" fillId="0" borderId="0" xfId="2" applyFont="1" applyAlignment="1">
      <alignment horizontal="left" vertical="center" wrapText="1"/>
    </xf>
    <xf numFmtId="0" fontId="98" fillId="6" borderId="0" xfId="2" applyFont="1" applyFill="1" applyAlignment="1">
      <alignment horizontal="left" vertical="center"/>
    </xf>
    <xf numFmtId="0" fontId="99" fillId="8" borderId="72" xfId="2" applyFont="1" applyFill="1" applyBorder="1" applyAlignment="1">
      <alignment horizontal="center" vertical="center" wrapText="1"/>
    </xf>
    <xf numFmtId="0" fontId="99" fillId="8" borderId="71" xfId="2" applyFont="1" applyFill="1" applyBorder="1" applyAlignment="1">
      <alignment horizontal="center" vertical="center" wrapText="1"/>
    </xf>
    <xf numFmtId="0" fontId="99" fillId="8" borderId="69" xfId="2" applyFont="1" applyFill="1" applyBorder="1" applyAlignment="1">
      <alignment horizontal="center" vertical="center" wrapText="1"/>
    </xf>
    <xf numFmtId="0" fontId="101" fillId="8" borderId="259" xfId="2" applyFont="1" applyFill="1" applyBorder="1" applyAlignment="1">
      <alignment horizontal="center" vertical="center"/>
    </xf>
    <xf numFmtId="0" fontId="101" fillId="8" borderId="27" xfId="2" applyFont="1" applyFill="1" applyBorder="1" applyAlignment="1">
      <alignment horizontal="center" vertical="center" wrapText="1"/>
    </xf>
    <xf numFmtId="0" fontId="99" fillId="8" borderId="27" xfId="2" applyFont="1" applyFill="1" applyBorder="1" applyAlignment="1">
      <alignment horizontal="center" vertical="center" wrapText="1"/>
    </xf>
    <xf numFmtId="0" fontId="101" fillId="8" borderId="27" xfId="2" applyFont="1" applyFill="1" applyBorder="1" applyAlignment="1">
      <alignment horizontal="center" vertical="center"/>
    </xf>
    <xf numFmtId="0" fontId="99" fillId="8" borderId="172" xfId="2" applyFont="1" applyFill="1" applyBorder="1" applyAlignment="1">
      <alignment horizontal="center" vertical="center" wrapText="1"/>
    </xf>
    <xf numFmtId="0" fontId="99" fillId="8" borderId="246" xfId="2" applyFont="1" applyFill="1" applyBorder="1" applyAlignment="1">
      <alignment horizontal="center" vertical="center"/>
    </xf>
    <xf numFmtId="0" fontId="99" fillId="8" borderId="29" xfId="2" applyFont="1" applyFill="1" applyBorder="1" applyAlignment="1">
      <alignment horizontal="center" vertical="center" wrapText="1"/>
    </xf>
    <xf numFmtId="0" fontId="99" fillId="8" borderId="29" xfId="2" applyFont="1" applyFill="1" applyBorder="1" applyAlignment="1">
      <alignment horizontal="center" vertical="center"/>
    </xf>
    <xf numFmtId="0" fontId="99" fillId="8" borderId="250" xfId="2" applyFont="1" applyFill="1" applyBorder="1" applyAlignment="1">
      <alignment horizontal="center" vertical="center"/>
    </xf>
    <xf numFmtId="0" fontId="102" fillId="6" borderId="17" xfId="2" applyFont="1" applyFill="1" applyBorder="1" applyAlignment="1">
      <alignment horizontal="center" vertical="center"/>
    </xf>
    <xf numFmtId="0" fontId="102" fillId="6" borderId="13" xfId="2" applyFont="1" applyFill="1" applyBorder="1" applyAlignment="1">
      <alignment horizontal="center" vertical="center"/>
    </xf>
    <xf numFmtId="182" fontId="103" fillId="6" borderId="17" xfId="10" applyNumberFormat="1" applyFont="1" applyFill="1" applyBorder="1" applyAlignment="1">
      <alignment horizontal="center" vertical="center"/>
    </xf>
    <xf numFmtId="182" fontId="102" fillId="6" borderId="13" xfId="10" applyNumberFormat="1" applyFont="1" applyFill="1" applyBorder="1" applyAlignment="1">
      <alignment horizontal="center" vertical="center"/>
    </xf>
    <xf numFmtId="182" fontId="102" fillId="6" borderId="16" xfId="10" applyNumberFormat="1" applyFont="1" applyFill="1" applyBorder="1" applyAlignment="1">
      <alignment horizontal="center" vertical="center"/>
    </xf>
    <xf numFmtId="3" fontId="102" fillId="6" borderId="17" xfId="2" applyNumberFormat="1" applyFont="1" applyFill="1" applyBorder="1" applyAlignment="1">
      <alignment horizontal="center" vertical="center"/>
    </xf>
    <xf numFmtId="181" fontId="102" fillId="6" borderId="13" xfId="10" applyNumberFormat="1" applyFont="1" applyFill="1" applyBorder="1" applyAlignment="1">
      <alignment horizontal="center" vertical="center"/>
    </xf>
    <xf numFmtId="3" fontId="102" fillId="15" borderId="13" xfId="2" applyNumberFormat="1" applyFont="1" applyFill="1" applyBorder="1" applyAlignment="1">
      <alignment horizontal="center" vertical="center" wrapText="1"/>
    </xf>
    <xf numFmtId="179" fontId="102" fillId="6" borderId="13" xfId="4" applyNumberFormat="1" applyFont="1" applyFill="1" applyBorder="1" applyAlignment="1">
      <alignment horizontal="center" vertical="center"/>
    </xf>
    <xf numFmtId="179" fontId="102" fillId="6" borderId="13" xfId="45" applyNumberFormat="1" applyFont="1" applyFill="1" applyBorder="1" applyAlignment="1">
      <alignment horizontal="center" vertical="center"/>
    </xf>
    <xf numFmtId="3" fontId="102" fillId="6" borderId="13" xfId="2" applyNumberFormat="1" applyFont="1" applyFill="1" applyBorder="1" applyAlignment="1">
      <alignment horizontal="center" vertical="center"/>
    </xf>
    <xf numFmtId="3" fontId="102" fillId="15" borderId="13" xfId="2" applyNumberFormat="1" applyFont="1" applyFill="1" applyBorder="1" applyAlignment="1">
      <alignment horizontal="center" vertical="center"/>
    </xf>
    <xf numFmtId="9" fontId="102" fillId="15" borderId="13" xfId="46" applyFont="1" applyFill="1" applyBorder="1" applyAlignment="1">
      <alignment horizontal="center" vertical="center"/>
    </xf>
    <xf numFmtId="180" fontId="102" fillId="6" borderId="13" xfId="2" applyNumberFormat="1" applyFont="1" applyFill="1" applyBorder="1" applyAlignment="1">
      <alignment horizontal="center" vertical="center"/>
    </xf>
    <xf numFmtId="178" fontId="102" fillId="6" borderId="13" xfId="4" applyNumberFormat="1" applyFont="1" applyFill="1" applyBorder="1" applyAlignment="1">
      <alignment horizontal="center" vertical="center"/>
    </xf>
    <xf numFmtId="3" fontId="102" fillId="0" borderId="17" xfId="2" applyNumberFormat="1" applyFont="1" applyBorder="1" applyAlignment="1">
      <alignment horizontal="center" vertical="center" wrapText="1"/>
    </xf>
    <xf numFmtId="38" fontId="102" fillId="6" borderId="13" xfId="2" applyNumberFormat="1" applyFont="1" applyFill="1" applyBorder="1" applyAlignment="1">
      <alignment horizontal="center" vertical="center"/>
    </xf>
    <xf numFmtId="38" fontId="102" fillId="15" borderId="13" xfId="2" applyNumberFormat="1" applyFont="1" applyFill="1" applyBorder="1" applyAlignment="1">
      <alignment horizontal="center" vertical="center"/>
    </xf>
    <xf numFmtId="178" fontId="102" fillId="6" borderId="13" xfId="10" applyNumberFormat="1" applyFont="1" applyFill="1" applyBorder="1" applyAlignment="1">
      <alignment horizontal="center" vertical="center"/>
    </xf>
    <xf numFmtId="3" fontId="102" fillId="6" borderId="16" xfId="2" applyNumberFormat="1" applyFont="1" applyFill="1" applyBorder="1" applyAlignment="1">
      <alignment horizontal="center" vertical="center"/>
    </xf>
    <xf numFmtId="0" fontId="102" fillId="0" borderId="7" xfId="2" applyFont="1" applyBorder="1" applyAlignment="1">
      <alignment vertical="center" wrapText="1"/>
    </xf>
    <xf numFmtId="0" fontId="99" fillId="14" borderId="5" xfId="2" applyFont="1" applyFill="1" applyBorder="1" applyAlignment="1">
      <alignment horizontal="center" vertical="center"/>
    </xf>
    <xf numFmtId="182" fontId="104" fillId="14" borderId="7" xfId="10" applyNumberFormat="1" applyFont="1" applyFill="1" applyBorder="1" applyAlignment="1">
      <alignment horizontal="center" vertical="center"/>
    </xf>
    <xf numFmtId="182" fontId="99" fillId="14" borderId="5" xfId="10" applyNumberFormat="1" applyFont="1" applyFill="1" applyBorder="1" applyAlignment="1">
      <alignment horizontal="center" vertical="center"/>
    </xf>
    <xf numFmtId="182" fontId="99" fillId="14" borderId="6" xfId="10" applyNumberFormat="1" applyFont="1" applyFill="1" applyBorder="1" applyAlignment="1">
      <alignment horizontal="center" vertical="center"/>
    </xf>
    <xf numFmtId="3" fontId="99" fillId="14" borderId="3" xfId="2" applyNumberFormat="1" applyFont="1" applyFill="1" applyBorder="1" applyAlignment="1">
      <alignment horizontal="center" vertical="center"/>
    </xf>
    <xf numFmtId="181" fontId="99" fillId="14" borderId="2" xfId="10" applyNumberFormat="1" applyFont="1" applyFill="1" applyBorder="1" applyAlignment="1">
      <alignment horizontal="center" vertical="center"/>
    </xf>
    <xf numFmtId="3" fontId="99" fillId="14" borderId="2" xfId="2" applyNumberFormat="1" applyFont="1" applyFill="1" applyBorder="1" applyAlignment="1">
      <alignment horizontal="center" vertical="center"/>
    </xf>
    <xf numFmtId="179" fontId="99" fillId="14" borderId="2" xfId="4" applyNumberFormat="1" applyFont="1" applyFill="1" applyBorder="1" applyAlignment="1">
      <alignment horizontal="center" vertical="center"/>
    </xf>
    <xf numFmtId="9" fontId="99" fillId="14" borderId="2" xfId="46" applyFont="1" applyFill="1" applyBorder="1" applyAlignment="1">
      <alignment horizontal="center" vertical="center"/>
    </xf>
    <xf numFmtId="180" fontId="99" fillId="14" borderId="2" xfId="2" applyNumberFormat="1" applyFont="1" applyFill="1" applyBorder="1" applyAlignment="1">
      <alignment horizontal="center" vertical="center"/>
    </xf>
    <xf numFmtId="178" fontId="99" fillId="14" borderId="2" xfId="4" applyNumberFormat="1" applyFont="1" applyFill="1" applyBorder="1" applyAlignment="1">
      <alignment horizontal="center" vertical="center"/>
    </xf>
    <xf numFmtId="3" fontId="99" fillId="14" borderId="1" xfId="2" applyNumberFormat="1" applyFont="1" applyFill="1" applyBorder="1" applyAlignment="1">
      <alignment horizontal="center" vertical="center"/>
    </xf>
    <xf numFmtId="38" fontId="101" fillId="14" borderId="2" xfId="2" applyNumberFormat="1" applyFont="1" applyFill="1" applyBorder="1" applyAlignment="1">
      <alignment horizontal="center" vertical="center"/>
    </xf>
    <xf numFmtId="178" fontId="101" fillId="14" borderId="2" xfId="10" applyNumberFormat="1" applyFont="1" applyFill="1" applyBorder="1" applyAlignment="1">
      <alignment horizontal="center" vertical="center"/>
    </xf>
    <xf numFmtId="0" fontId="23" fillId="6" borderId="157" xfId="2" applyFont="1" applyFill="1" applyBorder="1" applyAlignment="1">
      <alignment horizontal="center" vertical="center"/>
    </xf>
    <xf numFmtId="0" fontId="24" fillId="14" borderId="163" xfId="11" applyFont="1" applyFill="1" applyBorder="1" applyAlignment="1">
      <alignment horizontal="center" vertical="center"/>
    </xf>
    <xf numFmtId="0" fontId="23" fillId="6" borderId="238" xfId="2" applyFont="1" applyFill="1" applyBorder="1" applyAlignment="1">
      <alignment horizontal="center" vertical="center"/>
    </xf>
    <xf numFmtId="3" fontId="23" fillId="5" borderId="78" xfId="2" applyNumberFormat="1" applyFont="1" applyFill="1" applyBorder="1" applyAlignment="1">
      <alignment horizontal="center" vertical="center"/>
    </xf>
    <xf numFmtId="0" fontId="12" fillId="0" borderId="0" xfId="49" applyFont="1" applyAlignment="1">
      <alignment horizontal="left" vertical="center"/>
    </xf>
    <xf numFmtId="38" fontId="11" fillId="0" borderId="260" xfId="9" applyNumberFormat="1" applyFont="1" applyBorder="1" applyAlignment="1">
      <alignment horizontal="center" vertical="center"/>
    </xf>
    <xf numFmtId="181" fontId="12" fillId="3" borderId="261" xfId="3" applyNumberFormat="1" applyFont="1" applyFill="1" applyBorder="1" applyAlignment="1">
      <alignment horizontal="center" vertical="center"/>
    </xf>
    <xf numFmtId="179" fontId="12" fillId="3" borderId="262" xfId="4" applyNumberFormat="1" applyFont="1" applyFill="1" applyBorder="1" applyAlignment="1">
      <alignment horizontal="center" vertical="center"/>
    </xf>
    <xf numFmtId="179" fontId="12" fillId="3" borderId="261" xfId="4" applyNumberFormat="1" applyFont="1" applyFill="1" applyBorder="1" applyAlignment="1">
      <alignment horizontal="center" vertical="center"/>
    </xf>
    <xf numFmtId="3" fontId="12" fillId="12" borderId="91" xfId="2" applyNumberFormat="1" applyFont="1" applyFill="1" applyBorder="1" applyAlignment="1">
      <alignment horizontal="center" vertical="center"/>
    </xf>
    <xf numFmtId="182" fontId="10" fillId="10" borderId="263" xfId="3" applyNumberFormat="1" applyFont="1" applyFill="1" applyBorder="1" applyAlignment="1">
      <alignment horizontal="center" vertical="center"/>
    </xf>
    <xf numFmtId="0" fontId="42" fillId="6" borderId="0" xfId="50" applyFont="1" applyFill="1" applyAlignment="1">
      <alignment horizontal="left" vertical="center"/>
    </xf>
    <xf numFmtId="3" fontId="13" fillId="0" borderId="0" xfId="11" applyNumberFormat="1" applyFont="1">
      <alignment vertical="center"/>
    </xf>
    <xf numFmtId="0" fontId="105" fillId="0" borderId="0" xfId="0" applyFont="1"/>
    <xf numFmtId="0" fontId="23" fillId="6" borderId="95" xfId="2" applyFont="1" applyFill="1" applyBorder="1" applyAlignment="1">
      <alignment horizontal="center" vertical="center"/>
    </xf>
    <xf numFmtId="3" fontId="23" fillId="0" borderId="13" xfId="2" applyNumberFormat="1" applyFont="1" applyBorder="1" applyAlignment="1">
      <alignment horizontal="center" vertical="center"/>
    </xf>
    <xf numFmtId="179" fontId="23" fillId="15" borderId="13" xfId="1" applyNumberFormat="1" applyFont="1" applyFill="1" applyBorder="1" applyAlignment="1">
      <alignment horizontal="center" vertical="center"/>
    </xf>
    <xf numFmtId="0" fontId="24" fillId="14" borderId="95" xfId="2" applyFont="1" applyFill="1" applyBorder="1" applyAlignment="1">
      <alignment horizontal="center" vertical="center"/>
    </xf>
    <xf numFmtId="3" fontId="24" fillId="14" borderId="13" xfId="2" applyNumberFormat="1" applyFont="1" applyFill="1" applyBorder="1" applyAlignment="1">
      <alignment horizontal="center" vertical="center" wrapText="1"/>
    </xf>
    <xf numFmtId="179" fontId="24" fillId="14" borderId="13" xfId="27" applyNumberFormat="1" applyFont="1" applyFill="1" applyBorder="1" applyAlignment="1">
      <alignment horizontal="center" vertical="center"/>
    </xf>
    <xf numFmtId="179" fontId="24" fillId="14" borderId="13" xfId="1" applyNumberFormat="1" applyFont="1" applyFill="1" applyBorder="1" applyAlignment="1">
      <alignment horizontal="center" vertical="center"/>
    </xf>
    <xf numFmtId="3" fontId="24" fillId="14" borderId="17" xfId="2" applyNumberFormat="1" applyFont="1" applyFill="1" applyBorder="1" applyAlignment="1">
      <alignment horizontal="center" vertical="center" wrapText="1"/>
    </xf>
    <xf numFmtId="38" fontId="24" fillId="14" borderId="13" xfId="2" applyNumberFormat="1" applyFont="1" applyFill="1" applyBorder="1" applyAlignment="1">
      <alignment horizontal="center" vertical="center"/>
    </xf>
    <xf numFmtId="178" fontId="24" fillId="14" borderId="13" xfId="10" applyNumberFormat="1" applyFont="1" applyFill="1" applyBorder="1" applyAlignment="1">
      <alignment horizontal="center" vertical="center"/>
    </xf>
    <xf numFmtId="0" fontId="24" fillId="14" borderId="235" xfId="2" applyFont="1" applyFill="1" applyBorder="1" applyAlignment="1">
      <alignment horizontal="center" vertical="center"/>
    </xf>
    <xf numFmtId="182" fontId="10" fillId="14" borderId="7" xfId="10" applyNumberFormat="1" applyFont="1" applyFill="1" applyBorder="1" applyAlignment="1">
      <alignment horizontal="center" vertical="center"/>
    </xf>
    <xf numFmtId="182" fontId="24" fillId="14" borderId="5" xfId="10" applyNumberFormat="1" applyFont="1" applyFill="1" applyBorder="1" applyAlignment="1">
      <alignment horizontal="center" vertical="center"/>
    </xf>
    <xf numFmtId="182" fontId="24" fillId="14" borderId="6" xfId="10" applyNumberFormat="1" applyFont="1" applyFill="1" applyBorder="1" applyAlignment="1">
      <alignment horizontal="center" vertical="center"/>
    </xf>
    <xf numFmtId="3" fontId="24" fillId="14" borderId="7" xfId="2" applyNumberFormat="1" applyFont="1" applyFill="1" applyBorder="1" applyAlignment="1">
      <alignment horizontal="center" vertical="center"/>
    </xf>
    <xf numFmtId="181" fontId="24" fillId="14" borderId="5" xfId="10" applyNumberFormat="1" applyFont="1" applyFill="1" applyBorder="1" applyAlignment="1">
      <alignment horizontal="center" vertical="center"/>
    </xf>
    <xf numFmtId="3" fontId="24" fillId="14" borderId="5" xfId="2" applyNumberFormat="1" applyFont="1" applyFill="1" applyBorder="1" applyAlignment="1">
      <alignment horizontal="center" vertical="center" wrapText="1"/>
    </xf>
    <xf numFmtId="179" fontId="24" fillId="14" borderId="5" xfId="4" applyNumberFormat="1" applyFont="1" applyFill="1" applyBorder="1" applyAlignment="1">
      <alignment horizontal="center" vertical="center"/>
    </xf>
    <xf numFmtId="179" fontId="24" fillId="14" borderId="5" xfId="27" applyNumberFormat="1" applyFont="1" applyFill="1" applyBorder="1" applyAlignment="1">
      <alignment horizontal="center" vertical="center"/>
    </xf>
    <xf numFmtId="179" fontId="24" fillId="14" borderId="5" xfId="1" applyNumberFormat="1" applyFont="1" applyFill="1" applyBorder="1" applyAlignment="1">
      <alignment horizontal="center" vertical="center"/>
    </xf>
    <xf numFmtId="178" fontId="24" fillId="14" borderId="5" xfId="4" applyNumberFormat="1" applyFont="1" applyFill="1" applyBorder="1" applyAlignment="1">
      <alignment horizontal="center" vertical="center"/>
    </xf>
    <xf numFmtId="3" fontId="24" fillId="14" borderId="7" xfId="2" applyNumberFormat="1" applyFont="1" applyFill="1" applyBorder="1" applyAlignment="1">
      <alignment horizontal="center" vertical="center" wrapText="1"/>
    </xf>
    <xf numFmtId="38" fontId="24" fillId="14" borderId="5" xfId="2" applyNumberFormat="1" applyFont="1" applyFill="1" applyBorder="1" applyAlignment="1">
      <alignment horizontal="center" vertical="center"/>
    </xf>
    <xf numFmtId="178" fontId="24" fillId="14" borderId="5" xfId="10" applyNumberFormat="1" applyFont="1" applyFill="1" applyBorder="1" applyAlignment="1">
      <alignment horizontal="center" vertical="center"/>
    </xf>
    <xf numFmtId="3" fontId="24" fillId="14" borderId="6" xfId="2" applyNumberFormat="1" applyFont="1" applyFill="1" applyBorder="1" applyAlignment="1">
      <alignment horizontal="center" vertical="center"/>
    </xf>
    <xf numFmtId="9" fontId="23" fillId="6" borderId="103" xfId="1" applyFont="1" applyFill="1" applyBorder="1" applyAlignment="1">
      <alignment horizontal="center" vertical="center"/>
    </xf>
    <xf numFmtId="0" fontId="107" fillId="0" borderId="0" xfId="51" applyFont="1">
      <alignment vertical="center"/>
    </xf>
    <xf numFmtId="179" fontId="13" fillId="0" borderId="0" xfId="1" applyNumberFormat="1" applyFont="1">
      <alignment vertical="center"/>
    </xf>
    <xf numFmtId="2" fontId="23" fillId="6" borderId="13" xfId="10" applyNumberFormat="1" applyFont="1" applyFill="1" applyBorder="1" applyAlignment="1">
      <alignment horizontal="center" vertical="center"/>
    </xf>
    <xf numFmtId="0" fontId="24" fillId="14" borderId="6" xfId="2" applyFont="1" applyFill="1" applyBorder="1" applyAlignment="1">
      <alignment horizontal="center" vertical="center"/>
    </xf>
    <xf numFmtId="0" fontId="22" fillId="0" borderId="0" xfId="13" applyFont="1" applyAlignment="1">
      <alignment horizontal="left" vertical="center"/>
    </xf>
    <xf numFmtId="0" fontId="23" fillId="6" borderId="268" xfId="2" applyFont="1" applyFill="1" applyBorder="1" applyAlignment="1">
      <alignment horizontal="center" vertical="center"/>
    </xf>
    <xf numFmtId="0" fontId="25" fillId="0" borderId="0" xfId="52" applyFont="1">
      <alignment vertical="center"/>
    </xf>
    <xf numFmtId="3" fontId="17" fillId="6" borderId="0" xfId="32" applyNumberFormat="1" applyFont="1" applyFill="1" applyAlignment="1"/>
    <xf numFmtId="0" fontId="24" fillId="8" borderId="231" xfId="2" applyFont="1" applyFill="1" applyBorder="1" applyAlignment="1">
      <alignment horizontal="center" vertical="center"/>
    </xf>
    <xf numFmtId="0" fontId="24" fillId="8" borderId="232" xfId="2" applyFont="1" applyFill="1" applyBorder="1" applyAlignment="1">
      <alignment horizontal="center" vertical="center" wrapText="1"/>
    </xf>
    <xf numFmtId="0" fontId="24" fillId="8" borderId="232" xfId="2" applyFont="1" applyFill="1" applyBorder="1" applyAlignment="1">
      <alignment horizontal="center" vertical="center"/>
    </xf>
    <xf numFmtId="0" fontId="24" fillId="8" borderId="233" xfId="2" applyFont="1" applyFill="1" applyBorder="1" applyAlignment="1">
      <alignment horizontal="center" vertical="center"/>
    </xf>
    <xf numFmtId="179" fontId="24" fillId="14" borderId="2" xfId="1" applyNumberFormat="1" applyFont="1" applyFill="1" applyBorder="1" applyAlignment="1">
      <alignment horizontal="center" vertical="center"/>
    </xf>
    <xf numFmtId="3" fontId="24" fillId="14" borderId="269" xfId="2" applyNumberFormat="1" applyFont="1" applyFill="1" applyBorder="1" applyAlignment="1">
      <alignment horizontal="center" vertical="center"/>
    </xf>
    <xf numFmtId="0" fontId="47" fillId="6" borderId="0" xfId="2" applyFont="1" applyFill="1" applyAlignment="1">
      <alignment horizontal="center" vertical="center"/>
    </xf>
    <xf numFmtId="3" fontId="24" fillId="14" borderId="78" xfId="2" applyNumberFormat="1" applyFont="1" applyFill="1" applyBorder="1" applyAlignment="1">
      <alignment horizontal="center" vertical="center"/>
    </xf>
    <xf numFmtId="3" fontId="24" fillId="14" borderId="239" xfId="2" applyNumberFormat="1" applyFont="1" applyFill="1" applyBorder="1" applyAlignment="1">
      <alignment horizontal="center" vertical="center"/>
    </xf>
    <xf numFmtId="0" fontId="8" fillId="8" borderId="28" xfId="5" applyFont="1" applyFill="1" applyBorder="1" applyAlignment="1">
      <alignment horizontal="center" vertical="center" wrapText="1"/>
    </xf>
    <xf numFmtId="0" fontId="8" fillId="8" borderId="27" xfId="5" applyFont="1" applyFill="1" applyBorder="1" applyAlignment="1">
      <alignment horizontal="center" vertical="center" wrapText="1"/>
    </xf>
    <xf numFmtId="0" fontId="8" fillId="8" borderId="172" xfId="5" applyFont="1" applyFill="1" applyBorder="1" applyAlignment="1">
      <alignment horizontal="center" vertical="center" wrapText="1"/>
    </xf>
    <xf numFmtId="0" fontId="9" fillId="8" borderId="24" xfId="5" applyFont="1" applyFill="1" applyBorder="1" applyAlignment="1">
      <alignment horizontal="center" vertical="center"/>
    </xf>
    <xf numFmtId="0" fontId="9" fillId="8" borderId="24" xfId="5" applyFont="1" applyFill="1" applyBorder="1" applyAlignment="1">
      <alignment horizontal="center" vertical="center" wrapText="1"/>
    </xf>
    <xf numFmtId="0" fontId="8" fillId="8" borderId="24" xfId="5" applyFont="1" applyFill="1" applyBorder="1" applyAlignment="1">
      <alignment horizontal="center" vertical="center" wrapText="1"/>
    </xf>
    <xf numFmtId="0" fontId="8" fillId="8" borderId="167" xfId="5" applyFont="1" applyFill="1" applyBorder="1" applyAlignment="1">
      <alignment horizontal="center" vertical="center" wrapText="1"/>
    </xf>
    <xf numFmtId="0" fontId="8" fillId="8" borderId="25" xfId="5" applyFont="1" applyFill="1" applyBorder="1" applyAlignment="1">
      <alignment horizontal="center" vertical="center"/>
    </xf>
    <xf numFmtId="0" fontId="8" fillId="8" borderId="24" xfId="5" applyFont="1" applyFill="1" applyBorder="1" applyAlignment="1">
      <alignment horizontal="center" vertical="center"/>
    </xf>
    <xf numFmtId="0" fontId="8" fillId="8" borderId="23" xfId="5" applyFont="1" applyFill="1" applyBorder="1" applyAlignment="1">
      <alignment horizontal="center" vertical="center"/>
    </xf>
    <xf numFmtId="0" fontId="13" fillId="6" borderId="12" xfId="5" applyFont="1" applyFill="1" applyBorder="1" applyAlignment="1">
      <alignment horizontal="center" vertical="center"/>
    </xf>
    <xf numFmtId="182" fontId="11" fillId="6" borderId="15" xfId="54" applyNumberFormat="1" applyFont="1" applyFill="1" applyBorder="1" applyAlignment="1">
      <alignment horizontal="center" vertical="center"/>
    </xf>
    <xf numFmtId="182" fontId="13" fillId="6" borderId="12" xfId="54" applyNumberFormat="1" applyFont="1" applyFill="1" applyBorder="1" applyAlignment="1">
      <alignment horizontal="center" vertical="center"/>
    </xf>
    <xf numFmtId="182" fontId="13" fillId="6" borderId="272" xfId="54" applyNumberFormat="1" applyFont="1" applyFill="1" applyBorder="1" applyAlignment="1">
      <alignment horizontal="center" vertical="center"/>
    </xf>
    <xf numFmtId="3" fontId="13" fillId="6" borderId="252" xfId="5" applyNumberFormat="1" applyFont="1" applyFill="1" applyBorder="1" applyAlignment="1">
      <alignment horizontal="center" vertical="center"/>
    </xf>
    <xf numFmtId="181" fontId="13" fillId="6" borderId="12" xfId="54" applyNumberFormat="1" applyFont="1" applyFill="1" applyBorder="1" applyAlignment="1">
      <alignment horizontal="center" vertical="center"/>
    </xf>
    <xf numFmtId="3" fontId="13" fillId="7" borderId="12" xfId="5" applyNumberFormat="1" applyFont="1" applyFill="1" applyBorder="1" applyAlignment="1">
      <alignment horizontal="center" vertical="center"/>
    </xf>
    <xf numFmtId="179" fontId="13" fillId="6" borderId="12" xfId="55" applyNumberFormat="1" applyFont="1" applyFill="1" applyBorder="1" applyAlignment="1">
      <alignment horizontal="center" vertical="center"/>
    </xf>
    <xf numFmtId="3" fontId="13" fillId="6" borderId="12" xfId="5" applyNumberFormat="1" applyFont="1" applyFill="1" applyBorder="1" applyAlignment="1">
      <alignment horizontal="center" vertical="center"/>
    </xf>
    <xf numFmtId="179" fontId="13" fillId="7" borderId="12" xfId="55" applyNumberFormat="1" applyFont="1" applyFill="1" applyBorder="1" applyAlignment="1">
      <alignment horizontal="center" vertical="center"/>
    </xf>
    <xf numFmtId="180" fontId="13" fillId="6" borderId="12" xfId="5" applyNumberFormat="1" applyFont="1" applyFill="1" applyBorder="1" applyAlignment="1">
      <alignment horizontal="center" vertical="center"/>
    </xf>
    <xf numFmtId="180" fontId="13" fillId="7" borderId="12" xfId="5" applyNumberFormat="1" applyFont="1" applyFill="1" applyBorder="1" applyAlignment="1">
      <alignment horizontal="center" vertical="center"/>
    </xf>
    <xf numFmtId="178" fontId="13" fillId="6" borderId="12" xfId="55" applyNumberFormat="1" applyFont="1" applyFill="1" applyBorder="1" applyAlignment="1">
      <alignment horizontal="center" vertical="center"/>
    </xf>
    <xf numFmtId="3" fontId="13" fillId="0" borderId="17" xfId="5" applyNumberFormat="1" applyFont="1" applyBorder="1" applyAlignment="1">
      <alignment horizontal="center" vertical="center"/>
    </xf>
    <xf numFmtId="3" fontId="13" fillId="7" borderId="13" xfId="5" applyNumberFormat="1" applyFont="1" applyFill="1" applyBorder="1" applyAlignment="1">
      <alignment horizontal="center" vertical="center"/>
    </xf>
    <xf numFmtId="179" fontId="13" fillId="6" borderId="13" xfId="55" applyNumberFormat="1" applyFont="1" applyFill="1" applyBorder="1" applyAlignment="1">
      <alignment horizontal="center" vertical="center"/>
    </xf>
    <xf numFmtId="38" fontId="13" fillId="6" borderId="13" xfId="5" applyNumberFormat="1" applyFont="1" applyFill="1" applyBorder="1" applyAlignment="1">
      <alignment horizontal="center" vertical="center"/>
    </xf>
    <xf numFmtId="38" fontId="13" fillId="7" borderId="13" xfId="5" applyNumberFormat="1" applyFont="1" applyFill="1" applyBorder="1" applyAlignment="1">
      <alignment horizontal="center" vertical="center"/>
    </xf>
    <xf numFmtId="3" fontId="13" fillId="6" borderId="13" xfId="5" applyNumberFormat="1" applyFont="1" applyFill="1" applyBorder="1" applyAlignment="1">
      <alignment horizontal="center" vertical="center"/>
    </xf>
    <xf numFmtId="2" fontId="13" fillId="6" borderId="13" xfId="54" applyNumberFormat="1" applyFont="1" applyFill="1" applyBorder="1" applyAlignment="1">
      <alignment horizontal="center" vertical="center"/>
    </xf>
    <xf numFmtId="3" fontId="13" fillId="0" borderId="17" xfId="5" applyNumberFormat="1" applyFont="1" applyBorder="1" applyAlignment="1">
      <alignment horizontal="center" vertical="center" wrapText="1"/>
    </xf>
    <xf numFmtId="182" fontId="13" fillId="6" borderId="13" xfId="54" applyNumberFormat="1" applyFont="1" applyFill="1" applyBorder="1" applyAlignment="1">
      <alignment horizontal="center" vertical="center"/>
    </xf>
    <xf numFmtId="3" fontId="13" fillId="6" borderId="256" xfId="5" applyNumberFormat="1" applyFont="1" applyFill="1" applyBorder="1" applyAlignment="1">
      <alignment horizontal="center" vertical="center"/>
    </xf>
    <xf numFmtId="181" fontId="13" fillId="6" borderId="13" xfId="54" applyNumberFormat="1" applyFont="1" applyFill="1" applyBorder="1" applyAlignment="1">
      <alignment horizontal="center" vertical="center"/>
    </xf>
    <xf numFmtId="179" fontId="13" fillId="7" borderId="13" xfId="55" applyNumberFormat="1" applyFont="1" applyFill="1" applyBorder="1" applyAlignment="1">
      <alignment horizontal="center" vertical="center"/>
    </xf>
    <xf numFmtId="180" fontId="13" fillId="6" borderId="13" xfId="5" applyNumberFormat="1" applyFont="1" applyFill="1" applyBorder="1" applyAlignment="1">
      <alignment horizontal="center" vertical="center"/>
    </xf>
    <xf numFmtId="180" fontId="13" fillId="7" borderId="13" xfId="5" applyNumberFormat="1" applyFont="1" applyFill="1" applyBorder="1" applyAlignment="1">
      <alignment horizontal="center" vertical="center"/>
    </xf>
    <xf numFmtId="178" fontId="13" fillId="6" borderId="13" xfId="55" applyNumberFormat="1" applyFont="1" applyFill="1" applyBorder="1" applyAlignment="1">
      <alignment horizontal="center" vertical="center"/>
    </xf>
    <xf numFmtId="0" fontId="8" fillId="2" borderId="5" xfId="5" applyFont="1" applyFill="1" applyBorder="1" applyAlignment="1">
      <alignment horizontal="center" vertical="center"/>
    </xf>
    <xf numFmtId="182" fontId="10" fillId="2" borderId="7" xfId="54" applyNumberFormat="1" applyFont="1" applyFill="1" applyBorder="1" applyAlignment="1">
      <alignment horizontal="center" vertical="center"/>
    </xf>
    <xf numFmtId="182" fontId="8" fillId="2" borderId="5" xfId="54" applyNumberFormat="1" applyFont="1" applyFill="1" applyBorder="1" applyAlignment="1">
      <alignment horizontal="center" vertical="center"/>
    </xf>
    <xf numFmtId="182" fontId="8" fillId="2" borderId="6" xfId="54" applyNumberFormat="1" applyFont="1" applyFill="1" applyBorder="1" applyAlignment="1">
      <alignment horizontal="center" vertical="center"/>
    </xf>
    <xf numFmtId="3" fontId="8" fillId="2" borderId="3" xfId="5" applyNumberFormat="1" applyFont="1" applyFill="1" applyBorder="1" applyAlignment="1">
      <alignment horizontal="center" vertical="center"/>
    </xf>
    <xf numFmtId="181" fontId="8" fillId="2" borderId="2" xfId="54" applyNumberFormat="1" applyFont="1" applyFill="1" applyBorder="1" applyAlignment="1">
      <alignment horizontal="center" vertical="center"/>
    </xf>
    <xf numFmtId="3" fontId="8" fillId="2" borderId="2" xfId="5" applyNumberFormat="1" applyFont="1" applyFill="1" applyBorder="1" applyAlignment="1">
      <alignment horizontal="center" vertical="center"/>
    </xf>
    <xf numFmtId="179" fontId="8" fillId="2" borderId="2" xfId="55" applyNumberFormat="1" applyFont="1" applyFill="1" applyBorder="1" applyAlignment="1">
      <alignment horizontal="center" vertical="center"/>
    </xf>
    <xf numFmtId="180" fontId="8" fillId="2" borderId="2" xfId="5" applyNumberFormat="1" applyFont="1" applyFill="1" applyBorder="1" applyAlignment="1">
      <alignment horizontal="center" vertical="center"/>
    </xf>
    <xf numFmtId="178" fontId="8" fillId="2" borderId="2" xfId="55" applyNumberFormat="1" applyFont="1" applyFill="1" applyBorder="1" applyAlignment="1">
      <alignment horizontal="center" vertical="center"/>
    </xf>
    <xf numFmtId="38" fontId="9" fillId="2" borderId="2" xfId="5" applyNumberFormat="1" applyFont="1" applyFill="1" applyBorder="1" applyAlignment="1">
      <alignment horizontal="center" vertical="center"/>
    </xf>
    <xf numFmtId="2" fontId="9" fillId="2" borderId="2" xfId="54" applyNumberFormat="1" applyFont="1" applyFill="1" applyBorder="1" applyAlignment="1">
      <alignment horizontal="center" vertical="center"/>
    </xf>
    <xf numFmtId="3" fontId="8" fillId="2" borderId="1" xfId="5" applyNumberFormat="1" applyFont="1" applyFill="1" applyBorder="1" applyAlignment="1">
      <alignment horizontal="center" vertical="center"/>
    </xf>
    <xf numFmtId="0" fontId="17" fillId="6" borderId="0" xfId="37" applyFont="1" applyFill="1"/>
    <xf numFmtId="3" fontId="12" fillId="11" borderId="273" xfId="2" applyNumberFormat="1" applyFont="1" applyFill="1" applyBorder="1" applyAlignment="1">
      <alignment horizontal="center" vertical="center"/>
    </xf>
    <xf numFmtId="183" fontId="12" fillId="0" borderId="273" xfId="3" applyNumberFormat="1" applyFont="1" applyBorder="1" applyAlignment="1">
      <alignment horizontal="center" vertical="center"/>
    </xf>
    <xf numFmtId="0" fontId="24" fillId="8" borderId="23" xfId="2" applyFont="1" applyFill="1" applyBorder="1" applyAlignment="1">
      <alignment horizontal="center" vertical="center" wrapText="1"/>
    </xf>
    <xf numFmtId="3" fontId="12" fillId="12" borderId="274" xfId="2" applyNumberFormat="1" applyFont="1" applyFill="1" applyBorder="1" applyAlignment="1">
      <alignment horizontal="center" vertical="center"/>
    </xf>
    <xf numFmtId="0" fontId="53" fillId="0" borderId="0" xfId="38" applyFont="1" applyAlignment="1">
      <alignment horizontal="left" vertical="center"/>
    </xf>
    <xf numFmtId="0" fontId="23" fillId="6" borderId="68" xfId="2" applyFont="1" applyFill="1" applyBorder="1" applyAlignment="1">
      <alignment horizontal="center" vertical="center"/>
    </xf>
    <xf numFmtId="0" fontId="23" fillId="6" borderId="7" xfId="2" applyFont="1" applyFill="1" applyBorder="1" applyAlignment="1">
      <alignment horizontal="center" vertical="center"/>
    </xf>
    <xf numFmtId="0" fontId="23" fillId="6" borderId="67" xfId="2" applyFont="1" applyFill="1" applyBorder="1" applyAlignment="1">
      <alignment horizontal="center" vertical="center"/>
    </xf>
    <xf numFmtId="0" fontId="13" fillId="0" borderId="0" xfId="44" applyFont="1">
      <alignment vertical="center"/>
    </xf>
    <xf numFmtId="0" fontId="34" fillId="0" borderId="0" xfId="44" applyFont="1">
      <alignment vertical="center"/>
    </xf>
    <xf numFmtId="0" fontId="13" fillId="0" borderId="0" xfId="44" applyFont="1" applyAlignment="1">
      <alignment horizontal="center" vertical="center"/>
    </xf>
    <xf numFmtId="38" fontId="13" fillId="0" borderId="0" xfId="44" applyNumberFormat="1" applyFont="1" applyAlignment="1">
      <alignment horizontal="center" vertical="center"/>
    </xf>
    <xf numFmtId="38" fontId="13" fillId="0" borderId="0" xfId="44" applyNumberFormat="1" applyFont="1">
      <alignment vertical="center"/>
    </xf>
    <xf numFmtId="40" fontId="13" fillId="0" borderId="0" xfId="44" applyNumberFormat="1" applyFont="1">
      <alignment vertical="center"/>
    </xf>
    <xf numFmtId="178" fontId="13" fillId="0" borderId="0" xfId="44" applyNumberFormat="1" applyFont="1">
      <alignment vertical="center"/>
    </xf>
    <xf numFmtId="0" fontId="42" fillId="0" borderId="0" xfId="44" applyFont="1">
      <alignment vertical="center"/>
    </xf>
    <xf numFmtId="38" fontId="56" fillId="0" borderId="0" xfId="44" applyNumberFormat="1" applyFont="1" applyAlignment="1">
      <alignment horizontal="center" vertical="center"/>
    </xf>
    <xf numFmtId="185" fontId="34" fillId="0" borderId="0" xfId="44" applyNumberFormat="1" applyFont="1">
      <alignment vertical="center"/>
    </xf>
    <xf numFmtId="0" fontId="13" fillId="19" borderId="0" xfId="44" applyFont="1" applyFill="1">
      <alignment vertical="center"/>
    </xf>
    <xf numFmtId="0" fontId="13" fillId="19" borderId="0" xfId="44" applyFont="1" applyFill="1" applyAlignment="1">
      <alignment horizontal="center" vertical="center"/>
    </xf>
    <xf numFmtId="38" fontId="13" fillId="19" borderId="0" xfId="44" applyNumberFormat="1" applyFont="1" applyFill="1" applyAlignment="1">
      <alignment horizontal="center" vertical="center"/>
    </xf>
    <xf numFmtId="38" fontId="13" fillId="19" borderId="0" xfId="44" applyNumberFormat="1" applyFont="1" applyFill="1">
      <alignment vertical="center"/>
    </xf>
    <xf numFmtId="40" fontId="13" fillId="19" borderId="0" xfId="44" applyNumberFormat="1" applyFont="1" applyFill="1">
      <alignment vertical="center"/>
    </xf>
    <xf numFmtId="178" fontId="13" fillId="19" borderId="0" xfId="44" applyNumberFormat="1" applyFont="1" applyFill="1">
      <alignment vertical="center"/>
    </xf>
    <xf numFmtId="0" fontId="42" fillId="19" borderId="0" xfId="44" applyFont="1" applyFill="1">
      <alignment vertical="center"/>
    </xf>
    <xf numFmtId="0" fontId="59" fillId="0" borderId="0" xfId="44" applyFont="1">
      <alignment vertical="center"/>
    </xf>
    <xf numFmtId="0" fontId="41" fillId="0" borderId="0" xfId="44" applyFont="1" applyAlignment="1">
      <alignment horizontal="center" vertical="center"/>
    </xf>
    <xf numFmtId="0" fontId="8" fillId="20" borderId="72" xfId="44" applyFont="1" applyFill="1" applyBorder="1" applyAlignment="1">
      <alignment horizontal="center" vertical="center" wrapText="1"/>
    </xf>
    <xf numFmtId="0" fontId="8" fillId="20" borderId="71" xfId="44" applyFont="1" applyFill="1" applyBorder="1" applyAlignment="1">
      <alignment horizontal="center" vertical="center" wrapText="1"/>
    </xf>
    <xf numFmtId="0" fontId="8" fillId="20" borderId="69" xfId="44" applyFont="1" applyFill="1" applyBorder="1" applyAlignment="1">
      <alignment horizontal="center" vertical="center" wrapText="1"/>
    </xf>
    <xf numFmtId="0" fontId="8" fillId="20" borderId="192" xfId="44" applyFont="1" applyFill="1" applyBorder="1" applyAlignment="1">
      <alignment horizontal="center" vertical="center" wrapText="1"/>
    </xf>
    <xf numFmtId="0" fontId="9" fillId="20" borderId="70" xfId="44" applyFont="1" applyFill="1" applyBorder="1" applyAlignment="1">
      <alignment horizontal="center" vertical="center" wrapText="1"/>
    </xf>
    <xf numFmtId="0" fontId="8" fillId="20" borderId="70" xfId="44" applyFont="1" applyFill="1" applyBorder="1" applyAlignment="1">
      <alignment horizontal="center" vertical="center" wrapText="1"/>
    </xf>
    <xf numFmtId="0" fontId="8" fillId="20" borderId="229" xfId="44" applyFont="1" applyFill="1" applyBorder="1" applyAlignment="1">
      <alignment horizontal="center" vertical="center"/>
    </xf>
    <xf numFmtId="0" fontId="8" fillId="20" borderId="230" xfId="44" applyFont="1" applyFill="1" applyBorder="1" applyAlignment="1">
      <alignment horizontal="center" vertical="center"/>
    </xf>
    <xf numFmtId="0" fontId="8" fillId="20" borderId="231" xfId="44" applyFont="1" applyFill="1" applyBorder="1" applyAlignment="1">
      <alignment horizontal="center" vertical="center"/>
    </xf>
    <xf numFmtId="0" fontId="8" fillId="20" borderId="232" xfId="44" applyFont="1" applyFill="1" applyBorder="1" applyAlignment="1">
      <alignment horizontal="center" vertical="center" wrapText="1"/>
    </xf>
    <xf numFmtId="0" fontId="8" fillId="20" borderId="232" xfId="44" applyFont="1" applyFill="1" applyBorder="1" applyAlignment="1">
      <alignment horizontal="center" vertical="center"/>
    </xf>
    <xf numFmtId="0" fontId="8" fillId="20" borderId="233" xfId="44" applyFont="1" applyFill="1" applyBorder="1" applyAlignment="1">
      <alignment horizontal="center" vertical="center"/>
    </xf>
    <xf numFmtId="0" fontId="60" fillId="0" borderId="17" xfId="44" applyFont="1" applyBorder="1" applyAlignment="1">
      <alignment horizontal="center" vertical="center"/>
    </xf>
    <xf numFmtId="0" fontId="17" fillId="0" borderId="13" xfId="44" applyFont="1" applyBorder="1" applyAlignment="1">
      <alignment horizontal="center" vertical="center"/>
    </xf>
    <xf numFmtId="0" fontId="13" fillId="0" borderId="13" xfId="44" applyFont="1" applyBorder="1" applyAlignment="1">
      <alignment horizontal="center" vertical="center"/>
    </xf>
    <xf numFmtId="3" fontId="13" fillId="16" borderId="13" xfId="44" applyNumberFormat="1" applyFont="1" applyFill="1" applyBorder="1" applyAlignment="1">
      <alignment horizontal="center" vertical="center" wrapText="1"/>
    </xf>
    <xf numFmtId="3" fontId="13" fillId="0" borderId="78" xfId="44" applyNumberFormat="1" applyFont="1" applyBorder="1" applyAlignment="1">
      <alignment horizontal="center" vertical="center"/>
    </xf>
    <xf numFmtId="3" fontId="13" fillId="16" borderId="17" xfId="44" applyNumberFormat="1" applyFont="1" applyFill="1" applyBorder="1" applyAlignment="1">
      <alignment horizontal="center" vertical="center" wrapText="1"/>
    </xf>
    <xf numFmtId="3" fontId="13" fillId="0" borderId="16" xfId="44" applyNumberFormat="1" applyFont="1" applyBorder="1" applyAlignment="1">
      <alignment horizontal="center" vertical="center"/>
    </xf>
    <xf numFmtId="3" fontId="17" fillId="16" borderId="13" xfId="44" applyNumberFormat="1" applyFont="1" applyFill="1" applyBorder="1" applyAlignment="1">
      <alignment horizontal="center" vertical="center" wrapText="1"/>
    </xf>
    <xf numFmtId="0" fontId="13" fillId="0" borderId="7" xfId="44" applyFont="1" applyBorder="1" applyAlignment="1">
      <alignment vertical="center" wrapText="1"/>
    </xf>
    <xf numFmtId="0" fontId="8" fillId="20" borderId="5" xfId="44" applyFont="1" applyFill="1" applyBorder="1" applyAlignment="1">
      <alignment horizontal="center" vertical="center"/>
    </xf>
    <xf numFmtId="38" fontId="8" fillId="20" borderId="5" xfId="44" applyNumberFormat="1" applyFont="1" applyFill="1" applyBorder="1" applyAlignment="1">
      <alignment horizontal="center" vertical="center"/>
    </xf>
    <xf numFmtId="38" fontId="8" fillId="20" borderId="14" xfId="44" applyNumberFormat="1" applyFont="1" applyFill="1" applyBorder="1" applyAlignment="1">
      <alignment horizontal="center" vertical="center"/>
    </xf>
    <xf numFmtId="38" fontId="8" fillId="20" borderId="6" xfId="44" applyNumberFormat="1" applyFont="1" applyFill="1" applyBorder="1" applyAlignment="1">
      <alignment horizontal="center" vertical="center"/>
    </xf>
    <xf numFmtId="38" fontId="9" fillId="20" borderId="2" xfId="44" applyNumberFormat="1" applyFont="1" applyFill="1" applyBorder="1" applyAlignment="1">
      <alignment horizontal="center" vertical="center"/>
    </xf>
    <xf numFmtId="3" fontId="8" fillId="20" borderId="2" xfId="44" applyNumberFormat="1" applyFont="1" applyFill="1" applyBorder="1" applyAlignment="1">
      <alignment horizontal="center" vertical="center"/>
    </xf>
    <xf numFmtId="3" fontId="8" fillId="20" borderId="1" xfId="44" applyNumberFormat="1" applyFont="1" applyFill="1" applyBorder="1" applyAlignment="1">
      <alignment horizontal="center" vertical="center"/>
    </xf>
    <xf numFmtId="3" fontId="62" fillId="0" borderId="0" xfId="44" applyNumberFormat="1" applyFont="1" applyAlignment="1">
      <alignment horizontal="left" vertical="center"/>
    </xf>
    <xf numFmtId="3" fontId="13" fillId="0" borderId="0" xfId="44" applyNumberFormat="1" applyFont="1" applyAlignment="1">
      <alignment horizontal="center" vertical="center"/>
    </xf>
    <xf numFmtId="0" fontId="13" fillId="0" borderId="0" xfId="44" applyFont="1" applyAlignment="1">
      <alignment vertical="center" wrapText="1"/>
    </xf>
    <xf numFmtId="0" fontId="8" fillId="22" borderId="0" xfId="44" applyFont="1" applyFill="1" applyAlignment="1">
      <alignment horizontal="center" vertical="center"/>
    </xf>
    <xf numFmtId="38" fontId="8" fillId="22" borderId="0" xfId="44" applyNumberFormat="1" applyFont="1" applyFill="1" applyAlignment="1">
      <alignment horizontal="center" vertical="center"/>
    </xf>
    <xf numFmtId="38" fontId="8" fillId="22" borderId="143" xfId="44" applyNumberFormat="1" applyFont="1" applyFill="1" applyBorder="1" applyAlignment="1">
      <alignment horizontal="center" vertical="center"/>
    </xf>
    <xf numFmtId="3" fontId="8" fillId="22" borderId="0" xfId="44" applyNumberFormat="1" applyFont="1" applyFill="1" applyAlignment="1">
      <alignment horizontal="center" vertical="center"/>
    </xf>
    <xf numFmtId="38" fontId="9" fillId="22" borderId="0" xfId="44" applyNumberFormat="1" applyFont="1" applyFill="1" applyAlignment="1">
      <alignment horizontal="center" vertical="center"/>
    </xf>
    <xf numFmtId="3" fontId="17" fillId="0" borderId="0" xfId="44" applyNumberFormat="1" applyFont="1" applyAlignment="1">
      <alignment horizontal="center" vertical="center"/>
    </xf>
    <xf numFmtId="38" fontId="17" fillId="0" borderId="0" xfId="44" applyNumberFormat="1" applyFont="1" applyAlignment="1">
      <alignment horizontal="center" vertical="center"/>
    </xf>
    <xf numFmtId="0" fontId="109" fillId="0" borderId="0" xfId="44" applyFont="1">
      <alignment vertical="center"/>
    </xf>
    <xf numFmtId="0" fontId="109" fillId="0" borderId="0" xfId="44" applyFont="1" applyAlignment="1">
      <alignment horizontal="center" vertical="center"/>
    </xf>
    <xf numFmtId="38" fontId="109" fillId="0" borderId="0" xfId="44" applyNumberFormat="1" applyFont="1" applyAlignment="1">
      <alignment horizontal="center" vertical="center"/>
    </xf>
    <xf numFmtId="38" fontId="109" fillId="0" borderId="0" xfId="44" applyNumberFormat="1" applyFont="1">
      <alignment vertical="center"/>
    </xf>
    <xf numFmtId="40" fontId="109" fillId="0" borderId="0" xfId="44" applyNumberFormat="1" applyFont="1">
      <alignment vertical="center"/>
    </xf>
    <xf numFmtId="179" fontId="109" fillId="0" borderId="0" xfId="4" applyNumberFormat="1" applyFont="1" applyAlignment="1">
      <alignment vertical="center"/>
    </xf>
    <xf numFmtId="178" fontId="109" fillId="0" borderId="0" xfId="44" applyNumberFormat="1" applyFont="1">
      <alignment vertical="center"/>
    </xf>
    <xf numFmtId="0" fontId="110" fillId="0" borderId="0" xfId="44" applyFont="1">
      <alignment vertical="center"/>
    </xf>
    <xf numFmtId="38" fontId="111" fillId="0" borderId="0" xfId="44" applyNumberFormat="1" applyFont="1" applyAlignment="1">
      <alignment horizontal="center" vertical="center"/>
    </xf>
    <xf numFmtId="185" fontId="112" fillId="0" borderId="0" xfId="44" applyNumberFormat="1" applyFont="1">
      <alignment vertical="center"/>
    </xf>
    <xf numFmtId="9" fontId="109" fillId="0" borderId="0" xfId="4" applyFont="1" applyAlignment="1">
      <alignment horizontal="center" vertical="center"/>
    </xf>
    <xf numFmtId="0" fontId="41" fillId="21" borderId="0" xfId="44" applyFont="1" applyFill="1" applyAlignment="1">
      <alignment horizontal="center" vertical="center"/>
    </xf>
    <xf numFmtId="0" fontId="17" fillId="21" borderId="0" xfId="44" applyFont="1" applyFill="1" applyAlignment="1">
      <alignment horizontal="center" vertical="center"/>
    </xf>
    <xf numFmtId="0" fontId="26" fillId="21" borderId="0" xfId="44" applyFont="1" applyFill="1" applyAlignment="1">
      <alignment horizontal="center" vertical="center"/>
    </xf>
    <xf numFmtId="38" fontId="17" fillId="21" borderId="0" xfId="44" applyNumberFormat="1" applyFont="1" applyFill="1" applyAlignment="1">
      <alignment horizontal="center" vertical="center"/>
    </xf>
    <xf numFmtId="188" fontId="17" fillId="21" borderId="0" xfId="44" applyNumberFormat="1" applyFont="1" applyFill="1" applyAlignment="1">
      <alignment horizontal="center" vertical="center"/>
    </xf>
    <xf numFmtId="3" fontId="13" fillId="23" borderId="17" xfId="44" applyNumberFormat="1" applyFont="1" applyFill="1" applyBorder="1" applyAlignment="1">
      <alignment horizontal="center" vertical="center" wrapText="1"/>
    </xf>
    <xf numFmtId="3" fontId="13" fillId="23" borderId="13" xfId="44" applyNumberFormat="1" applyFont="1" applyFill="1" applyBorder="1" applyAlignment="1">
      <alignment horizontal="center" vertical="center" wrapText="1"/>
    </xf>
    <xf numFmtId="3" fontId="13" fillId="23" borderId="16" xfId="44" applyNumberFormat="1" applyFont="1" applyFill="1" applyBorder="1" applyAlignment="1">
      <alignment horizontal="center" vertical="center"/>
    </xf>
    <xf numFmtId="0" fontId="13" fillId="20" borderId="0" xfId="44" applyFont="1" applyFill="1" applyAlignment="1">
      <alignment horizontal="center" vertical="center" wrapText="1"/>
    </xf>
    <xf numFmtId="178" fontId="13" fillId="0" borderId="0" xfId="44" applyNumberFormat="1" applyFont="1" applyAlignment="1">
      <alignment horizontal="center" vertical="center"/>
    </xf>
    <xf numFmtId="0" fontId="59" fillId="0" borderId="0" xfId="44" applyFont="1" applyAlignment="1">
      <alignment horizontal="center" vertical="center"/>
    </xf>
    <xf numFmtId="0" fontId="8" fillId="20" borderId="228" xfId="44" applyFont="1" applyFill="1" applyBorder="1" applyAlignment="1">
      <alignment horizontal="center" vertical="center"/>
    </xf>
    <xf numFmtId="0" fontId="8" fillId="20" borderId="192" xfId="44" applyFont="1" applyFill="1" applyBorder="1" applyAlignment="1">
      <alignment horizontal="center" vertical="center"/>
    </xf>
    <xf numFmtId="0" fontId="8" fillId="20" borderId="69" xfId="44" applyFont="1" applyFill="1" applyBorder="1" applyAlignment="1">
      <alignment horizontal="center" vertical="center"/>
    </xf>
    <xf numFmtId="0" fontId="13" fillId="20" borderId="0" xfId="44" applyFont="1" applyFill="1" applyAlignment="1">
      <alignment horizontal="center" vertical="center"/>
    </xf>
    <xf numFmtId="0" fontId="13" fillId="0" borderId="16" xfId="44" applyFont="1" applyBorder="1" applyAlignment="1">
      <alignment horizontal="center" vertical="center"/>
    </xf>
    <xf numFmtId="188" fontId="13" fillId="20" borderId="0" xfId="44" applyNumberFormat="1" applyFont="1" applyFill="1" applyAlignment="1">
      <alignment horizontal="center" vertical="center"/>
    </xf>
    <xf numFmtId="0" fontId="13" fillId="0" borderId="78" xfId="44" applyFont="1" applyBorder="1" applyAlignment="1">
      <alignment horizontal="center" vertical="center"/>
    </xf>
    <xf numFmtId="0" fontId="13" fillId="22" borderId="13" xfId="44" applyFont="1" applyFill="1" applyBorder="1" applyAlignment="1">
      <alignment horizontal="center" vertical="center"/>
    </xf>
    <xf numFmtId="0" fontId="13" fillId="22" borderId="78" xfId="44" applyFont="1" applyFill="1" applyBorder="1" applyAlignment="1">
      <alignment horizontal="center" vertical="center"/>
    </xf>
    <xf numFmtId="188" fontId="26" fillId="21" borderId="0" xfId="44" applyNumberFormat="1" applyFont="1" applyFill="1" applyAlignment="1">
      <alignment horizontal="center" vertical="center"/>
    </xf>
    <xf numFmtId="3" fontId="11" fillId="16" borderId="13" xfId="44" applyNumberFormat="1" applyFont="1" applyFill="1" applyBorder="1" applyAlignment="1">
      <alignment horizontal="center" vertical="center" wrapText="1"/>
    </xf>
    <xf numFmtId="3" fontId="17" fillId="0" borderId="78" xfId="44" applyNumberFormat="1" applyFont="1" applyBorder="1" applyAlignment="1">
      <alignment horizontal="center" vertical="center"/>
    </xf>
    <xf numFmtId="0" fontId="11" fillId="6" borderId="13" xfId="44" applyFont="1" applyFill="1" applyBorder="1" applyAlignment="1">
      <alignment horizontal="center" vertical="center"/>
    </xf>
    <xf numFmtId="0" fontId="13" fillId="22" borderId="14" xfId="44" applyFont="1" applyFill="1" applyBorder="1" applyAlignment="1">
      <alignment horizontal="center" vertical="center"/>
    </xf>
    <xf numFmtId="0" fontId="13" fillId="22" borderId="237" xfId="44" applyFont="1" applyFill="1" applyBorder="1" applyAlignment="1">
      <alignment horizontal="center" vertical="center"/>
    </xf>
    <xf numFmtId="3" fontId="17" fillId="0" borderId="238" xfId="44" applyNumberFormat="1" applyFont="1" applyBorder="1" applyAlignment="1">
      <alignment horizontal="center" vertical="center"/>
    </xf>
    <xf numFmtId="0" fontId="13" fillId="21" borderId="14" xfId="44" applyFont="1" applyFill="1" applyBorder="1" applyAlignment="1">
      <alignment horizontal="center" vertical="center"/>
    </xf>
    <xf numFmtId="0" fontId="13" fillId="21" borderId="237" xfId="44" applyFont="1" applyFill="1" applyBorder="1" applyAlignment="1">
      <alignment horizontal="center" vertical="center"/>
    </xf>
    <xf numFmtId="0" fontId="11" fillId="0" borderId="13" xfId="44" applyFont="1" applyBorder="1" applyAlignment="1">
      <alignment horizontal="center" vertical="center"/>
    </xf>
    <xf numFmtId="0" fontId="13" fillId="0" borderId="14" xfId="44" applyFont="1" applyBorder="1" applyAlignment="1">
      <alignment horizontal="center" vertical="center"/>
    </xf>
    <xf numFmtId="0" fontId="13" fillId="0" borderId="237" xfId="44" applyFont="1" applyBorder="1" applyAlignment="1">
      <alignment horizontal="center" vertical="center"/>
    </xf>
    <xf numFmtId="3" fontId="13" fillId="16" borderId="18" xfId="44" applyNumberFormat="1" applyFont="1" applyFill="1" applyBorder="1" applyAlignment="1">
      <alignment horizontal="center" vertical="center" wrapText="1"/>
    </xf>
    <xf numFmtId="3" fontId="13" fillId="16" borderId="14" xfId="44" applyNumberFormat="1" applyFont="1" applyFill="1" applyBorder="1" applyAlignment="1">
      <alignment horizontal="center" vertical="center" wrapText="1"/>
    </xf>
    <xf numFmtId="0" fontId="8" fillId="20" borderId="6" xfId="44" applyFont="1" applyFill="1" applyBorder="1" applyAlignment="1">
      <alignment horizontal="center" vertical="center"/>
    </xf>
    <xf numFmtId="3" fontId="13" fillId="0" borderId="0" xfId="44" applyNumberFormat="1" applyFont="1">
      <alignment vertical="center"/>
    </xf>
    <xf numFmtId="3" fontId="17" fillId="21" borderId="0" xfId="44" applyNumberFormat="1" applyFont="1" applyFill="1" applyAlignment="1">
      <alignment horizontal="center" vertical="center"/>
    </xf>
    <xf numFmtId="3" fontId="13" fillId="20" borderId="0" xfId="44" applyNumberFormat="1" applyFont="1" applyFill="1" applyAlignment="1">
      <alignment horizontal="center" vertical="center"/>
    </xf>
    <xf numFmtId="3" fontId="17" fillId="24" borderId="0" xfId="44" applyNumberFormat="1" applyFont="1" applyFill="1" applyAlignment="1">
      <alignment horizontal="center" vertical="center"/>
    </xf>
    <xf numFmtId="38" fontId="17" fillId="24" borderId="0" xfId="44" applyNumberFormat="1" applyFont="1" applyFill="1" applyAlignment="1">
      <alignment horizontal="center" vertical="center"/>
    </xf>
    <xf numFmtId="0" fontId="26" fillId="0" borderId="0" xfId="44" applyFont="1">
      <alignment vertical="center"/>
    </xf>
    <xf numFmtId="0" fontId="13" fillId="6" borderId="0" xfId="44" applyFont="1" applyFill="1" applyAlignment="1">
      <alignment horizontal="left" vertical="center"/>
    </xf>
    <xf numFmtId="0" fontId="8" fillId="20" borderId="25" xfId="44" applyFont="1" applyFill="1" applyBorder="1" applyAlignment="1">
      <alignment horizontal="center" vertical="center"/>
    </xf>
    <xf numFmtId="0" fontId="8" fillId="20" borderId="24" xfId="44" applyFont="1" applyFill="1" applyBorder="1" applyAlignment="1">
      <alignment horizontal="center" vertical="center" wrapText="1"/>
    </xf>
    <xf numFmtId="0" fontId="8" fillId="20" borderId="24" xfId="44" applyFont="1" applyFill="1" applyBorder="1" applyAlignment="1">
      <alignment horizontal="center" vertical="center"/>
    </xf>
    <xf numFmtId="0" fontId="8" fillId="20" borderId="23" xfId="44" applyFont="1" applyFill="1" applyBorder="1" applyAlignment="1">
      <alignment horizontal="center" vertical="center"/>
    </xf>
    <xf numFmtId="190" fontId="59" fillId="0" borderId="0" xfId="44" applyNumberFormat="1" applyFont="1">
      <alignment vertical="center"/>
    </xf>
    <xf numFmtId="0" fontId="65" fillId="0" borderId="0" xfId="44" applyFont="1">
      <alignment vertical="center"/>
    </xf>
    <xf numFmtId="38" fontId="13" fillId="21" borderId="0" xfId="44" applyNumberFormat="1" applyFont="1" applyFill="1" applyAlignment="1">
      <alignment horizontal="center" vertical="center"/>
    </xf>
    <xf numFmtId="191" fontId="13" fillId="0" borderId="0" xfId="44" applyNumberFormat="1" applyFont="1">
      <alignment vertical="center"/>
    </xf>
    <xf numFmtId="0" fontId="13" fillId="22" borderId="16" xfId="44" applyFont="1" applyFill="1" applyBorder="1" applyAlignment="1">
      <alignment horizontal="center" vertical="center"/>
    </xf>
    <xf numFmtId="0" fontId="60" fillId="22" borderId="17" xfId="44" applyFont="1" applyFill="1" applyBorder="1" applyAlignment="1">
      <alignment horizontal="center" vertical="center"/>
    </xf>
    <xf numFmtId="0" fontId="17" fillId="22" borderId="13" xfId="44" applyFont="1" applyFill="1" applyBorder="1" applyAlignment="1">
      <alignment horizontal="center" vertical="center"/>
    </xf>
    <xf numFmtId="3" fontId="13" fillId="22" borderId="13" xfId="44" applyNumberFormat="1" applyFont="1" applyFill="1" applyBorder="1" applyAlignment="1">
      <alignment horizontal="center" vertical="center" wrapText="1"/>
    </xf>
    <xf numFmtId="3" fontId="13" fillId="22" borderId="78" xfId="44" applyNumberFormat="1" applyFont="1" applyFill="1" applyBorder="1" applyAlignment="1">
      <alignment horizontal="center" vertical="center"/>
    </xf>
    <xf numFmtId="3" fontId="13" fillId="22" borderId="17" xfId="44" applyNumberFormat="1" applyFont="1" applyFill="1" applyBorder="1" applyAlignment="1">
      <alignment horizontal="center" vertical="center" wrapText="1"/>
    </xf>
    <xf numFmtId="3" fontId="13" fillId="22" borderId="16" xfId="44" applyNumberFormat="1" applyFont="1" applyFill="1" applyBorder="1" applyAlignment="1">
      <alignment horizontal="center" vertical="center"/>
    </xf>
    <xf numFmtId="3" fontId="66" fillId="0" borderId="0" xfId="44" applyNumberFormat="1" applyFont="1" applyAlignment="1">
      <alignment horizontal="left" vertical="center"/>
    </xf>
    <xf numFmtId="3" fontId="17" fillId="22" borderId="0" xfId="44" applyNumberFormat="1" applyFont="1" applyFill="1" applyAlignment="1">
      <alignment horizontal="center" vertical="center"/>
    </xf>
    <xf numFmtId="38" fontId="17" fillId="22" borderId="0" xfId="44" applyNumberFormat="1" applyFont="1" applyFill="1" applyAlignment="1">
      <alignment horizontal="center" vertical="center"/>
    </xf>
    <xf numFmtId="0" fontId="60" fillId="26" borderId="17" xfId="44" applyFont="1" applyFill="1" applyBorder="1" applyAlignment="1">
      <alignment horizontal="center" vertical="center"/>
    </xf>
    <xf numFmtId="0" fontId="11" fillId="26" borderId="13" xfId="44" applyFont="1" applyFill="1" applyBorder="1" applyAlignment="1">
      <alignment horizontal="center" vertical="center"/>
    </xf>
    <xf numFmtId="0" fontId="13" fillId="26" borderId="13" xfId="44" applyFont="1" applyFill="1" applyBorder="1" applyAlignment="1">
      <alignment horizontal="center" vertical="center"/>
    </xf>
    <xf numFmtId="0" fontId="13" fillId="26" borderId="14" xfId="44" applyFont="1" applyFill="1" applyBorder="1" applyAlignment="1">
      <alignment horizontal="center" vertical="center"/>
    </xf>
    <xf numFmtId="0" fontId="13" fillId="26" borderId="237" xfId="44" applyFont="1" applyFill="1" applyBorder="1" applyAlignment="1">
      <alignment horizontal="center" vertical="center"/>
    </xf>
    <xf numFmtId="3" fontId="13" fillId="26" borderId="13" xfId="44" applyNumberFormat="1" applyFont="1" applyFill="1" applyBorder="1" applyAlignment="1">
      <alignment horizontal="center" vertical="center" wrapText="1"/>
    </xf>
    <xf numFmtId="3" fontId="17" fillId="26" borderId="238" xfId="44" applyNumberFormat="1" applyFont="1" applyFill="1" applyBorder="1" applyAlignment="1">
      <alignment horizontal="center" vertical="center"/>
    </xf>
    <xf numFmtId="3" fontId="13" fillId="26" borderId="18" xfId="44" applyNumberFormat="1" applyFont="1" applyFill="1" applyBorder="1" applyAlignment="1">
      <alignment horizontal="center" vertical="center" wrapText="1"/>
    </xf>
    <xf numFmtId="3" fontId="13" fillId="26" borderId="14" xfId="44" applyNumberFormat="1" applyFont="1" applyFill="1" applyBorder="1" applyAlignment="1">
      <alignment horizontal="center" vertical="center" wrapText="1"/>
    </xf>
    <xf numFmtId="3" fontId="13" fillId="26" borderId="16" xfId="44" applyNumberFormat="1" applyFont="1" applyFill="1" applyBorder="1" applyAlignment="1">
      <alignment horizontal="center" vertical="center"/>
    </xf>
    <xf numFmtId="0" fontId="60" fillId="0" borderId="13" xfId="44" applyFont="1" applyBorder="1" applyAlignment="1">
      <alignment horizontal="center" vertical="center"/>
    </xf>
    <xf numFmtId="38" fontId="13" fillId="16" borderId="13" xfId="44" applyNumberFormat="1" applyFont="1" applyFill="1" applyBorder="1" applyAlignment="1">
      <alignment horizontal="center" vertical="center" wrapText="1"/>
    </xf>
    <xf numFmtId="38" fontId="17" fillId="0" borderId="238" xfId="44" applyNumberFormat="1" applyFont="1" applyBorder="1" applyAlignment="1">
      <alignment horizontal="center" vertical="center"/>
    </xf>
    <xf numFmtId="38" fontId="13" fillId="16" borderId="17" xfId="44" applyNumberFormat="1" applyFont="1" applyFill="1" applyBorder="1" applyAlignment="1">
      <alignment horizontal="center" vertical="center" wrapText="1"/>
    </xf>
    <xf numFmtId="38" fontId="13" fillId="16" borderId="18" xfId="44" applyNumberFormat="1" applyFont="1" applyFill="1" applyBorder="1" applyAlignment="1">
      <alignment horizontal="center" vertical="center" wrapText="1"/>
    </xf>
    <xf numFmtId="3" fontId="13" fillId="7" borderId="13" xfId="44" applyNumberFormat="1" applyFont="1" applyFill="1" applyBorder="1" applyAlignment="1">
      <alignment horizontal="center" vertical="center" wrapText="1"/>
    </xf>
    <xf numFmtId="0" fontId="13" fillId="0" borderId="0" xfId="44" applyFont="1" applyAlignment="1">
      <alignment horizontal="left" vertical="center"/>
    </xf>
    <xf numFmtId="0" fontId="54" fillId="0" borderId="0" xfId="44" applyFont="1" applyAlignment="1">
      <alignment horizontal="center" vertical="center"/>
    </xf>
    <xf numFmtId="38" fontId="54" fillId="0" borderId="0" xfId="44" applyNumberFormat="1" applyFont="1" applyAlignment="1">
      <alignment horizontal="center" vertical="center"/>
    </xf>
    <xf numFmtId="38" fontId="54" fillId="0" borderId="0" xfId="44" applyNumberFormat="1" applyFont="1">
      <alignment vertical="center"/>
    </xf>
    <xf numFmtId="40" fontId="54" fillId="0" borderId="0" xfId="44" applyNumberFormat="1" applyFont="1">
      <alignment vertical="center"/>
    </xf>
    <xf numFmtId="178" fontId="54" fillId="0" borderId="0" xfId="44" applyNumberFormat="1" applyFont="1">
      <alignment vertical="center"/>
    </xf>
    <xf numFmtId="38" fontId="67" fillId="0" borderId="0" xfId="44" applyNumberFormat="1" applyFont="1" applyAlignment="1">
      <alignment horizontal="center" vertical="center"/>
    </xf>
    <xf numFmtId="0" fontId="66" fillId="0" borderId="0" xfId="44" applyFont="1" applyAlignment="1">
      <alignment horizontal="left" vertical="center"/>
    </xf>
    <xf numFmtId="0" fontId="56" fillId="22" borderId="13" xfId="44" applyFont="1" applyFill="1" applyBorder="1" applyAlignment="1">
      <alignment horizontal="center" vertical="center"/>
    </xf>
    <xf numFmtId="3" fontId="17" fillId="22" borderId="78" xfId="44" applyNumberFormat="1" applyFont="1" applyFill="1" applyBorder="1" applyAlignment="1">
      <alignment horizontal="center" vertical="center"/>
    </xf>
    <xf numFmtId="3" fontId="17" fillId="22" borderId="16" xfId="44" applyNumberFormat="1" applyFont="1" applyFill="1" applyBorder="1" applyAlignment="1">
      <alignment horizontal="center" vertical="center"/>
    </xf>
    <xf numFmtId="0" fontId="16" fillId="0" borderId="17" xfId="44" applyFont="1" applyBorder="1" applyAlignment="1">
      <alignment horizontal="center" vertical="center"/>
    </xf>
    <xf numFmtId="0" fontId="56" fillId="6" borderId="13" xfId="44" applyFont="1" applyFill="1" applyBorder="1" applyAlignment="1">
      <alignment horizontal="center" vertical="center"/>
    </xf>
    <xf numFmtId="0" fontId="13" fillId="6" borderId="13" xfId="44" applyFont="1" applyFill="1" applyBorder="1" applyAlignment="1">
      <alignment horizontal="center" vertical="center"/>
    </xf>
    <xf numFmtId="3" fontId="17" fillId="6" borderId="238" xfId="44" applyNumberFormat="1" applyFont="1" applyFill="1" applyBorder="1" applyAlignment="1">
      <alignment horizontal="center" vertical="center"/>
    </xf>
    <xf numFmtId="3" fontId="13" fillId="7" borderId="17" xfId="44" applyNumberFormat="1" applyFont="1" applyFill="1" applyBorder="1" applyAlignment="1">
      <alignment horizontal="center" vertical="center" wrapText="1"/>
    </xf>
    <xf numFmtId="3" fontId="17" fillId="6" borderId="67" xfId="44" applyNumberFormat="1" applyFont="1" applyFill="1" applyBorder="1" applyAlignment="1">
      <alignment horizontal="center" vertical="center"/>
    </xf>
    <xf numFmtId="3" fontId="13" fillId="7" borderId="18" xfId="44" applyNumberFormat="1" applyFont="1" applyFill="1" applyBorder="1" applyAlignment="1">
      <alignment horizontal="center" vertical="center" wrapText="1"/>
    </xf>
    <xf numFmtId="3" fontId="13" fillId="7" borderId="14" xfId="44" applyNumberFormat="1" applyFont="1" applyFill="1" applyBorder="1" applyAlignment="1">
      <alignment horizontal="center" vertical="center" wrapText="1"/>
    </xf>
    <xf numFmtId="180" fontId="8" fillId="20" borderId="5" xfId="44" applyNumberFormat="1" applyFont="1" applyFill="1" applyBorder="1" applyAlignment="1">
      <alignment horizontal="center" vertical="center"/>
    </xf>
    <xf numFmtId="3" fontId="8" fillId="20" borderId="14" xfId="44" applyNumberFormat="1" applyFont="1" applyFill="1" applyBorder="1" applyAlignment="1">
      <alignment horizontal="center" vertical="center"/>
    </xf>
    <xf numFmtId="3" fontId="8" fillId="20" borderId="239" xfId="44" applyNumberFormat="1" applyFont="1" applyFill="1" applyBorder="1" applyAlignment="1">
      <alignment horizontal="center" vertical="center"/>
    </xf>
    <xf numFmtId="180" fontId="8" fillId="22" borderId="0" xfId="44" applyNumberFormat="1" applyFont="1" applyFill="1" applyAlignment="1">
      <alignment horizontal="center" vertical="center"/>
    </xf>
    <xf numFmtId="2" fontId="13" fillId="0" borderId="0" xfId="44" applyNumberFormat="1" applyFont="1">
      <alignment vertical="center"/>
    </xf>
    <xf numFmtId="179" fontId="17" fillId="27" borderId="0" xfId="44" applyNumberFormat="1" applyFont="1" applyFill="1" applyAlignment="1">
      <alignment horizontal="center" vertical="center"/>
    </xf>
    <xf numFmtId="180" fontId="59" fillId="0" borderId="0" xfId="44" applyNumberFormat="1" applyFont="1">
      <alignment vertical="center"/>
    </xf>
    <xf numFmtId="0" fontId="55" fillId="0" borderId="0" xfId="44" applyFont="1">
      <alignment vertical="center"/>
    </xf>
    <xf numFmtId="3" fontId="17" fillId="6" borderId="0" xfId="44" applyNumberFormat="1" applyFont="1" applyFill="1" applyAlignment="1">
      <alignment horizontal="center" vertical="center"/>
    </xf>
    <xf numFmtId="0" fontId="69" fillId="0" borderId="0" xfId="44" applyFont="1" applyAlignment="1">
      <alignment horizontal="center" vertical="center"/>
    </xf>
    <xf numFmtId="0" fontId="26" fillId="0" borderId="0" xfId="44" applyFont="1" applyAlignment="1">
      <alignment horizontal="center" vertical="center"/>
    </xf>
    <xf numFmtId="38" fontId="70" fillId="0" borderId="0" xfId="44" applyNumberFormat="1" applyFont="1" applyAlignment="1">
      <alignment horizontal="left" vertical="center"/>
    </xf>
    <xf numFmtId="38" fontId="26" fillId="0" borderId="0" xfId="44" applyNumberFormat="1" applyFont="1">
      <alignment vertical="center"/>
    </xf>
    <xf numFmtId="178" fontId="26" fillId="0" borderId="0" xfId="44" applyNumberFormat="1" applyFont="1">
      <alignment vertical="center"/>
    </xf>
    <xf numFmtId="0" fontId="71" fillId="0" borderId="0" xfId="44" applyFont="1">
      <alignment vertical="center"/>
    </xf>
    <xf numFmtId="38" fontId="72" fillId="0" borderId="0" xfId="44" applyNumberFormat="1" applyFont="1" applyAlignment="1">
      <alignment horizontal="center" vertical="center"/>
    </xf>
    <xf numFmtId="0" fontId="41" fillId="21" borderId="0" xfId="44" applyFont="1" applyFill="1">
      <alignment vertical="center"/>
    </xf>
    <xf numFmtId="0" fontId="8" fillId="20" borderId="240" xfId="44" applyFont="1" applyFill="1" applyBorder="1" applyAlignment="1">
      <alignment horizontal="center" vertical="center"/>
    </xf>
    <xf numFmtId="0" fontId="17" fillId="21" borderId="0" xfId="44" applyFont="1" applyFill="1">
      <alignment vertical="center"/>
    </xf>
    <xf numFmtId="0" fontId="26" fillId="21" borderId="0" xfId="44" applyFont="1" applyFill="1">
      <alignment vertical="center"/>
    </xf>
    <xf numFmtId="3" fontId="17" fillId="6" borderId="78" xfId="44" applyNumberFormat="1" applyFont="1" applyFill="1" applyBorder="1" applyAlignment="1">
      <alignment horizontal="center" vertical="center"/>
    </xf>
    <xf numFmtId="3" fontId="17" fillId="6" borderId="16" xfId="44" applyNumberFormat="1" applyFont="1" applyFill="1" applyBorder="1" applyAlignment="1">
      <alignment horizontal="center" vertical="center"/>
    </xf>
    <xf numFmtId="38" fontId="31" fillId="22" borderId="143" xfId="44" applyNumberFormat="1" applyFont="1" applyFill="1" applyBorder="1" applyAlignment="1">
      <alignment horizontal="center" vertical="center"/>
    </xf>
    <xf numFmtId="0" fontId="17" fillId="6" borderId="0" xfId="44" applyFont="1" applyFill="1" applyAlignment="1">
      <alignment horizontal="center" vertical="center"/>
    </xf>
    <xf numFmtId="0" fontId="8" fillId="22" borderId="228" xfId="44" applyFont="1" applyFill="1" applyBorder="1" applyAlignment="1">
      <alignment horizontal="center" vertical="center"/>
    </xf>
    <xf numFmtId="0" fontId="8" fillId="22" borderId="192" xfId="44" applyFont="1" applyFill="1" applyBorder="1" applyAlignment="1">
      <alignment horizontal="center" vertical="center"/>
    </xf>
    <xf numFmtId="0" fontId="8" fillId="22" borderId="69" xfId="44" applyFont="1" applyFill="1" applyBorder="1" applyAlignment="1">
      <alignment horizontal="center" vertical="center"/>
    </xf>
    <xf numFmtId="0" fontId="8" fillId="22" borderId="72" xfId="44" applyFont="1" applyFill="1" applyBorder="1" applyAlignment="1">
      <alignment horizontal="center" vertical="center" wrapText="1"/>
    </xf>
    <xf numFmtId="0" fontId="8" fillId="22" borderId="71" xfId="44" applyFont="1" applyFill="1" applyBorder="1" applyAlignment="1">
      <alignment horizontal="center" vertical="center" wrapText="1"/>
    </xf>
    <xf numFmtId="0" fontId="8" fillId="22" borderId="69" xfId="44" applyFont="1" applyFill="1" applyBorder="1" applyAlignment="1">
      <alignment horizontal="center" vertical="center" wrapText="1"/>
    </xf>
    <xf numFmtId="0" fontId="8" fillId="22" borderId="192" xfId="44" applyFont="1" applyFill="1" applyBorder="1" applyAlignment="1">
      <alignment horizontal="center" vertical="center" wrapText="1"/>
    </xf>
    <xf numFmtId="0" fontId="9" fillId="22" borderId="70" xfId="44" applyFont="1" applyFill="1" applyBorder="1" applyAlignment="1">
      <alignment horizontal="center" vertical="center" wrapText="1"/>
    </xf>
    <xf numFmtId="0" fontId="8" fillId="22" borderId="70" xfId="44" applyFont="1" applyFill="1" applyBorder="1" applyAlignment="1">
      <alignment horizontal="center" vertical="center" wrapText="1"/>
    </xf>
    <xf numFmtId="0" fontId="8" fillId="22" borderId="229" xfId="44" applyFont="1" applyFill="1" applyBorder="1" applyAlignment="1">
      <alignment horizontal="center" vertical="center"/>
    </xf>
    <xf numFmtId="0" fontId="8" fillId="22" borderId="230" xfId="44" applyFont="1" applyFill="1" applyBorder="1" applyAlignment="1">
      <alignment horizontal="center" vertical="center"/>
    </xf>
    <xf numFmtId="0" fontId="8" fillId="22" borderId="25" xfId="44" applyFont="1" applyFill="1" applyBorder="1" applyAlignment="1">
      <alignment horizontal="center" vertical="center"/>
    </xf>
    <xf numFmtId="0" fontId="8" fillId="22" borderId="24" xfId="44" applyFont="1" applyFill="1" applyBorder="1" applyAlignment="1">
      <alignment horizontal="center" vertical="center" wrapText="1"/>
    </xf>
    <xf numFmtId="0" fontId="8" fillId="22" borderId="24" xfId="44" applyFont="1" applyFill="1" applyBorder="1" applyAlignment="1">
      <alignment horizontal="center" vertical="center"/>
    </xf>
    <xf numFmtId="0" fontId="8" fillId="22" borderId="23" xfId="44" applyFont="1" applyFill="1" applyBorder="1" applyAlignment="1">
      <alignment horizontal="center" vertical="center"/>
    </xf>
    <xf numFmtId="0" fontId="13" fillId="6" borderId="16" xfId="44" applyFont="1" applyFill="1" applyBorder="1" applyAlignment="1">
      <alignment horizontal="center" vertical="center"/>
    </xf>
    <xf numFmtId="3" fontId="13" fillId="6" borderId="78" xfId="44" applyNumberFormat="1" applyFont="1" applyFill="1" applyBorder="1" applyAlignment="1">
      <alignment horizontal="center" vertical="center"/>
    </xf>
    <xf numFmtId="3" fontId="13" fillId="6" borderId="16" xfId="44" applyNumberFormat="1" applyFont="1" applyFill="1" applyBorder="1" applyAlignment="1">
      <alignment horizontal="center" vertical="center"/>
    </xf>
    <xf numFmtId="0" fontId="56" fillId="0" borderId="13" xfId="44" applyFont="1" applyBorder="1" applyAlignment="1">
      <alignment horizontal="center" vertical="center"/>
    </xf>
    <xf numFmtId="0" fontId="8" fillId="2" borderId="0" xfId="44" applyFont="1" applyFill="1" applyAlignment="1">
      <alignment horizontal="center" vertical="center"/>
    </xf>
    <xf numFmtId="180" fontId="8" fillId="2" borderId="0" xfId="44" applyNumberFormat="1" applyFont="1" applyFill="1" applyAlignment="1">
      <alignment horizontal="center" vertical="center"/>
    </xf>
    <xf numFmtId="3" fontId="8" fillId="2" borderId="0" xfId="44" applyNumberFormat="1" applyFont="1" applyFill="1" applyAlignment="1">
      <alignment horizontal="center" vertical="center"/>
    </xf>
    <xf numFmtId="38" fontId="9" fillId="2" borderId="0" xfId="44" applyNumberFormat="1" applyFont="1" applyFill="1" applyAlignment="1">
      <alignment horizontal="center" vertical="center"/>
    </xf>
    <xf numFmtId="0" fontId="73" fillId="0" borderId="0" xfId="44" applyFont="1" applyAlignment="1">
      <alignment horizontal="left" vertical="center"/>
    </xf>
    <xf numFmtId="0" fontId="8" fillId="22" borderId="179" xfId="44" applyFont="1" applyFill="1" applyBorder="1" applyAlignment="1">
      <alignment horizontal="center" vertical="center"/>
    </xf>
    <xf numFmtId="38" fontId="8" fillId="22" borderId="179" xfId="44" applyNumberFormat="1" applyFont="1" applyFill="1" applyBorder="1" applyAlignment="1">
      <alignment horizontal="center" vertical="center"/>
    </xf>
    <xf numFmtId="0" fontId="71" fillId="0" borderId="0" xfId="44" applyFont="1" applyAlignment="1">
      <alignment horizontal="center" vertical="center"/>
    </xf>
    <xf numFmtId="38" fontId="74" fillId="0" borderId="0" xfId="44" applyNumberFormat="1" applyFont="1" applyAlignment="1">
      <alignment horizontal="center" vertical="center"/>
    </xf>
    <xf numFmtId="38" fontId="8" fillId="22" borderId="179" xfId="44" applyNumberFormat="1" applyFont="1" applyFill="1" applyBorder="1" applyAlignment="1">
      <alignment horizontal="center" vertical="center" wrapText="1"/>
    </xf>
    <xf numFmtId="40" fontId="8" fillId="22" borderId="179" xfId="44" applyNumberFormat="1" applyFont="1" applyFill="1" applyBorder="1" applyAlignment="1">
      <alignment horizontal="center" vertical="center" wrapText="1"/>
    </xf>
    <xf numFmtId="38" fontId="9" fillId="22" borderId="179" xfId="44" applyNumberFormat="1" applyFont="1" applyFill="1" applyBorder="1" applyAlignment="1">
      <alignment horizontal="center" vertical="center" wrapText="1"/>
    </xf>
    <xf numFmtId="178" fontId="9" fillId="22" borderId="179" xfId="44" applyNumberFormat="1" applyFont="1" applyFill="1" applyBorder="1" applyAlignment="1">
      <alignment horizontal="center" vertical="center" wrapText="1"/>
    </xf>
    <xf numFmtId="178" fontId="8" fillId="22" borderId="179" xfId="44" applyNumberFormat="1" applyFont="1" applyFill="1" applyBorder="1" applyAlignment="1">
      <alignment horizontal="center" vertical="center"/>
    </xf>
    <xf numFmtId="0" fontId="30" fillId="0" borderId="0" xfId="44" applyFont="1">
      <alignment vertical="center"/>
    </xf>
    <xf numFmtId="0" fontId="30" fillId="0" borderId="179" xfId="44" applyFont="1" applyBorder="1" applyAlignment="1">
      <alignment horizontal="center" vertical="center"/>
    </xf>
    <xf numFmtId="0" fontId="34" fillId="0" borderId="179" xfId="44" applyFont="1" applyBorder="1" applyAlignment="1">
      <alignment horizontal="center" vertical="center"/>
    </xf>
    <xf numFmtId="38" fontId="30" fillId="0" borderId="179" xfId="44" applyNumberFormat="1" applyFont="1" applyBorder="1" applyAlignment="1">
      <alignment horizontal="center" vertical="center" wrapText="1"/>
    </xf>
    <xf numFmtId="38" fontId="30" fillId="0" borderId="179" xfId="44" applyNumberFormat="1" applyFont="1" applyBorder="1" applyAlignment="1">
      <alignment horizontal="center" vertical="center"/>
    </xf>
    <xf numFmtId="3" fontId="42" fillId="0" borderId="0" xfId="44" applyNumberFormat="1" applyFont="1" applyAlignment="1">
      <alignment horizontal="left" vertical="center"/>
    </xf>
    <xf numFmtId="38" fontId="77" fillId="0" borderId="0" xfId="44" applyNumberFormat="1" applyFont="1" applyAlignment="1">
      <alignment horizontal="center" vertical="center"/>
    </xf>
    <xf numFmtId="0" fontId="30" fillId="20" borderId="179" xfId="44" applyFont="1" applyFill="1" applyBorder="1" applyAlignment="1">
      <alignment vertical="center" wrapText="1"/>
    </xf>
    <xf numFmtId="0" fontId="31" fillId="20" borderId="179" xfId="44" applyFont="1" applyFill="1" applyBorder="1" applyAlignment="1">
      <alignment horizontal="center" vertical="center"/>
    </xf>
    <xf numFmtId="38" fontId="31" fillId="20" borderId="179" xfId="44" applyNumberFormat="1" applyFont="1" applyFill="1" applyBorder="1" applyAlignment="1">
      <alignment horizontal="center" vertical="center"/>
    </xf>
    <xf numFmtId="38" fontId="35" fillId="20" borderId="179" xfId="44" applyNumberFormat="1" applyFont="1" applyFill="1" applyBorder="1" applyAlignment="1">
      <alignment horizontal="center" vertical="center"/>
    </xf>
    <xf numFmtId="3" fontId="71" fillId="0" borderId="0" xfId="44" applyNumberFormat="1" applyFont="1" applyAlignment="1">
      <alignment horizontal="left" vertical="center"/>
    </xf>
    <xf numFmtId="0" fontId="79" fillId="0" borderId="0" xfId="44" applyFont="1">
      <alignment vertical="center"/>
    </xf>
    <xf numFmtId="0" fontId="30" fillId="28" borderId="179" xfId="44" applyFont="1" applyFill="1" applyBorder="1" applyAlignment="1">
      <alignment vertical="center" wrapText="1"/>
    </xf>
    <xf numFmtId="0" fontId="31" fillId="28" borderId="179" xfId="44" applyFont="1" applyFill="1" applyBorder="1" applyAlignment="1">
      <alignment horizontal="center" vertical="center"/>
    </xf>
    <xf numFmtId="38" fontId="31" fillId="28" borderId="179" xfId="44" applyNumberFormat="1" applyFont="1" applyFill="1" applyBorder="1" applyAlignment="1">
      <alignment horizontal="center" vertical="center"/>
    </xf>
    <xf numFmtId="38" fontId="35" fillId="28" borderId="179" xfId="44" applyNumberFormat="1" applyFont="1" applyFill="1" applyBorder="1" applyAlignment="1">
      <alignment horizontal="center" vertical="center"/>
    </xf>
    <xf numFmtId="0" fontId="16" fillId="0" borderId="0" xfId="44" applyFont="1">
      <alignment vertical="center"/>
    </xf>
    <xf numFmtId="0" fontId="60" fillId="0" borderId="0" xfId="44" applyFont="1" applyAlignment="1">
      <alignment horizontal="center" vertical="center"/>
    </xf>
    <xf numFmtId="14" fontId="13" fillId="0" borderId="0" xfId="44" applyNumberFormat="1" applyFont="1" applyAlignment="1">
      <alignment horizontal="center" vertical="center"/>
    </xf>
    <xf numFmtId="38" fontId="13" fillId="6" borderId="0" xfId="44" applyNumberFormat="1" applyFont="1" applyFill="1" applyAlignment="1">
      <alignment horizontal="center" vertical="center"/>
    </xf>
    <xf numFmtId="38" fontId="13" fillId="0" borderId="0" xfId="44" applyNumberFormat="1" applyFont="1" applyAlignment="1">
      <alignment horizontal="center" vertical="center" wrapText="1"/>
    </xf>
    <xf numFmtId="0" fontId="81" fillId="0" borderId="0" xfId="44" applyFont="1" applyAlignment="1">
      <alignment horizontal="left" vertical="center"/>
    </xf>
    <xf numFmtId="0" fontId="8" fillId="29" borderId="179" xfId="44" applyFont="1" applyFill="1" applyBorder="1" applyAlignment="1">
      <alignment horizontal="center" vertical="center"/>
    </xf>
    <xf numFmtId="38" fontId="8" fillId="29" borderId="179" xfId="44" applyNumberFormat="1" applyFont="1" applyFill="1" applyBorder="1" applyAlignment="1">
      <alignment horizontal="center" vertical="center"/>
    </xf>
    <xf numFmtId="38" fontId="8" fillId="29" borderId="179" xfId="44" applyNumberFormat="1" applyFont="1" applyFill="1" applyBorder="1" applyAlignment="1">
      <alignment horizontal="center" vertical="center" wrapText="1"/>
    </xf>
    <xf numFmtId="40" fontId="8" fillId="29" borderId="179" xfId="44" applyNumberFormat="1" applyFont="1" applyFill="1" applyBorder="1" applyAlignment="1">
      <alignment horizontal="center" vertical="center" wrapText="1"/>
    </xf>
    <xf numFmtId="38" fontId="9" fillId="29" borderId="179" xfId="44" applyNumberFormat="1" applyFont="1" applyFill="1" applyBorder="1" applyAlignment="1">
      <alignment horizontal="center" vertical="center" wrapText="1"/>
    </xf>
    <xf numFmtId="178" fontId="9" fillId="29" borderId="179" xfId="44" applyNumberFormat="1" applyFont="1" applyFill="1" applyBorder="1" applyAlignment="1">
      <alignment horizontal="center" vertical="center" wrapText="1"/>
    </xf>
    <xf numFmtId="178" fontId="8" fillId="29" borderId="179" xfId="44" applyNumberFormat="1" applyFont="1" applyFill="1" applyBorder="1" applyAlignment="1">
      <alignment horizontal="center" vertical="center"/>
    </xf>
    <xf numFmtId="0" fontId="42" fillId="0" borderId="0" xfId="44" applyFont="1" applyAlignment="1">
      <alignment horizontal="left" vertical="center"/>
    </xf>
    <xf numFmtId="0" fontId="77" fillId="0" borderId="179" xfId="44" applyFont="1" applyBorder="1" applyAlignment="1">
      <alignment horizontal="center" vertical="center"/>
    </xf>
    <xf numFmtId="38" fontId="34" fillId="0" borderId="179" xfId="44" applyNumberFormat="1" applyFont="1" applyBorder="1" applyAlignment="1">
      <alignment horizontal="center" vertical="center"/>
    </xf>
    <xf numFmtId="0" fontId="30" fillId="30" borderId="179" xfId="44" applyFont="1" applyFill="1" applyBorder="1" applyAlignment="1">
      <alignment vertical="center" wrapText="1"/>
    </xf>
    <xf numFmtId="0" fontId="31" fillId="30" borderId="179" xfId="44" applyFont="1" applyFill="1" applyBorder="1" applyAlignment="1">
      <alignment horizontal="center" vertical="center"/>
    </xf>
    <xf numFmtId="38" fontId="31" fillId="30" borderId="179" xfId="44" applyNumberFormat="1" applyFont="1" applyFill="1" applyBorder="1" applyAlignment="1">
      <alignment horizontal="center" vertical="center"/>
    </xf>
    <xf numFmtId="38" fontId="35" fillId="30" borderId="179" xfId="44" applyNumberFormat="1" applyFont="1" applyFill="1" applyBorder="1" applyAlignment="1">
      <alignment horizontal="center" vertical="center"/>
    </xf>
    <xf numFmtId="0" fontId="82" fillId="0" borderId="0" xfId="44" applyFont="1" applyAlignment="1">
      <alignment horizontal="center" vertical="center"/>
    </xf>
    <xf numFmtId="0" fontId="8" fillId="0" borderId="0" xfId="44" applyFont="1">
      <alignment vertical="center"/>
    </xf>
    <xf numFmtId="0" fontId="50" fillId="0" borderId="0" xfId="44" applyFont="1" applyAlignment="1">
      <alignment horizontal="right" vertical="center"/>
    </xf>
    <xf numFmtId="0" fontId="83" fillId="0" borderId="0" xfId="44" applyFont="1">
      <alignment vertical="center"/>
    </xf>
    <xf numFmtId="0" fontId="8" fillId="0" borderId="0" xfId="44" applyFont="1" applyAlignment="1">
      <alignment horizontal="center" vertical="center"/>
    </xf>
    <xf numFmtId="38" fontId="8" fillId="0" borderId="0" xfId="44" applyNumberFormat="1" applyFont="1" applyAlignment="1">
      <alignment horizontal="center" vertical="center"/>
    </xf>
    <xf numFmtId="178" fontId="8" fillId="0" borderId="0" xfId="44" applyNumberFormat="1" applyFont="1" applyAlignment="1">
      <alignment horizontal="center" vertical="center"/>
    </xf>
    <xf numFmtId="3" fontId="8" fillId="0" borderId="0" xfId="44" applyNumberFormat="1" applyFont="1" applyAlignment="1">
      <alignment horizontal="center" vertical="center"/>
    </xf>
    <xf numFmtId="0" fontId="84" fillId="0" borderId="0" xfId="44" applyFont="1" applyAlignment="1">
      <alignment horizontal="right" vertical="center"/>
    </xf>
    <xf numFmtId="0" fontId="30" fillId="6" borderId="0" xfId="44" applyFont="1" applyFill="1">
      <alignment vertical="center"/>
    </xf>
    <xf numFmtId="0" fontId="31" fillId="30" borderId="179" xfId="44" applyFont="1" applyFill="1" applyBorder="1" applyAlignment="1">
      <alignment vertical="center" wrapText="1"/>
    </xf>
    <xf numFmtId="0" fontId="30" fillId="0" borderId="0" xfId="44" applyFont="1" applyAlignment="1">
      <alignment horizontal="center" vertical="center"/>
    </xf>
    <xf numFmtId="38" fontId="30" fillId="0" borderId="0" xfId="44" applyNumberFormat="1" applyFont="1" applyAlignment="1">
      <alignment horizontal="center" vertical="center"/>
    </xf>
    <xf numFmtId="38" fontId="30" fillId="0" borderId="0" xfId="44" applyNumberFormat="1" applyFont="1">
      <alignment vertical="center"/>
    </xf>
    <xf numFmtId="40" fontId="30" fillId="0" borderId="0" xfId="44" applyNumberFormat="1" applyFont="1">
      <alignment vertical="center"/>
    </xf>
    <xf numFmtId="38" fontId="36" fillId="0" borderId="0" xfId="44" applyNumberFormat="1" applyFont="1" applyAlignment="1">
      <alignment horizontal="center" vertical="center"/>
    </xf>
    <xf numFmtId="178" fontId="30" fillId="0" borderId="0" xfId="44" applyNumberFormat="1" applyFont="1">
      <alignment vertical="center"/>
    </xf>
    <xf numFmtId="38" fontId="55" fillId="0" borderId="0" xfId="44" applyNumberFormat="1" applyFont="1" applyAlignment="1">
      <alignment horizontal="center" vertical="center"/>
    </xf>
    <xf numFmtId="38" fontId="75" fillId="0" borderId="179" xfId="44" applyNumberFormat="1" applyFont="1" applyBorder="1" applyAlignment="1">
      <alignment horizontal="center" vertical="center"/>
    </xf>
    <xf numFmtId="38" fontId="30" fillId="0" borderId="179" xfId="44" applyNumberFormat="1" applyFont="1" applyBorder="1">
      <alignment vertical="center"/>
    </xf>
    <xf numFmtId="0" fontId="31" fillId="22" borderId="179" xfId="44" applyFont="1" applyFill="1" applyBorder="1" applyAlignment="1">
      <alignment vertical="center" wrapText="1"/>
    </xf>
    <xf numFmtId="0" fontId="31" fillId="22" borderId="179" xfId="44" applyFont="1" applyFill="1" applyBorder="1" applyAlignment="1">
      <alignment horizontal="center" vertical="center"/>
    </xf>
    <xf numFmtId="38" fontId="31" fillId="22" borderId="179" xfId="44" applyNumberFormat="1" applyFont="1" applyFill="1" applyBorder="1" applyAlignment="1">
      <alignment horizontal="center" vertical="center"/>
    </xf>
    <xf numFmtId="40" fontId="26" fillId="0" borderId="0" xfId="44" applyNumberFormat="1" applyFont="1">
      <alignment vertical="center"/>
    </xf>
    <xf numFmtId="0" fontId="57" fillId="0" borderId="0" xfId="44" applyFont="1">
      <alignment vertical="center"/>
    </xf>
    <xf numFmtId="178" fontId="30" fillId="0" borderId="0" xfId="44" applyNumberFormat="1" applyFont="1" applyAlignment="1">
      <alignment horizontal="center" vertical="center"/>
    </xf>
    <xf numFmtId="0" fontId="42" fillId="0" borderId="0" xfId="44" applyFont="1" applyAlignment="1">
      <alignment horizontal="center" vertical="center"/>
    </xf>
    <xf numFmtId="0" fontId="28" fillId="31" borderId="0" xfId="14" applyFont="1" applyFill="1">
      <alignment vertical="center"/>
    </xf>
    <xf numFmtId="0" fontId="12" fillId="31" borderId="0" xfId="2" applyFont="1" applyFill="1" applyAlignment="1">
      <alignment horizontal="center" vertical="center"/>
    </xf>
    <xf numFmtId="0" fontId="12" fillId="31" borderId="0" xfId="2" applyFont="1" applyFill="1">
      <alignment vertical="center"/>
    </xf>
    <xf numFmtId="0" fontId="0" fillId="31" borderId="0" xfId="0" applyFill="1"/>
    <xf numFmtId="0" fontId="12" fillId="0" borderId="0" xfId="56" applyFont="1">
      <alignment vertical="center"/>
    </xf>
    <xf numFmtId="0" fontId="12" fillId="0" borderId="0" xfId="57" applyFont="1" applyAlignment="1">
      <alignment horizontal="left" vertical="center"/>
    </xf>
    <xf numFmtId="0" fontId="12" fillId="0" borderId="0" xfId="56" applyFont="1" applyAlignment="1">
      <alignment horizontal="left" vertical="center"/>
    </xf>
    <xf numFmtId="0" fontId="12" fillId="3" borderId="275" xfId="2" applyFont="1" applyFill="1" applyBorder="1" applyAlignment="1">
      <alignment horizontal="center" vertical="center"/>
    </xf>
    <xf numFmtId="0" fontId="12" fillId="3" borderId="276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3" borderId="277" xfId="2" applyFont="1" applyFill="1" applyBorder="1" applyAlignment="1">
      <alignment horizontal="center" vertical="center"/>
    </xf>
    <xf numFmtId="0" fontId="12" fillId="3" borderId="278" xfId="2" applyFont="1" applyFill="1" applyBorder="1" applyAlignment="1">
      <alignment horizontal="center" vertical="center"/>
    </xf>
    <xf numFmtId="0" fontId="12" fillId="3" borderId="258" xfId="2" applyFont="1" applyFill="1" applyBorder="1" applyAlignment="1">
      <alignment horizontal="center" vertical="center"/>
    </xf>
    <xf numFmtId="0" fontId="20" fillId="10" borderId="280" xfId="2" applyFont="1" applyFill="1" applyBorder="1" applyAlignment="1">
      <alignment horizontal="center" vertical="center"/>
    </xf>
    <xf numFmtId="0" fontId="20" fillId="10" borderId="281" xfId="2" applyFont="1" applyFill="1" applyBorder="1" applyAlignment="1">
      <alignment horizontal="center" vertical="center"/>
    </xf>
    <xf numFmtId="0" fontId="17" fillId="31" borderId="0" xfId="58" applyFont="1" applyFill="1" applyAlignment="1"/>
    <xf numFmtId="0" fontId="113" fillId="31" borderId="0" xfId="16" applyFont="1" applyFill="1">
      <alignment vertical="center"/>
    </xf>
    <xf numFmtId="0" fontId="13" fillId="31" borderId="0" xfId="2" applyFont="1" applyFill="1" applyAlignment="1">
      <alignment horizontal="center" vertical="center"/>
    </xf>
    <xf numFmtId="0" fontId="13" fillId="31" borderId="0" xfId="2" applyFont="1" applyFill="1">
      <alignment vertical="center"/>
    </xf>
    <xf numFmtId="0" fontId="17" fillId="6" borderId="0" xfId="58" applyFont="1" applyFill="1" applyAlignment="1"/>
    <xf numFmtId="0" fontId="13" fillId="0" borderId="0" xfId="59" applyFont="1">
      <alignment vertical="center"/>
    </xf>
    <xf numFmtId="0" fontId="29" fillId="0" borderId="0" xfId="60" applyFont="1" applyAlignment="1">
      <alignment horizontal="left" vertical="center"/>
    </xf>
    <xf numFmtId="0" fontId="13" fillId="0" borderId="0" xfId="59" applyFont="1" applyAlignment="1">
      <alignment horizontal="left" vertical="center"/>
    </xf>
    <xf numFmtId="2" fontId="12" fillId="3" borderId="20" xfId="3" applyNumberFormat="1" applyFont="1" applyFill="1" applyBorder="1" applyAlignment="1">
      <alignment horizontal="center" vertical="center"/>
    </xf>
    <xf numFmtId="2" fontId="20" fillId="10" borderId="35" xfId="3" applyNumberFormat="1" applyFont="1" applyFill="1" applyBorder="1" applyAlignment="1">
      <alignment horizontal="center" vertical="center"/>
    </xf>
    <xf numFmtId="0" fontId="114" fillId="0" borderId="0" xfId="2" applyFont="1">
      <alignment vertical="center"/>
    </xf>
    <xf numFmtId="0" fontId="8" fillId="8" borderId="28" xfId="11" applyFont="1" applyFill="1" applyBorder="1" applyAlignment="1">
      <alignment horizontal="center" vertical="center" wrapText="1"/>
    </xf>
    <xf numFmtId="0" fontId="8" fillId="8" borderId="27" xfId="11" applyFont="1" applyFill="1" applyBorder="1" applyAlignment="1">
      <alignment horizontal="center" vertical="center" wrapText="1"/>
    </xf>
    <xf numFmtId="0" fontId="8" fillId="8" borderId="172" xfId="11" applyFont="1" applyFill="1" applyBorder="1" applyAlignment="1">
      <alignment horizontal="center" vertical="center" wrapText="1"/>
    </xf>
    <xf numFmtId="0" fontId="9" fillId="8" borderId="24" xfId="11" applyFont="1" applyFill="1" applyBorder="1" applyAlignment="1">
      <alignment horizontal="center" vertical="center"/>
    </xf>
    <xf numFmtId="0" fontId="9" fillId="8" borderId="24" xfId="11" applyFont="1" applyFill="1" applyBorder="1" applyAlignment="1">
      <alignment horizontal="center" vertical="center" wrapText="1"/>
    </xf>
    <xf numFmtId="0" fontId="8" fillId="8" borderId="24" xfId="11" applyFont="1" applyFill="1" applyBorder="1" applyAlignment="1">
      <alignment horizontal="center" vertical="center" wrapText="1"/>
    </xf>
    <xf numFmtId="0" fontId="9" fillId="8" borderId="282" xfId="11" applyFont="1" applyFill="1" applyBorder="1" applyAlignment="1">
      <alignment horizontal="center" vertical="center" wrapText="1"/>
    </xf>
    <xf numFmtId="0" fontId="8" fillId="8" borderId="173" xfId="11" applyFont="1" applyFill="1" applyBorder="1" applyAlignment="1">
      <alignment horizontal="center" vertical="center"/>
    </xf>
    <xf numFmtId="0" fontId="8" fillId="8" borderId="24" xfId="11" applyFont="1" applyFill="1" applyBorder="1" applyAlignment="1">
      <alignment horizontal="center" vertical="center"/>
    </xf>
    <xf numFmtId="0" fontId="8" fillId="8" borderId="23" xfId="11" applyFont="1" applyFill="1" applyBorder="1" applyAlignment="1">
      <alignment horizontal="center" vertical="center"/>
    </xf>
    <xf numFmtId="0" fontId="13" fillId="6" borderId="13" xfId="11" applyFont="1" applyFill="1" applyBorder="1" applyAlignment="1">
      <alignment horizontal="center" vertical="center"/>
    </xf>
    <xf numFmtId="182" fontId="11" fillId="6" borderId="15" xfId="12" applyNumberFormat="1" applyFont="1" applyFill="1" applyBorder="1" applyAlignment="1">
      <alignment horizontal="center" vertical="center"/>
    </xf>
    <xf numFmtId="182" fontId="13" fillId="6" borderId="78" xfId="12" applyNumberFormat="1" applyFont="1" applyFill="1" applyBorder="1" applyAlignment="1">
      <alignment horizontal="center" vertical="center"/>
    </xf>
    <xf numFmtId="3" fontId="13" fillId="6" borderId="256" xfId="11" applyNumberFormat="1" applyFont="1" applyFill="1" applyBorder="1" applyAlignment="1">
      <alignment horizontal="center" vertical="center" wrapText="1"/>
    </xf>
    <xf numFmtId="181" fontId="13" fillId="6" borderId="13" xfId="12" applyNumberFormat="1" applyFont="1" applyFill="1" applyBorder="1" applyAlignment="1">
      <alignment horizontal="center" vertical="center"/>
    </xf>
    <xf numFmtId="3" fontId="13" fillId="7" borderId="13" xfId="11" applyNumberFormat="1" applyFont="1" applyFill="1" applyBorder="1" applyAlignment="1">
      <alignment horizontal="center" vertical="center"/>
    </xf>
    <xf numFmtId="179" fontId="13" fillId="6" borderId="13" xfId="30" applyNumberFormat="1" applyFont="1" applyFill="1" applyBorder="1" applyAlignment="1">
      <alignment horizontal="center" vertical="center"/>
    </xf>
    <xf numFmtId="3" fontId="13" fillId="6" borderId="13" xfId="11" applyNumberFormat="1" applyFont="1" applyFill="1" applyBorder="1" applyAlignment="1">
      <alignment horizontal="center" vertical="center"/>
    </xf>
    <xf numFmtId="179" fontId="13" fillId="7" borderId="13" xfId="30" applyNumberFormat="1" applyFont="1" applyFill="1" applyBorder="1" applyAlignment="1">
      <alignment horizontal="center" vertical="center"/>
    </xf>
    <xf numFmtId="180" fontId="13" fillId="6" borderId="13" xfId="11" applyNumberFormat="1" applyFont="1" applyFill="1" applyBorder="1" applyAlignment="1">
      <alignment horizontal="center" vertical="center"/>
    </xf>
    <xf numFmtId="180" fontId="13" fillId="7" borderId="13" xfId="11" applyNumberFormat="1" applyFont="1" applyFill="1" applyBorder="1" applyAlignment="1">
      <alignment horizontal="center" vertical="center"/>
    </xf>
    <xf numFmtId="178" fontId="13" fillId="6" borderId="13" xfId="62" applyNumberFormat="1" applyFont="1" applyFill="1" applyBorder="1" applyAlignment="1">
      <alignment horizontal="center" vertical="center"/>
    </xf>
    <xf numFmtId="3" fontId="13" fillId="5" borderId="11" xfId="11" applyNumberFormat="1" applyFont="1" applyFill="1" applyBorder="1" applyAlignment="1">
      <alignment horizontal="center" vertical="center"/>
    </xf>
    <xf numFmtId="3" fontId="13" fillId="0" borderId="17" xfId="11" applyNumberFormat="1" applyFont="1" applyBorder="1" applyAlignment="1">
      <alignment horizontal="center" vertical="center"/>
    </xf>
    <xf numFmtId="179" fontId="13" fillId="6" borderId="13" xfId="28" applyNumberFormat="1" applyFont="1" applyFill="1" applyBorder="1" applyAlignment="1">
      <alignment horizontal="center" vertical="center"/>
    </xf>
    <xf numFmtId="38" fontId="13" fillId="6" borderId="13" xfId="11" applyNumberFormat="1" applyFont="1" applyFill="1" applyBorder="1" applyAlignment="1">
      <alignment horizontal="center" vertical="center"/>
    </xf>
    <xf numFmtId="38" fontId="13" fillId="7" borderId="13" xfId="11" applyNumberFormat="1" applyFont="1" applyFill="1" applyBorder="1" applyAlignment="1">
      <alignment horizontal="center" vertical="center"/>
    </xf>
    <xf numFmtId="2" fontId="13" fillId="6" borderId="13" xfId="63" applyNumberFormat="1" applyFont="1" applyFill="1" applyBorder="1" applyAlignment="1">
      <alignment horizontal="center" vertical="center"/>
    </xf>
    <xf numFmtId="3" fontId="13" fillId="6" borderId="16" xfId="11" applyNumberFormat="1" applyFont="1" applyFill="1" applyBorder="1" applyAlignment="1">
      <alignment horizontal="center" vertical="center"/>
    </xf>
    <xf numFmtId="0" fontId="8" fillId="2" borderId="5" xfId="11" applyFont="1" applyFill="1" applyBorder="1" applyAlignment="1">
      <alignment horizontal="center" vertical="center"/>
    </xf>
    <xf numFmtId="182" fontId="10" fillId="2" borderId="7" xfId="12" applyNumberFormat="1" applyFont="1" applyFill="1" applyBorder="1" applyAlignment="1">
      <alignment horizontal="center" vertical="center"/>
    </xf>
    <xf numFmtId="182" fontId="8" fillId="2" borderId="5" xfId="12" applyNumberFormat="1" applyFont="1" applyFill="1" applyBorder="1" applyAlignment="1">
      <alignment horizontal="center" vertical="center"/>
    </xf>
    <xf numFmtId="182" fontId="8" fillId="2" borderId="6" xfId="12" applyNumberFormat="1" applyFont="1" applyFill="1" applyBorder="1" applyAlignment="1">
      <alignment horizontal="center" vertical="center"/>
    </xf>
    <xf numFmtId="3" fontId="8" fillId="2" borderId="3" xfId="11" applyNumberFormat="1" applyFont="1" applyFill="1" applyBorder="1" applyAlignment="1">
      <alignment horizontal="center" vertical="center"/>
    </xf>
    <xf numFmtId="181" fontId="8" fillId="2" borderId="2" xfId="12" applyNumberFormat="1" applyFont="1" applyFill="1" applyBorder="1" applyAlignment="1">
      <alignment horizontal="center" vertical="center"/>
    </xf>
    <xf numFmtId="3" fontId="8" fillId="2" borderId="2" xfId="11" applyNumberFormat="1" applyFont="1" applyFill="1" applyBorder="1" applyAlignment="1">
      <alignment horizontal="center" vertical="center"/>
    </xf>
    <xf numFmtId="179" fontId="8" fillId="2" borderId="2" xfId="30" applyNumberFormat="1" applyFont="1" applyFill="1" applyBorder="1" applyAlignment="1">
      <alignment horizontal="center" vertical="center"/>
    </xf>
    <xf numFmtId="180" fontId="8" fillId="2" borderId="2" xfId="11" applyNumberFormat="1" applyFont="1" applyFill="1" applyBorder="1" applyAlignment="1">
      <alignment horizontal="center" vertical="center"/>
    </xf>
    <xf numFmtId="178" fontId="8" fillId="2" borderId="2" xfId="62" applyNumberFormat="1" applyFont="1" applyFill="1" applyBorder="1" applyAlignment="1">
      <alignment horizontal="center" vertical="center"/>
    </xf>
    <xf numFmtId="179" fontId="8" fillId="2" borderId="2" xfId="28" applyNumberFormat="1" applyFont="1" applyFill="1" applyBorder="1" applyAlignment="1">
      <alignment horizontal="center" vertical="center"/>
    </xf>
    <xf numFmtId="38" fontId="9" fillId="2" borderId="2" xfId="11" applyNumberFormat="1" applyFont="1" applyFill="1" applyBorder="1" applyAlignment="1">
      <alignment horizontal="center" vertical="center"/>
    </xf>
    <xf numFmtId="2" fontId="9" fillId="2" borderId="2" xfId="63" applyNumberFormat="1" applyFont="1" applyFill="1" applyBorder="1" applyAlignment="1">
      <alignment horizontal="center" vertical="center"/>
    </xf>
    <xf numFmtId="3" fontId="8" fillId="2" borderId="1" xfId="11" applyNumberFormat="1" applyFont="1" applyFill="1" applyBorder="1" applyAlignment="1">
      <alignment horizontal="center" vertical="center"/>
    </xf>
    <xf numFmtId="3" fontId="50" fillId="0" borderId="0" xfId="2" applyNumberFormat="1" applyFont="1" applyAlignment="1">
      <alignment horizontal="left" vertical="center"/>
    </xf>
    <xf numFmtId="3" fontId="115" fillId="0" borderId="0" xfId="2" applyNumberFormat="1" applyFont="1">
      <alignment vertical="center"/>
    </xf>
    <xf numFmtId="179" fontId="115" fillId="0" borderId="0" xfId="1" applyNumberFormat="1" applyFont="1" applyAlignment="1">
      <alignment horizontal="center" vertical="center"/>
    </xf>
    <xf numFmtId="0" fontId="115" fillId="0" borderId="0" xfId="2" applyFont="1">
      <alignment vertical="center"/>
    </xf>
    <xf numFmtId="1" fontId="115" fillId="0" borderId="0" xfId="2" applyNumberFormat="1" applyFont="1" applyAlignment="1">
      <alignment horizontal="center" vertical="center"/>
    </xf>
    <xf numFmtId="10" fontId="115" fillId="0" borderId="0" xfId="2" applyNumberFormat="1" applyFont="1" applyAlignment="1">
      <alignment horizontal="center" vertical="center"/>
    </xf>
    <xf numFmtId="0" fontId="49" fillId="3" borderId="0" xfId="59" applyFont="1" applyFill="1" applyAlignment="1"/>
    <xf numFmtId="0" fontId="19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50" fillId="0" borderId="0" xfId="2" applyFont="1" applyAlignment="1">
      <alignment horizontal="left" vertical="center"/>
    </xf>
    <xf numFmtId="3" fontId="13" fillId="6" borderId="256" xfId="11" applyNumberFormat="1" applyFont="1" applyFill="1" applyBorder="1" applyAlignment="1">
      <alignment horizontal="center" vertical="center"/>
    </xf>
    <xf numFmtId="0" fontId="42" fillId="0" borderId="0" xfId="64" applyFont="1" applyAlignment="1">
      <alignment horizontal="left" vertical="center"/>
    </xf>
    <xf numFmtId="0" fontId="13" fillId="6" borderId="95" xfId="11" applyFont="1" applyFill="1" applyBorder="1" applyAlignment="1">
      <alignment horizontal="center" vertical="center"/>
    </xf>
    <xf numFmtId="0" fontId="8" fillId="2" borderId="235" xfId="11" applyFont="1" applyFill="1" applyBorder="1" applyAlignment="1">
      <alignment horizontal="center" vertical="center"/>
    </xf>
    <xf numFmtId="0" fontId="25" fillId="0" borderId="0" xfId="65" applyFont="1">
      <alignment vertical="center"/>
    </xf>
    <xf numFmtId="0" fontId="25" fillId="0" borderId="0" xfId="2" applyFont="1" applyAlignment="1">
      <alignment horizontal="left" vertical="center"/>
    </xf>
    <xf numFmtId="3" fontId="23" fillId="6" borderId="67" xfId="11" applyNumberFormat="1" applyFont="1" applyFill="1" applyBorder="1" applyAlignment="1">
      <alignment horizontal="center" vertical="center"/>
    </xf>
    <xf numFmtId="0" fontId="23" fillId="6" borderId="85" xfId="2" applyFont="1" applyFill="1" applyBorder="1" applyAlignment="1">
      <alignment horizontal="center" vertical="center"/>
    </xf>
    <xf numFmtId="0" fontId="23" fillId="6" borderId="14" xfId="2" applyFont="1" applyFill="1" applyBorder="1" applyAlignment="1">
      <alignment horizontal="center" vertical="center"/>
    </xf>
    <xf numFmtId="182" fontId="23" fillId="6" borderId="14" xfId="3" applyNumberFormat="1" applyFont="1" applyFill="1" applyBorder="1" applyAlignment="1">
      <alignment horizontal="center" vertical="center"/>
    </xf>
    <xf numFmtId="182" fontId="23" fillId="6" borderId="11" xfId="3" applyNumberFormat="1" applyFont="1" applyFill="1" applyBorder="1" applyAlignment="1">
      <alignment horizontal="center" vertical="center"/>
    </xf>
    <xf numFmtId="3" fontId="23" fillId="6" borderId="14" xfId="11" applyNumberFormat="1" applyFont="1" applyFill="1" applyBorder="1" applyAlignment="1">
      <alignment horizontal="center" vertical="center"/>
    </xf>
    <xf numFmtId="3" fontId="23" fillId="15" borderId="14" xfId="11" applyNumberFormat="1" applyFont="1" applyFill="1" applyBorder="1" applyAlignment="1">
      <alignment horizontal="center" vertical="center"/>
    </xf>
    <xf numFmtId="178" fontId="23" fillId="6" borderId="14" xfId="7" applyNumberFormat="1" applyFont="1" applyFill="1" applyBorder="1" applyAlignment="1">
      <alignment horizontal="center" vertical="center"/>
    </xf>
    <xf numFmtId="3" fontId="23" fillId="0" borderId="68" xfId="11" applyNumberFormat="1" applyFont="1" applyBorder="1" applyAlignment="1">
      <alignment horizontal="center" vertical="center"/>
    </xf>
    <xf numFmtId="3" fontId="23" fillId="15" borderId="174" xfId="11" applyNumberFormat="1" applyFont="1" applyFill="1" applyBorder="1" applyAlignment="1">
      <alignment horizontal="center" vertical="center"/>
    </xf>
    <xf numFmtId="38" fontId="24" fillId="14" borderId="5" xfId="11" applyNumberFormat="1" applyFont="1" applyFill="1" applyBorder="1" applyAlignment="1">
      <alignment horizontal="center" vertical="center"/>
    </xf>
    <xf numFmtId="180" fontId="23" fillId="6" borderId="13" xfId="11" applyNumberFormat="1" applyFont="1" applyFill="1" applyBorder="1" applyAlignment="1">
      <alignment horizontal="center" vertical="center"/>
    </xf>
    <xf numFmtId="180" fontId="23" fillId="15" borderId="13" xfId="11" applyNumberFormat="1" applyFont="1" applyFill="1" applyBorder="1" applyAlignment="1">
      <alignment horizontal="center" vertical="center"/>
    </xf>
    <xf numFmtId="179" fontId="23" fillId="6" borderId="13" xfId="66" applyNumberFormat="1" applyFont="1" applyFill="1" applyBorder="1" applyAlignment="1">
      <alignment horizontal="center" vertical="center"/>
    </xf>
    <xf numFmtId="179" fontId="24" fillId="14" borderId="2" xfId="66" applyNumberFormat="1" applyFont="1" applyFill="1" applyBorder="1" applyAlignment="1">
      <alignment horizontal="center" vertical="center"/>
    </xf>
    <xf numFmtId="0" fontId="8" fillId="8" borderId="167" xfId="11" applyFont="1" applyFill="1" applyBorder="1" applyAlignment="1">
      <alignment horizontal="center" vertical="center" wrapText="1"/>
    </xf>
    <xf numFmtId="0" fontId="8" fillId="8" borderId="25" xfId="11" applyFont="1" applyFill="1" applyBorder="1" applyAlignment="1">
      <alignment horizontal="center" vertical="center"/>
    </xf>
    <xf numFmtId="0" fontId="116" fillId="6" borderId="0" xfId="37" applyFont="1" applyFill="1"/>
    <xf numFmtId="0" fontId="116" fillId="6" borderId="0" xfId="32" applyFont="1" applyFill="1" applyAlignment="1"/>
    <xf numFmtId="179" fontId="13" fillId="6" borderId="13" xfId="62" applyNumberFormat="1" applyFont="1" applyFill="1" applyBorder="1" applyAlignment="1">
      <alignment horizontal="center" vertical="center"/>
    </xf>
    <xf numFmtId="178" fontId="13" fillId="6" borderId="237" xfId="62" applyNumberFormat="1" applyFont="1" applyFill="1" applyBorder="1" applyAlignment="1">
      <alignment horizontal="center" vertical="center"/>
    </xf>
    <xf numFmtId="179" fontId="8" fillId="2" borderId="2" xfId="62" applyNumberFormat="1" applyFont="1" applyFill="1" applyBorder="1" applyAlignment="1">
      <alignment horizontal="center" vertical="center"/>
    </xf>
    <xf numFmtId="0" fontId="34" fillId="0" borderId="0" xfId="2" applyFont="1">
      <alignment vertical="center"/>
    </xf>
    <xf numFmtId="9" fontId="17" fillId="6" borderId="0" xfId="8" applyFont="1" applyFill="1" applyAlignment="1"/>
    <xf numFmtId="0" fontId="32" fillId="0" borderId="0" xfId="67" applyFont="1">
      <alignment vertical="center"/>
    </xf>
    <xf numFmtId="10" fontId="30" fillId="0" borderId="0" xfId="1" applyNumberFormat="1" applyFont="1" applyAlignment="1">
      <alignment horizontal="center" vertical="center"/>
    </xf>
    <xf numFmtId="185" fontId="34" fillId="0" borderId="0" xfId="2" applyNumberFormat="1" applyFont="1">
      <alignment vertical="center"/>
    </xf>
    <xf numFmtId="3" fontId="51" fillId="0" borderId="0" xfId="58" applyNumberFormat="1" applyFont="1" applyAlignment="1"/>
    <xf numFmtId="0" fontId="42" fillId="0" borderId="0" xfId="64" applyFont="1">
      <alignment vertical="center"/>
    </xf>
    <xf numFmtId="0" fontId="42" fillId="6" borderId="0" xfId="59" applyFont="1" applyFill="1" applyAlignment="1">
      <alignment horizontal="left" vertical="center"/>
    </xf>
    <xf numFmtId="0" fontId="12" fillId="0" borderId="0" xfId="68" applyFont="1">
      <alignment vertical="center"/>
    </xf>
    <xf numFmtId="0" fontId="12" fillId="0" borderId="0" xfId="69" applyFont="1" applyAlignment="1">
      <alignment horizontal="left" vertical="center"/>
    </xf>
    <xf numFmtId="0" fontId="12" fillId="0" borderId="0" xfId="68" applyFont="1" applyAlignment="1">
      <alignment horizontal="left" vertical="center"/>
    </xf>
    <xf numFmtId="0" fontId="107" fillId="0" borderId="0" xfId="70" applyFont="1">
      <alignment vertical="center"/>
    </xf>
    <xf numFmtId="0" fontId="25" fillId="0" borderId="0" xfId="71" applyFont="1">
      <alignment vertical="center"/>
    </xf>
    <xf numFmtId="0" fontId="13" fillId="31" borderId="0" xfId="5" applyFont="1" applyFill="1">
      <alignment vertical="center"/>
    </xf>
    <xf numFmtId="0" fontId="13" fillId="31" borderId="0" xfId="5" applyFont="1" applyFill="1" applyAlignment="1">
      <alignment horizontal="center" vertical="center"/>
    </xf>
    <xf numFmtId="0" fontId="13" fillId="0" borderId="0" xfId="47" applyFont="1">
      <alignment vertical="center"/>
    </xf>
    <xf numFmtId="0" fontId="13" fillId="0" borderId="0" xfId="51" applyFont="1">
      <alignment vertical="center"/>
    </xf>
    <xf numFmtId="0" fontId="29" fillId="0" borderId="0" xfId="72" applyFont="1" applyAlignment="1">
      <alignment horizontal="left" vertical="center"/>
    </xf>
    <xf numFmtId="0" fontId="13" fillId="0" borderId="0" xfId="47" applyFont="1" applyAlignment="1">
      <alignment horizontal="left" vertical="center"/>
    </xf>
    <xf numFmtId="189" fontId="12" fillId="0" borderId="20" xfId="3" applyNumberFormat="1" applyFont="1" applyBorder="1" applyAlignment="1">
      <alignment horizontal="center" vertical="center"/>
    </xf>
    <xf numFmtId="189" fontId="20" fillId="10" borderId="35" xfId="3" applyNumberFormat="1" applyFont="1" applyFill="1" applyBorder="1" applyAlignment="1">
      <alignment horizontal="center" vertical="center"/>
    </xf>
    <xf numFmtId="0" fontId="23" fillId="6" borderId="17" xfId="2" applyFont="1" applyFill="1" applyBorder="1" applyAlignment="1">
      <alignment horizontal="center" vertical="center" wrapText="1"/>
    </xf>
    <xf numFmtId="2" fontId="23" fillId="6" borderId="13" xfId="4" applyNumberFormat="1" applyFont="1" applyFill="1" applyBorder="1" applyAlignment="1">
      <alignment horizontal="center" vertical="center"/>
    </xf>
    <xf numFmtId="0" fontId="23" fillId="6" borderId="18" xfId="2" applyFont="1" applyFill="1" applyBorder="1" applyAlignment="1">
      <alignment horizontal="center" vertical="center" wrapText="1"/>
    </xf>
    <xf numFmtId="0" fontId="23" fillId="6" borderId="17" xfId="2" applyFont="1" applyFill="1" applyBorder="1" applyAlignment="1">
      <alignment horizontal="center" vertical="center"/>
    </xf>
    <xf numFmtId="2" fontId="24" fillId="14" borderId="13" xfId="4" applyNumberFormat="1" applyFont="1" applyFill="1" applyBorder="1" applyAlignment="1">
      <alignment horizontal="center" vertical="center"/>
    </xf>
    <xf numFmtId="2" fontId="24" fillId="14" borderId="13" xfId="10" applyNumberFormat="1" applyFont="1" applyFill="1" applyBorder="1" applyAlignment="1">
      <alignment horizontal="center" vertical="center"/>
    </xf>
    <xf numFmtId="2" fontId="24" fillId="14" borderId="5" xfId="4" applyNumberFormat="1" applyFont="1" applyFill="1" applyBorder="1" applyAlignment="1">
      <alignment horizontal="center" vertical="center"/>
    </xf>
    <xf numFmtId="3" fontId="13" fillId="0" borderId="0" xfId="5" applyNumberFormat="1" applyFont="1" applyAlignment="1">
      <alignment horizontal="left" vertical="center"/>
    </xf>
    <xf numFmtId="179" fontId="12" fillId="0" borderId="0" xfId="1" applyNumberFormat="1" applyFont="1">
      <alignment vertical="center"/>
    </xf>
    <xf numFmtId="0" fontId="24" fillId="6" borderId="0" xfId="2" applyFont="1" applyFill="1" applyAlignment="1">
      <alignment horizontal="center" vertical="center"/>
    </xf>
    <xf numFmtId="182" fontId="10" fillId="6" borderId="0" xfId="10" applyNumberFormat="1" applyFont="1" applyFill="1" applyBorder="1" applyAlignment="1">
      <alignment horizontal="center" vertical="center"/>
    </xf>
    <xf numFmtId="182" fontId="24" fillId="6" borderId="0" xfId="10" applyNumberFormat="1" applyFont="1" applyFill="1" applyBorder="1" applyAlignment="1">
      <alignment horizontal="center" vertical="center"/>
    </xf>
    <xf numFmtId="3" fontId="24" fillId="6" borderId="0" xfId="2" applyNumberFormat="1" applyFont="1" applyFill="1" applyAlignment="1">
      <alignment horizontal="center" vertical="center"/>
    </xf>
    <xf numFmtId="181" fontId="24" fillId="6" borderId="0" xfId="10" applyNumberFormat="1" applyFont="1" applyFill="1" applyBorder="1" applyAlignment="1">
      <alignment horizontal="center" vertical="center"/>
    </xf>
    <xf numFmtId="3" fontId="24" fillId="6" borderId="0" xfId="2" applyNumberFormat="1" applyFont="1" applyFill="1" applyAlignment="1">
      <alignment horizontal="center" vertical="center" wrapText="1"/>
    </xf>
    <xf numFmtId="179" fontId="24" fillId="6" borderId="0" xfId="4" applyNumberFormat="1" applyFont="1" applyFill="1" applyBorder="1" applyAlignment="1">
      <alignment horizontal="center" vertical="center"/>
    </xf>
    <xf numFmtId="179" fontId="24" fillId="6" borderId="0" xfId="27" applyNumberFormat="1" applyFont="1" applyFill="1" applyBorder="1" applyAlignment="1">
      <alignment horizontal="center" vertical="center"/>
    </xf>
    <xf numFmtId="179" fontId="24" fillId="6" borderId="0" xfId="1" applyNumberFormat="1" applyFont="1" applyFill="1" applyBorder="1" applyAlignment="1">
      <alignment horizontal="center" vertical="center"/>
    </xf>
    <xf numFmtId="180" fontId="24" fillId="6" borderId="0" xfId="2" applyNumberFormat="1" applyFont="1" applyFill="1" applyAlignment="1">
      <alignment horizontal="center" vertical="center"/>
    </xf>
    <xf numFmtId="178" fontId="24" fillId="6" borderId="0" xfId="4" applyNumberFormat="1" applyFont="1" applyFill="1" applyBorder="1" applyAlignment="1">
      <alignment horizontal="center" vertical="center"/>
    </xf>
    <xf numFmtId="38" fontId="24" fillId="6" borderId="0" xfId="2" applyNumberFormat="1" applyFont="1" applyFill="1" applyAlignment="1">
      <alignment horizontal="center" vertical="center"/>
    </xf>
    <xf numFmtId="178" fontId="24" fillId="6" borderId="0" xfId="10" applyNumberFormat="1" applyFont="1" applyFill="1" applyBorder="1" applyAlignment="1">
      <alignment horizontal="center" vertical="center"/>
    </xf>
    <xf numFmtId="0" fontId="19" fillId="6" borderId="13" xfId="2" applyFont="1" applyFill="1" applyBorder="1" applyAlignment="1">
      <alignment horizontal="center" vertical="center"/>
    </xf>
    <xf numFmtId="179" fontId="13" fillId="6" borderId="12" xfId="27" applyNumberFormat="1" applyFont="1" applyFill="1" applyBorder="1" applyAlignment="1">
      <alignment horizontal="center" vertical="center"/>
    </xf>
    <xf numFmtId="179" fontId="13" fillId="7" borderId="12" xfId="27" applyNumberFormat="1" applyFont="1" applyFill="1" applyBorder="1" applyAlignment="1">
      <alignment horizontal="center" vertical="center"/>
    </xf>
    <xf numFmtId="178" fontId="13" fillId="6" borderId="12" xfId="27" applyNumberFormat="1" applyFont="1" applyFill="1" applyBorder="1" applyAlignment="1">
      <alignment horizontal="center" vertical="center"/>
    </xf>
    <xf numFmtId="179" fontId="13" fillId="6" borderId="13" xfId="27" applyNumberFormat="1" applyFont="1" applyFill="1" applyBorder="1" applyAlignment="1">
      <alignment horizontal="center" vertical="center"/>
    </xf>
    <xf numFmtId="179" fontId="13" fillId="7" borderId="13" xfId="27" applyNumberFormat="1" applyFont="1" applyFill="1" applyBorder="1" applyAlignment="1">
      <alignment horizontal="center" vertical="center"/>
    </xf>
    <xf numFmtId="178" fontId="13" fillId="6" borderId="13" xfId="27" applyNumberFormat="1" applyFont="1" applyFill="1" applyBorder="1" applyAlignment="1">
      <alignment horizontal="center" vertical="center"/>
    </xf>
    <xf numFmtId="179" fontId="8" fillId="2" borderId="2" xfId="27" applyNumberFormat="1" applyFont="1" applyFill="1" applyBorder="1" applyAlignment="1">
      <alignment horizontal="center" vertical="center"/>
    </xf>
    <xf numFmtId="178" fontId="8" fillId="2" borderId="2" xfId="27" applyNumberFormat="1" applyFont="1" applyFill="1" applyBorder="1" applyAlignment="1">
      <alignment horizontal="center" vertical="center"/>
    </xf>
    <xf numFmtId="14" fontId="13" fillId="0" borderId="0" xfId="5" applyNumberFormat="1" applyFont="1">
      <alignment vertical="center"/>
    </xf>
    <xf numFmtId="0" fontId="42" fillId="6" borderId="0" xfId="47" applyFont="1" applyFill="1" applyAlignment="1">
      <alignment horizontal="left" vertical="center"/>
    </xf>
    <xf numFmtId="0" fontId="17" fillId="0" borderId="0" xfId="37" applyFont="1"/>
    <xf numFmtId="0" fontId="23" fillId="32" borderId="0" xfId="2" applyFont="1" applyFill="1">
      <alignment vertical="center"/>
    </xf>
    <xf numFmtId="0" fontId="90" fillId="32" borderId="0" xfId="40" applyFont="1" applyFill="1">
      <alignment vertical="center"/>
    </xf>
    <xf numFmtId="0" fontId="23" fillId="32" borderId="0" xfId="2" applyFont="1" applyFill="1" applyAlignment="1">
      <alignment horizontal="center" vertical="center"/>
    </xf>
    <xf numFmtId="0" fontId="11" fillId="0" borderId="0" xfId="40" applyFont="1" applyAlignment="1">
      <alignment horizontal="left" vertical="center"/>
    </xf>
    <xf numFmtId="0" fontId="24" fillId="8" borderId="285" xfId="2" applyFont="1" applyFill="1" applyBorder="1" applyAlignment="1">
      <alignment horizontal="center" vertical="center" wrapText="1"/>
    </xf>
    <xf numFmtId="0" fontId="24" fillId="8" borderId="27" xfId="2" applyFont="1" applyFill="1" applyBorder="1" applyAlignment="1">
      <alignment horizontal="center" vertical="center" wrapText="1"/>
    </xf>
    <xf numFmtId="0" fontId="24" fillId="8" borderId="286" xfId="2" applyFont="1" applyFill="1" applyBorder="1" applyAlignment="1">
      <alignment horizontal="center" vertical="center" wrapText="1"/>
    </xf>
    <xf numFmtId="0" fontId="15" fillId="8" borderId="248" xfId="2" applyFont="1" applyFill="1" applyBorder="1" applyAlignment="1">
      <alignment horizontal="center" vertical="center"/>
    </xf>
    <xf numFmtId="0" fontId="24" fillId="8" borderId="249" xfId="2" applyFont="1" applyFill="1" applyBorder="1" applyAlignment="1">
      <alignment horizontal="center" vertical="center" wrapText="1"/>
    </xf>
    <xf numFmtId="0" fontId="24" fillId="8" borderId="246" xfId="2" applyFont="1" applyFill="1" applyBorder="1" applyAlignment="1">
      <alignment horizontal="center" vertical="center"/>
    </xf>
    <xf numFmtId="0" fontId="23" fillId="6" borderId="12" xfId="2" applyFont="1" applyFill="1" applyBorder="1" applyAlignment="1">
      <alignment horizontal="center" vertical="center"/>
    </xf>
    <xf numFmtId="0" fontId="23" fillId="6" borderId="272" xfId="2" applyFont="1" applyFill="1" applyBorder="1" applyAlignment="1">
      <alignment horizontal="center" vertical="center"/>
    </xf>
    <xf numFmtId="0" fontId="12" fillId="6" borderId="284" xfId="2" applyFont="1" applyFill="1" applyBorder="1" applyAlignment="1">
      <alignment horizontal="center" vertical="center"/>
    </xf>
    <xf numFmtId="3" fontId="23" fillId="0" borderId="15" xfId="2" applyNumberFormat="1" applyFont="1" applyBorder="1" applyAlignment="1">
      <alignment horizontal="center" vertical="center" wrapText="1"/>
    </xf>
    <xf numFmtId="3" fontId="23" fillId="15" borderId="12" xfId="2" applyNumberFormat="1" applyFont="1" applyFill="1" applyBorder="1" applyAlignment="1">
      <alignment horizontal="center" vertical="center" wrapText="1"/>
    </xf>
    <xf numFmtId="179" fontId="23" fillId="6" borderId="12" xfId="4" applyNumberFormat="1" applyFont="1" applyFill="1" applyBorder="1" applyAlignment="1">
      <alignment horizontal="center" vertical="center"/>
    </xf>
    <xf numFmtId="38" fontId="23" fillId="6" borderId="12" xfId="2" applyNumberFormat="1" applyFont="1" applyFill="1" applyBorder="1" applyAlignment="1">
      <alignment horizontal="center" vertical="center"/>
    </xf>
    <xf numFmtId="38" fontId="23" fillId="15" borderId="12" xfId="2" applyNumberFormat="1" applyFont="1" applyFill="1" applyBorder="1" applyAlignment="1">
      <alignment horizontal="center" vertical="center"/>
    </xf>
    <xf numFmtId="3" fontId="23" fillId="6" borderId="12" xfId="2" applyNumberFormat="1" applyFont="1" applyFill="1" applyBorder="1" applyAlignment="1">
      <alignment horizontal="center" vertical="center"/>
    </xf>
    <xf numFmtId="178" fontId="23" fillId="6" borderId="12" xfId="10" applyNumberFormat="1" applyFont="1" applyFill="1" applyBorder="1" applyAlignment="1">
      <alignment horizontal="center" vertical="center"/>
    </xf>
    <xf numFmtId="3" fontId="23" fillId="6" borderId="22" xfId="2" applyNumberFormat="1" applyFont="1" applyFill="1" applyBorder="1" applyAlignment="1">
      <alignment horizontal="center" vertical="center"/>
    </xf>
    <xf numFmtId="0" fontId="12" fillId="0" borderId="68" xfId="2" applyFont="1" applyBorder="1" applyAlignment="1">
      <alignment horizontal="center" vertical="center"/>
    </xf>
    <xf numFmtId="0" fontId="24" fillId="14" borderId="78" xfId="2" applyFont="1" applyFill="1" applyBorder="1" applyAlignment="1">
      <alignment horizontal="center" vertical="center"/>
    </xf>
    <xf numFmtId="0" fontId="24" fillId="14" borderId="251" xfId="2" applyFont="1" applyFill="1" applyBorder="1" applyAlignment="1">
      <alignment horizontal="center" vertical="center"/>
    </xf>
    <xf numFmtId="182" fontId="10" fillId="14" borderId="256" xfId="10" applyNumberFormat="1" applyFont="1" applyFill="1" applyBorder="1" applyAlignment="1">
      <alignment horizontal="center" vertical="center"/>
    </xf>
    <xf numFmtId="182" fontId="24" fillId="14" borderId="251" xfId="10" applyNumberFormat="1" applyFont="1" applyFill="1" applyBorder="1" applyAlignment="1">
      <alignment horizontal="center" vertical="center"/>
    </xf>
    <xf numFmtId="3" fontId="24" fillId="14" borderId="95" xfId="2" applyNumberFormat="1" applyFont="1" applyFill="1" applyBorder="1" applyAlignment="1">
      <alignment horizontal="center" vertical="center"/>
    </xf>
    <xf numFmtId="9" fontId="24" fillId="14" borderId="13" xfId="2" applyNumberFormat="1" applyFont="1" applyFill="1" applyBorder="1" applyAlignment="1">
      <alignment horizontal="center" vertical="center"/>
    </xf>
    <xf numFmtId="0" fontId="23" fillId="0" borderId="3" xfId="2" applyFont="1" applyBorder="1" applyAlignment="1">
      <alignment vertical="center" wrapText="1"/>
    </xf>
    <xf numFmtId="0" fontId="24" fillId="14" borderId="239" xfId="2" applyFont="1" applyFill="1" applyBorder="1" applyAlignment="1">
      <alignment horizontal="center" vertical="center"/>
    </xf>
    <xf numFmtId="182" fontId="10" fillId="14" borderId="235" xfId="10" applyNumberFormat="1" applyFont="1" applyFill="1" applyBorder="1" applyAlignment="1">
      <alignment horizontal="center" vertical="center"/>
    </xf>
    <xf numFmtId="182" fontId="24" fillId="14" borderId="287" xfId="10" applyNumberFormat="1" applyFont="1" applyFill="1" applyBorder="1" applyAlignment="1">
      <alignment horizontal="center" vertical="center"/>
    </xf>
    <xf numFmtId="3" fontId="24" fillId="14" borderId="288" xfId="2" applyNumberFormat="1" applyFont="1" applyFill="1" applyBorder="1" applyAlignment="1">
      <alignment horizontal="center" vertical="center"/>
    </xf>
    <xf numFmtId="181" fontId="24" fillId="14" borderId="289" xfId="10" applyNumberFormat="1" applyFont="1" applyFill="1" applyBorder="1" applyAlignment="1">
      <alignment horizontal="center" vertical="center"/>
    </xf>
    <xf numFmtId="3" fontId="24" fillId="14" borderId="289" xfId="2" applyNumberFormat="1" applyFont="1" applyFill="1" applyBorder="1" applyAlignment="1">
      <alignment horizontal="center" vertical="center"/>
    </xf>
    <xf numFmtId="179" fontId="24" fillId="14" borderId="289" xfId="4" applyNumberFormat="1" applyFont="1" applyFill="1" applyBorder="1" applyAlignment="1">
      <alignment horizontal="center" vertical="center"/>
    </xf>
    <xf numFmtId="9" fontId="24" fillId="14" borderId="289" xfId="2" applyNumberFormat="1" applyFont="1" applyFill="1" applyBorder="1" applyAlignment="1">
      <alignment horizontal="center" vertical="center"/>
    </xf>
    <xf numFmtId="180" fontId="24" fillId="14" borderId="289" xfId="2" applyNumberFormat="1" applyFont="1" applyFill="1" applyBorder="1" applyAlignment="1">
      <alignment horizontal="center" vertical="center"/>
    </xf>
    <xf numFmtId="178" fontId="24" fillId="14" borderId="289" xfId="4" applyNumberFormat="1" applyFont="1" applyFill="1" applyBorder="1" applyAlignment="1">
      <alignment horizontal="center" vertical="center"/>
    </xf>
    <xf numFmtId="3" fontId="24" fillId="14" borderId="197" xfId="2" applyNumberFormat="1" applyFont="1" applyFill="1" applyBorder="1" applyAlignment="1">
      <alignment horizontal="center" vertical="center"/>
    </xf>
    <xf numFmtId="38" fontId="15" fillId="14" borderId="289" xfId="2" applyNumberFormat="1" applyFont="1" applyFill="1" applyBorder="1" applyAlignment="1">
      <alignment horizontal="center" vertical="center"/>
    </xf>
    <xf numFmtId="178" fontId="15" fillId="14" borderId="289" xfId="10" applyNumberFormat="1" applyFont="1" applyFill="1" applyBorder="1" applyAlignment="1">
      <alignment horizontal="center" vertical="center"/>
    </xf>
    <xf numFmtId="3" fontId="24" fillId="14" borderId="290" xfId="2" applyNumberFormat="1" applyFont="1" applyFill="1" applyBorder="1" applyAlignment="1">
      <alignment horizontal="center" vertical="center"/>
    </xf>
    <xf numFmtId="10" fontId="23" fillId="6" borderId="0" xfId="45" applyNumberFormat="1" applyFont="1" applyFill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182" fontId="23" fillId="0" borderId="12" xfId="10" applyNumberFormat="1" applyFont="1" applyBorder="1" applyAlignment="1">
      <alignment horizontal="center" vertical="center"/>
    </xf>
    <xf numFmtId="182" fontId="23" fillId="0" borderId="284" xfId="10" applyNumberFormat="1" applyFont="1" applyBorder="1" applyAlignment="1">
      <alignment horizontal="center" vertical="center"/>
    </xf>
    <xf numFmtId="3" fontId="23" fillId="6" borderId="291" xfId="2" applyNumberFormat="1" applyFont="1" applyFill="1" applyBorder="1" applyAlignment="1">
      <alignment horizontal="center" vertical="center" wrapText="1"/>
    </xf>
    <xf numFmtId="181" fontId="23" fillId="6" borderId="12" xfId="10" applyNumberFormat="1" applyFont="1" applyFill="1" applyBorder="1" applyAlignment="1">
      <alignment horizontal="center" vertical="center"/>
    </xf>
    <xf numFmtId="179" fontId="23" fillId="6" borderId="12" xfId="45" applyNumberFormat="1" applyFont="1" applyFill="1" applyBorder="1" applyAlignment="1">
      <alignment horizontal="center" vertical="center"/>
    </xf>
    <xf numFmtId="3" fontId="23" fillId="15" borderId="12" xfId="2" applyNumberFormat="1" applyFont="1" applyFill="1" applyBorder="1" applyAlignment="1">
      <alignment horizontal="center" vertical="center"/>
    </xf>
    <xf numFmtId="9" fontId="23" fillId="15" borderId="12" xfId="2" applyNumberFormat="1" applyFont="1" applyFill="1" applyBorder="1" applyAlignment="1">
      <alignment horizontal="center" vertical="center"/>
    </xf>
    <xf numFmtId="180" fontId="23" fillId="6" borderId="12" xfId="2" applyNumberFormat="1" applyFont="1" applyFill="1" applyBorder="1" applyAlignment="1">
      <alignment horizontal="center" vertical="center"/>
    </xf>
    <xf numFmtId="178" fontId="23" fillId="6" borderId="12" xfId="4" applyNumberFormat="1" applyFont="1" applyFill="1" applyBorder="1" applyAlignment="1">
      <alignment horizontal="center" vertical="center"/>
    </xf>
    <xf numFmtId="0" fontId="23" fillId="0" borderId="17" xfId="2" applyFont="1" applyBorder="1" applyAlignment="1">
      <alignment vertical="center" wrapText="1"/>
    </xf>
    <xf numFmtId="0" fontId="23" fillId="0" borderId="7" xfId="2" applyFont="1" applyBorder="1" applyAlignment="1">
      <alignment vertical="center" wrapText="1"/>
    </xf>
    <xf numFmtId="0" fontId="23" fillId="0" borderId="18" xfId="2" applyFont="1" applyBorder="1" applyAlignment="1">
      <alignment vertical="center" wrapText="1"/>
    </xf>
    <xf numFmtId="0" fontId="24" fillId="14" borderId="14" xfId="2" applyFont="1" applyFill="1" applyBorder="1" applyAlignment="1">
      <alignment horizontal="center" vertical="center"/>
    </xf>
    <xf numFmtId="0" fontId="24" fillId="14" borderId="11" xfId="2" applyFont="1" applyFill="1" applyBorder="1" applyAlignment="1">
      <alignment horizontal="center" vertical="center"/>
    </xf>
    <xf numFmtId="182" fontId="10" fillId="14" borderId="258" xfId="10" applyNumberFormat="1" applyFont="1" applyFill="1" applyBorder="1" applyAlignment="1">
      <alignment horizontal="center" vertical="center"/>
    </xf>
    <xf numFmtId="182" fontId="24" fillId="14" borderId="14" xfId="10" applyNumberFormat="1" applyFont="1" applyFill="1" applyBorder="1" applyAlignment="1">
      <alignment horizontal="center" vertical="center"/>
    </xf>
    <xf numFmtId="182" fontId="24" fillId="14" borderId="292" xfId="10" applyNumberFormat="1" applyFont="1" applyFill="1" applyBorder="1" applyAlignment="1">
      <alignment horizontal="center" vertical="center"/>
    </xf>
    <xf numFmtId="0" fontId="91" fillId="6" borderId="284" xfId="2" applyFont="1" applyFill="1" applyBorder="1" applyAlignment="1">
      <alignment horizontal="center" vertical="center"/>
    </xf>
    <xf numFmtId="182" fontId="23" fillId="0" borderId="12" xfId="10" applyNumberFormat="1" applyFont="1" applyFill="1" applyBorder="1" applyAlignment="1">
      <alignment horizontal="center" vertical="center"/>
    </xf>
    <xf numFmtId="182" fontId="23" fillId="0" borderId="284" xfId="10" applyNumberFormat="1" applyFont="1" applyFill="1" applyBorder="1" applyAlignment="1">
      <alignment horizontal="center" vertical="center"/>
    </xf>
    <xf numFmtId="3" fontId="92" fillId="6" borderId="12" xfId="2" applyNumberFormat="1" applyFont="1" applyFill="1" applyBorder="1" applyAlignment="1">
      <alignment horizontal="center" vertical="center"/>
    </xf>
    <xf numFmtId="0" fontId="92" fillId="0" borderId="18" xfId="2" applyFont="1" applyBorder="1" applyAlignment="1">
      <alignment vertical="center" wrapText="1"/>
    </xf>
    <xf numFmtId="0" fontId="94" fillId="14" borderId="14" xfId="2" applyFont="1" applyFill="1" applyBorder="1" applyAlignment="1">
      <alignment horizontal="center" vertical="center"/>
    </xf>
    <xf numFmtId="0" fontId="94" fillId="14" borderId="11" xfId="2" applyFont="1" applyFill="1" applyBorder="1" applyAlignment="1">
      <alignment horizontal="center" vertical="center"/>
    </xf>
    <xf numFmtId="182" fontId="95" fillId="14" borderId="258" xfId="10" applyNumberFormat="1" applyFont="1" applyFill="1" applyBorder="1" applyAlignment="1">
      <alignment horizontal="center" vertical="center"/>
    </xf>
    <xf numFmtId="182" fontId="94" fillId="14" borderId="14" xfId="10" applyNumberFormat="1" applyFont="1" applyFill="1" applyBorder="1" applyAlignment="1">
      <alignment horizontal="center" vertical="center"/>
    </xf>
    <xf numFmtId="182" fontId="94" fillId="14" borderId="292" xfId="10" applyNumberFormat="1" applyFont="1" applyFill="1" applyBorder="1" applyAlignment="1">
      <alignment horizontal="center" vertical="center"/>
    </xf>
    <xf numFmtId="3" fontId="94" fillId="14" borderId="288" xfId="2" applyNumberFormat="1" applyFont="1" applyFill="1" applyBorder="1" applyAlignment="1">
      <alignment horizontal="center" vertical="center"/>
    </xf>
    <xf numFmtId="181" fontId="94" fillId="14" borderId="289" xfId="10" applyNumberFormat="1" applyFont="1" applyFill="1" applyBorder="1" applyAlignment="1">
      <alignment horizontal="center" vertical="center"/>
    </xf>
    <xf numFmtId="3" fontId="94" fillId="14" borderId="289" xfId="2" applyNumberFormat="1" applyFont="1" applyFill="1" applyBorder="1" applyAlignment="1">
      <alignment horizontal="center" vertical="center"/>
    </xf>
    <xf numFmtId="179" fontId="94" fillId="14" borderId="289" xfId="4" applyNumberFormat="1" applyFont="1" applyFill="1" applyBorder="1" applyAlignment="1">
      <alignment horizontal="center" vertical="center"/>
    </xf>
    <xf numFmtId="9" fontId="94" fillId="14" borderId="289" xfId="2" applyNumberFormat="1" applyFont="1" applyFill="1" applyBorder="1" applyAlignment="1">
      <alignment horizontal="center" vertical="center"/>
    </xf>
    <xf numFmtId="180" fontId="94" fillId="14" borderId="289" xfId="2" applyNumberFormat="1" applyFont="1" applyFill="1" applyBorder="1" applyAlignment="1">
      <alignment horizontal="center" vertical="center"/>
    </xf>
    <xf numFmtId="178" fontId="94" fillId="14" borderId="289" xfId="4" applyNumberFormat="1" applyFont="1" applyFill="1" applyBorder="1" applyAlignment="1">
      <alignment horizontal="center" vertical="center"/>
    </xf>
    <xf numFmtId="3" fontId="94" fillId="14" borderId="197" xfId="2" applyNumberFormat="1" applyFont="1" applyFill="1" applyBorder="1" applyAlignment="1">
      <alignment horizontal="center" vertical="center"/>
    </xf>
    <xf numFmtId="38" fontId="96" fillId="14" borderId="289" xfId="2" applyNumberFormat="1" applyFont="1" applyFill="1" applyBorder="1" applyAlignment="1">
      <alignment horizontal="center" vertical="center"/>
    </xf>
    <xf numFmtId="178" fontId="96" fillId="14" borderId="289" xfId="10" applyNumberFormat="1" applyFont="1" applyFill="1" applyBorder="1" applyAlignment="1">
      <alignment horizontal="center" vertical="center"/>
    </xf>
    <xf numFmtId="3" fontId="94" fillId="14" borderId="290" xfId="2" applyNumberFormat="1" applyFont="1" applyFill="1" applyBorder="1" applyAlignment="1">
      <alignment horizontal="center" vertical="center"/>
    </xf>
    <xf numFmtId="0" fontId="24" fillId="8" borderId="294" xfId="2" applyFont="1" applyFill="1" applyBorder="1" applyAlignment="1">
      <alignment horizontal="center" vertical="center" wrapText="1"/>
    </xf>
    <xf numFmtId="0" fontId="91" fillId="6" borderId="22" xfId="2" applyFont="1" applyFill="1" applyBorder="1" applyAlignment="1">
      <alignment horizontal="center" vertical="center"/>
    </xf>
    <xf numFmtId="182" fontId="11" fillId="6" borderId="291" xfId="10" applyNumberFormat="1" applyFont="1" applyFill="1" applyBorder="1" applyAlignment="1">
      <alignment horizontal="center" vertical="center"/>
    </xf>
    <xf numFmtId="182" fontId="23" fillId="6" borderId="272" xfId="10" applyNumberFormat="1" applyFont="1" applyFill="1" applyBorder="1" applyAlignment="1">
      <alignment horizontal="center" vertical="center"/>
    </xf>
    <xf numFmtId="3" fontId="23" fillId="6" borderId="15" xfId="2" applyNumberFormat="1" applyFont="1" applyFill="1" applyBorder="1" applyAlignment="1">
      <alignment horizontal="center" vertical="center" wrapText="1"/>
    </xf>
    <xf numFmtId="3" fontId="23" fillId="0" borderId="291" xfId="2" applyNumberFormat="1" applyFont="1" applyBorder="1" applyAlignment="1">
      <alignment horizontal="center" vertical="center" wrapText="1"/>
    </xf>
    <xf numFmtId="0" fontId="91" fillId="6" borderId="16" xfId="2" applyFont="1" applyFill="1" applyBorder="1" applyAlignment="1">
      <alignment horizontal="center" vertical="center"/>
    </xf>
    <xf numFmtId="182" fontId="93" fillId="6" borderId="95" xfId="10" applyNumberFormat="1" applyFont="1" applyFill="1" applyBorder="1" applyAlignment="1">
      <alignment horizontal="center" vertical="center"/>
    </xf>
    <xf numFmtId="182" fontId="10" fillId="14" borderId="95" xfId="10" applyNumberFormat="1" applyFont="1" applyFill="1" applyBorder="1" applyAlignment="1">
      <alignment horizontal="center" vertical="center"/>
    </xf>
    <xf numFmtId="182" fontId="24" fillId="14" borderId="78" xfId="10" applyNumberFormat="1" applyFont="1" applyFill="1" applyBorder="1" applyAlignment="1">
      <alignment horizontal="center" vertical="center"/>
    </xf>
    <xf numFmtId="0" fontId="92" fillId="0" borderId="7" xfId="2" applyFont="1" applyBorder="1" applyAlignment="1">
      <alignment vertical="center" wrapText="1"/>
    </xf>
    <xf numFmtId="0" fontId="94" fillId="14" borderId="5" xfId="2" applyFont="1" applyFill="1" applyBorder="1" applyAlignment="1">
      <alignment horizontal="center" vertical="center"/>
    </xf>
    <xf numFmtId="0" fontId="94" fillId="14" borderId="6" xfId="2" applyFont="1" applyFill="1" applyBorder="1" applyAlignment="1">
      <alignment horizontal="center" vertical="center"/>
    </xf>
    <xf numFmtId="182" fontId="95" fillId="14" borderId="235" xfId="10" applyNumberFormat="1" applyFont="1" applyFill="1" applyBorder="1" applyAlignment="1">
      <alignment horizontal="center" vertical="center"/>
    </xf>
    <xf numFmtId="182" fontId="94" fillId="14" borderId="5" xfId="10" applyNumberFormat="1" applyFont="1" applyFill="1" applyBorder="1" applyAlignment="1">
      <alignment horizontal="center" vertical="center"/>
    </xf>
    <xf numFmtId="3" fontId="94" fillId="14" borderId="5" xfId="2" applyNumberFormat="1" applyFont="1" applyFill="1" applyBorder="1" applyAlignment="1">
      <alignment horizontal="center" vertical="center"/>
    </xf>
    <xf numFmtId="181" fontId="94" fillId="14" borderId="5" xfId="10" applyNumberFormat="1" applyFont="1" applyFill="1" applyBorder="1" applyAlignment="1">
      <alignment horizontal="center" vertical="center"/>
    </xf>
    <xf numFmtId="179" fontId="94" fillId="14" borderId="5" xfId="4" applyNumberFormat="1" applyFont="1" applyFill="1" applyBorder="1" applyAlignment="1">
      <alignment horizontal="center" vertical="center"/>
    </xf>
    <xf numFmtId="9" fontId="94" fillId="14" borderId="5" xfId="2" applyNumberFormat="1" applyFont="1" applyFill="1" applyBorder="1" applyAlignment="1">
      <alignment horizontal="center" vertical="center"/>
    </xf>
    <xf numFmtId="180" fontId="94" fillId="14" borderId="5" xfId="2" applyNumberFormat="1" applyFont="1" applyFill="1" applyBorder="1" applyAlignment="1">
      <alignment horizontal="center" vertical="center"/>
    </xf>
    <xf numFmtId="178" fontId="94" fillId="14" borderId="5" xfId="4" applyNumberFormat="1" applyFont="1" applyFill="1" applyBorder="1" applyAlignment="1">
      <alignment horizontal="center" vertical="center"/>
    </xf>
    <xf numFmtId="38" fontId="96" fillId="14" borderId="5" xfId="2" applyNumberFormat="1" applyFont="1" applyFill="1" applyBorder="1" applyAlignment="1">
      <alignment horizontal="center" vertical="center"/>
    </xf>
    <xf numFmtId="178" fontId="96" fillId="14" borderId="5" xfId="10" applyNumberFormat="1" applyFont="1" applyFill="1" applyBorder="1" applyAlignment="1">
      <alignment horizontal="center" vertical="center"/>
    </xf>
    <xf numFmtId="3" fontId="94" fillId="14" borderId="6" xfId="2" applyNumberFormat="1" applyFont="1" applyFill="1" applyBorder="1" applyAlignment="1">
      <alignment horizontal="center" vertical="center"/>
    </xf>
    <xf numFmtId="0" fontId="94" fillId="8" borderId="294" xfId="2" applyFont="1" applyFill="1" applyBorder="1" applyAlignment="1">
      <alignment horizontal="center" vertical="center" wrapText="1"/>
    </xf>
    <xf numFmtId="0" fontId="94" fillId="8" borderId="27" xfId="2" applyFont="1" applyFill="1" applyBorder="1" applyAlignment="1">
      <alignment horizontal="center" vertical="center" wrapText="1"/>
    </xf>
    <xf numFmtId="0" fontId="92" fillId="6" borderId="291" xfId="2" applyFont="1" applyFill="1" applyBorder="1" applyAlignment="1">
      <alignment horizontal="center" vertical="center"/>
    </xf>
    <xf numFmtId="182" fontId="93" fillId="6" borderId="291" xfId="10" applyNumberFormat="1" applyFont="1" applyFill="1" applyBorder="1" applyAlignment="1">
      <alignment horizontal="center" vertical="center"/>
    </xf>
    <xf numFmtId="182" fontId="92" fillId="6" borderId="12" xfId="10" applyNumberFormat="1" applyFont="1" applyFill="1" applyBorder="1" applyAlignment="1">
      <alignment horizontal="center" vertical="center"/>
    </xf>
    <xf numFmtId="182" fontId="92" fillId="6" borderId="272" xfId="10" applyNumberFormat="1" applyFont="1" applyFill="1" applyBorder="1" applyAlignment="1">
      <alignment horizontal="center" vertical="center"/>
    </xf>
    <xf numFmtId="3" fontId="92" fillId="6" borderId="15" xfId="2" applyNumberFormat="1" applyFont="1" applyFill="1" applyBorder="1" applyAlignment="1">
      <alignment horizontal="center" vertical="center" wrapText="1"/>
    </xf>
    <xf numFmtId="181" fontId="92" fillId="6" borderId="12" xfId="10" applyNumberFormat="1" applyFont="1" applyFill="1" applyBorder="1" applyAlignment="1">
      <alignment horizontal="center" vertical="center"/>
    </xf>
    <xf numFmtId="3" fontId="92" fillId="15" borderId="12" xfId="2" applyNumberFormat="1" applyFont="1" applyFill="1" applyBorder="1" applyAlignment="1">
      <alignment horizontal="center" vertical="center" wrapText="1"/>
    </xf>
    <xf numFmtId="179" fontId="92" fillId="6" borderId="12" xfId="4" applyNumberFormat="1" applyFont="1" applyFill="1" applyBorder="1" applyAlignment="1">
      <alignment horizontal="center" vertical="center"/>
    </xf>
    <xf numFmtId="179" fontId="92" fillId="6" borderId="12" xfId="45" applyNumberFormat="1" applyFont="1" applyFill="1" applyBorder="1" applyAlignment="1">
      <alignment horizontal="center" vertical="center"/>
    </xf>
    <xf numFmtId="3" fontId="92" fillId="15" borderId="12" xfId="2" applyNumberFormat="1" applyFont="1" applyFill="1" applyBorder="1" applyAlignment="1">
      <alignment horizontal="center" vertical="center"/>
    </xf>
    <xf numFmtId="9" fontId="92" fillId="15" borderId="12" xfId="2" applyNumberFormat="1" applyFont="1" applyFill="1" applyBorder="1" applyAlignment="1">
      <alignment horizontal="center" vertical="center"/>
    </xf>
    <xf numFmtId="180" fontId="92" fillId="6" borderId="12" xfId="2" applyNumberFormat="1" applyFont="1" applyFill="1" applyBorder="1" applyAlignment="1">
      <alignment horizontal="center" vertical="center"/>
    </xf>
    <xf numFmtId="178" fontId="92" fillId="6" borderId="12" xfId="4" applyNumberFormat="1" applyFont="1" applyFill="1" applyBorder="1" applyAlignment="1">
      <alignment horizontal="center" vertical="center"/>
    </xf>
    <xf numFmtId="3" fontId="92" fillId="0" borderId="291" xfId="2" applyNumberFormat="1" applyFont="1" applyBorder="1" applyAlignment="1">
      <alignment horizontal="center" vertical="center" wrapText="1"/>
    </xf>
    <xf numFmtId="38" fontId="92" fillId="6" borderId="12" xfId="2" applyNumberFormat="1" applyFont="1" applyFill="1" applyBorder="1" applyAlignment="1">
      <alignment horizontal="center" vertical="center"/>
    </xf>
    <xf numFmtId="38" fontId="92" fillId="15" borderId="12" xfId="2" applyNumberFormat="1" applyFont="1" applyFill="1" applyBorder="1" applyAlignment="1">
      <alignment horizontal="center" vertical="center"/>
    </xf>
    <xf numFmtId="178" fontId="92" fillId="6" borderId="12" xfId="10" applyNumberFormat="1" applyFont="1" applyFill="1" applyBorder="1" applyAlignment="1">
      <alignment horizontal="center" vertical="center"/>
    </xf>
    <xf numFmtId="3" fontId="92" fillId="6" borderId="22" xfId="2" applyNumberFormat="1" applyFont="1" applyFill="1" applyBorder="1" applyAlignment="1">
      <alignment horizontal="center" vertical="center"/>
    </xf>
    <xf numFmtId="0" fontId="91" fillId="0" borderId="16" xfId="2" applyFont="1" applyBorder="1" applyAlignment="1">
      <alignment horizontal="center" vertical="center"/>
    </xf>
    <xf numFmtId="0" fontId="94" fillId="14" borderId="95" xfId="2" applyFont="1" applyFill="1" applyBorder="1" applyAlignment="1">
      <alignment horizontal="center" vertical="center"/>
    </xf>
    <xf numFmtId="182" fontId="95" fillId="14" borderId="95" xfId="10" applyNumberFormat="1" applyFont="1" applyFill="1" applyBorder="1" applyAlignment="1">
      <alignment horizontal="center" vertical="center"/>
    </xf>
    <xf numFmtId="182" fontId="94" fillId="14" borderId="78" xfId="10" applyNumberFormat="1" applyFont="1" applyFill="1" applyBorder="1" applyAlignment="1">
      <alignment horizontal="center" vertical="center"/>
    </xf>
    <xf numFmtId="182" fontId="11" fillId="6" borderId="95" xfId="10" applyNumberFormat="1" applyFont="1" applyFill="1" applyBorder="1" applyAlignment="1">
      <alignment horizontal="center" vertical="center"/>
    </xf>
    <xf numFmtId="0" fontId="28" fillId="31" borderId="0" xfId="16" applyFont="1" applyFill="1">
      <alignment vertical="center"/>
    </xf>
    <xf numFmtId="0" fontId="13" fillId="0" borderId="0" xfId="51" applyFont="1" applyAlignment="1">
      <alignment horizontal="left" vertical="center"/>
    </xf>
    <xf numFmtId="0" fontId="49" fillId="3" borderId="0" xfId="51" applyFont="1" applyFill="1" applyAlignment="1"/>
    <xf numFmtId="0" fontId="117" fillId="0" borderId="0" xfId="0" applyFont="1" applyAlignment="1">
      <alignment vertical="top"/>
    </xf>
    <xf numFmtId="0" fontId="117" fillId="0" borderId="0" xfId="0" applyFont="1" applyAlignment="1">
      <alignment vertical="top" wrapText="1"/>
    </xf>
    <xf numFmtId="0" fontId="23" fillId="0" borderId="0" xfId="50" applyFont="1">
      <alignment vertical="center"/>
    </xf>
    <xf numFmtId="0" fontId="23" fillId="0" borderId="0" xfId="50" applyFont="1" applyAlignment="1">
      <alignment horizontal="left" vertical="center"/>
    </xf>
    <xf numFmtId="0" fontId="43" fillId="3" borderId="0" xfId="50" applyFont="1" applyFill="1" applyAlignment="1"/>
    <xf numFmtId="182" fontId="24" fillId="0" borderId="0" xfId="29" applyNumberFormat="1" applyFont="1" applyFill="1" applyBorder="1" applyAlignment="1">
      <alignment horizontal="center" vertical="center"/>
    </xf>
    <xf numFmtId="0" fontId="12" fillId="0" borderId="7" xfId="61" applyFont="1" applyBorder="1">
      <alignment vertical="center"/>
    </xf>
    <xf numFmtId="0" fontId="13" fillId="0" borderId="5" xfId="11" applyFont="1" applyBorder="1" applyAlignment="1">
      <alignment horizontal="center" vertical="center"/>
    </xf>
    <xf numFmtId="0" fontId="13" fillId="0" borderId="2" xfId="11" applyFont="1" applyBorder="1" applyAlignment="1">
      <alignment horizontal="center" vertical="center"/>
    </xf>
    <xf numFmtId="182" fontId="11" fillId="0" borderId="7" xfId="12" applyNumberFormat="1" applyFont="1" applyFill="1" applyBorder="1" applyAlignment="1">
      <alignment horizontal="center" vertical="center"/>
    </xf>
    <xf numFmtId="182" fontId="13" fillId="0" borderId="5" xfId="12" applyNumberFormat="1" applyFont="1" applyBorder="1" applyAlignment="1">
      <alignment horizontal="center" vertical="center"/>
    </xf>
    <xf numFmtId="182" fontId="13" fillId="0" borderId="6" xfId="12" applyNumberFormat="1" applyFont="1" applyFill="1" applyBorder="1" applyAlignment="1">
      <alignment horizontal="center" vertical="center"/>
    </xf>
    <xf numFmtId="3" fontId="13" fillId="0" borderId="3" xfId="11" applyNumberFormat="1" applyFont="1" applyBorder="1" applyAlignment="1">
      <alignment horizontal="center" vertical="center"/>
    </xf>
    <xf numFmtId="181" fontId="13" fillId="0" borderId="2" xfId="12" applyNumberFormat="1" applyFont="1" applyFill="1" applyBorder="1" applyAlignment="1">
      <alignment horizontal="center" vertical="center"/>
    </xf>
    <xf numFmtId="3" fontId="13" fillId="33" borderId="2" xfId="11" applyNumberFormat="1" applyFont="1" applyFill="1" applyBorder="1" applyAlignment="1">
      <alignment horizontal="center" vertical="center"/>
    </xf>
    <xf numFmtId="179" fontId="13" fillId="0" borderId="2" xfId="30" applyNumberFormat="1" applyFont="1" applyFill="1" applyBorder="1" applyAlignment="1">
      <alignment horizontal="center" vertical="center"/>
    </xf>
    <xf numFmtId="3" fontId="13" fillId="0" borderId="2" xfId="11" applyNumberFormat="1" applyFont="1" applyBorder="1" applyAlignment="1">
      <alignment horizontal="center" vertical="center"/>
    </xf>
    <xf numFmtId="179" fontId="13" fillId="33" borderId="2" xfId="30" applyNumberFormat="1" applyFont="1" applyFill="1" applyBorder="1" applyAlignment="1">
      <alignment horizontal="center" vertical="center"/>
    </xf>
    <xf numFmtId="2" fontId="13" fillId="0" borderId="2" xfId="62" applyNumberFormat="1" applyFont="1" applyFill="1" applyBorder="1" applyAlignment="1">
      <alignment horizontal="center" vertical="center"/>
    </xf>
    <xf numFmtId="3" fontId="13" fillId="0" borderId="1" xfId="11" applyNumberFormat="1" applyFont="1" applyBorder="1" applyAlignment="1">
      <alignment horizontal="center" vertical="center"/>
    </xf>
    <xf numFmtId="179" fontId="116" fillId="6" borderId="0" xfId="1" applyNumberFormat="1" applyFont="1" applyFill="1" applyAlignment="1"/>
    <xf numFmtId="3" fontId="116" fillId="6" borderId="0" xfId="37" applyNumberFormat="1" applyFont="1" applyFill="1"/>
    <xf numFmtId="0" fontId="116" fillId="0" borderId="0" xfId="37" applyFont="1"/>
    <xf numFmtId="14" fontId="13" fillId="0" borderId="0" xfId="11" applyNumberFormat="1" applyFont="1" applyAlignment="1">
      <alignment horizontal="center" vertical="center"/>
    </xf>
    <xf numFmtId="0" fontId="8" fillId="14" borderId="13" xfId="11" applyFont="1" applyFill="1" applyBorder="1" applyAlignment="1">
      <alignment horizontal="center" vertical="center"/>
    </xf>
    <xf numFmtId="182" fontId="10" fillId="14" borderId="15" xfId="12" applyNumberFormat="1" applyFont="1" applyFill="1" applyBorder="1" applyAlignment="1">
      <alignment horizontal="center" vertical="center"/>
    </xf>
    <xf numFmtId="182" fontId="8" fillId="14" borderId="13" xfId="12" applyNumberFormat="1" applyFont="1" applyFill="1" applyBorder="1" applyAlignment="1">
      <alignment horizontal="center" vertical="center"/>
    </xf>
    <xf numFmtId="182" fontId="8" fillId="14" borderId="78" xfId="12" applyNumberFormat="1" applyFont="1" applyFill="1" applyBorder="1" applyAlignment="1">
      <alignment horizontal="center" vertical="center"/>
    </xf>
    <xf numFmtId="3" fontId="8" fillId="14" borderId="11" xfId="11" applyNumberFormat="1" applyFont="1" applyFill="1" applyBorder="1" applyAlignment="1">
      <alignment horizontal="center" vertical="center"/>
    </xf>
    <xf numFmtId="2" fontId="15" fillId="14" borderId="13" xfId="10" applyNumberFormat="1" applyFont="1" applyFill="1" applyBorder="1" applyAlignment="1">
      <alignment horizontal="center" vertical="center"/>
    </xf>
    <xf numFmtId="3" fontId="8" fillId="14" borderId="16" xfId="11" applyNumberFormat="1" applyFont="1" applyFill="1" applyBorder="1" applyAlignment="1">
      <alignment horizontal="center" vertical="center"/>
    </xf>
    <xf numFmtId="3" fontId="8" fillId="14" borderId="256" xfId="11" applyNumberFormat="1" applyFont="1" applyFill="1" applyBorder="1" applyAlignment="1">
      <alignment horizontal="center" vertical="center"/>
    </xf>
    <xf numFmtId="181" fontId="8" fillId="14" borderId="13" xfId="12" applyNumberFormat="1" applyFont="1" applyFill="1" applyBorder="1" applyAlignment="1">
      <alignment horizontal="center" vertical="center"/>
    </xf>
    <xf numFmtId="3" fontId="8" fillId="14" borderId="13" xfId="11" applyNumberFormat="1" applyFont="1" applyFill="1" applyBorder="1" applyAlignment="1">
      <alignment horizontal="center" vertical="center"/>
    </xf>
    <xf numFmtId="179" fontId="8" fillId="14" borderId="13" xfId="30" applyNumberFormat="1" applyFont="1" applyFill="1" applyBorder="1" applyAlignment="1">
      <alignment horizontal="center" vertical="center"/>
    </xf>
    <xf numFmtId="180" fontId="8" fillId="14" borderId="13" xfId="11" applyNumberFormat="1" applyFont="1" applyFill="1" applyBorder="1" applyAlignment="1">
      <alignment horizontal="center" vertical="center"/>
    </xf>
    <xf numFmtId="178" fontId="8" fillId="14" borderId="13" xfId="62" applyNumberFormat="1" applyFont="1" applyFill="1" applyBorder="1" applyAlignment="1">
      <alignment horizontal="center" vertical="center"/>
    </xf>
    <xf numFmtId="3" fontId="8" fillId="14" borderId="17" xfId="11" applyNumberFormat="1" applyFont="1" applyFill="1" applyBorder="1" applyAlignment="1">
      <alignment horizontal="center" vertical="center"/>
    </xf>
    <xf numFmtId="179" fontId="8" fillId="14" borderId="13" xfId="28" applyNumberFormat="1" applyFont="1" applyFill="1" applyBorder="1" applyAlignment="1">
      <alignment horizontal="center" vertical="center"/>
    </xf>
    <xf numFmtId="38" fontId="8" fillId="14" borderId="13" xfId="11" applyNumberFormat="1" applyFont="1" applyFill="1" applyBorder="1" applyAlignment="1">
      <alignment horizontal="center" vertical="center"/>
    </xf>
    <xf numFmtId="2" fontId="8" fillId="14" borderId="13" xfId="63" applyNumberFormat="1" applyFont="1" applyFill="1" applyBorder="1" applyAlignment="1">
      <alignment horizontal="center" vertical="center"/>
    </xf>
    <xf numFmtId="0" fontId="55" fillId="18" borderId="0" xfId="2" applyFont="1" applyFill="1" applyAlignment="1">
      <alignment horizontal="left" vertical="center" wrapText="1"/>
    </xf>
    <xf numFmtId="3" fontId="13" fillId="7" borderId="13" xfId="11" quotePrefix="1" applyNumberFormat="1" applyFont="1" applyFill="1" applyBorder="1" applyAlignment="1">
      <alignment horizontal="center" vertical="center"/>
    </xf>
    <xf numFmtId="0" fontId="118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1" fillId="0" borderId="0" xfId="0" applyFont="1" applyAlignment="1">
      <alignment vertical="center"/>
    </xf>
    <xf numFmtId="0" fontId="122" fillId="35" borderId="0" xfId="0" applyFont="1" applyFill="1" applyAlignment="1">
      <alignment vertical="center"/>
    </xf>
    <xf numFmtId="0" fontId="122" fillId="35" borderId="0" xfId="0" applyFont="1" applyFill="1" applyAlignment="1">
      <alignment horizontal="center" vertical="center"/>
    </xf>
    <xf numFmtId="0" fontId="124" fillId="35" borderId="0" xfId="0" applyFont="1" applyFill="1" applyAlignment="1">
      <alignment vertical="center"/>
    </xf>
    <xf numFmtId="0" fontId="122" fillId="0" borderId="0" xfId="0" applyFont="1" applyAlignment="1">
      <alignment vertical="center"/>
    </xf>
    <xf numFmtId="0" fontId="122" fillId="0" borderId="0" xfId="0" applyFont="1" applyAlignment="1">
      <alignment horizontal="left" vertical="center"/>
    </xf>
    <xf numFmtId="0" fontId="122" fillId="0" borderId="0" xfId="0" applyFont="1" applyAlignment="1">
      <alignment horizontal="center" vertical="center"/>
    </xf>
    <xf numFmtId="0" fontId="125" fillId="0" borderId="0" xfId="0" applyFont="1"/>
    <xf numFmtId="0" fontId="124" fillId="0" borderId="0" xfId="0" applyFont="1" applyAlignment="1">
      <alignment vertical="center"/>
    </xf>
    <xf numFmtId="0" fontId="126" fillId="0" borderId="0" xfId="0" applyFont="1" applyAlignment="1">
      <alignment horizontal="left"/>
    </xf>
    <xf numFmtId="0" fontId="127" fillId="36" borderId="0" xfId="0" applyFont="1" applyFill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26" fillId="0" borderId="0" xfId="0" applyFont="1" applyAlignment="1">
      <alignment vertical="center"/>
    </xf>
    <xf numFmtId="0" fontId="128" fillId="37" borderId="296" xfId="0" applyFont="1" applyFill="1" applyBorder="1" applyAlignment="1">
      <alignment horizontal="center" vertical="center"/>
    </xf>
    <xf numFmtId="0" fontId="128" fillId="37" borderId="303" xfId="0" applyFont="1" applyFill="1" applyBorder="1" applyAlignment="1">
      <alignment horizontal="center" vertical="center" wrapText="1"/>
    </xf>
    <xf numFmtId="0" fontId="128" fillId="37" borderId="304" xfId="0" applyFont="1" applyFill="1" applyBorder="1" applyAlignment="1">
      <alignment horizontal="center" vertical="center" wrapText="1"/>
    </xf>
    <xf numFmtId="0" fontId="128" fillId="37" borderId="305" xfId="0" applyFont="1" applyFill="1" applyBorder="1" applyAlignment="1">
      <alignment horizontal="center" vertical="center" wrapText="1"/>
    </xf>
    <xf numFmtId="0" fontId="128" fillId="37" borderId="296" xfId="0" applyFont="1" applyFill="1" applyBorder="1" applyAlignment="1">
      <alignment horizontal="center" vertical="center" wrapText="1"/>
    </xf>
    <xf numFmtId="0" fontId="128" fillId="37" borderId="306" xfId="0" applyFont="1" applyFill="1" applyBorder="1" applyAlignment="1">
      <alignment horizontal="center" vertical="center" wrapText="1"/>
    </xf>
    <xf numFmtId="0" fontId="128" fillId="37" borderId="307" xfId="0" applyFont="1" applyFill="1" applyBorder="1" applyAlignment="1">
      <alignment horizontal="center" vertical="center" wrapText="1"/>
    </xf>
    <xf numFmtId="0" fontId="128" fillId="37" borderId="308" xfId="0" applyFont="1" applyFill="1" applyBorder="1" applyAlignment="1">
      <alignment horizontal="center" vertical="center" wrapText="1"/>
    </xf>
    <xf numFmtId="0" fontId="122" fillId="0" borderId="309" xfId="0" applyFont="1" applyBorder="1" applyAlignment="1">
      <alignment horizontal="center" vertical="center"/>
    </xf>
    <xf numFmtId="0" fontId="122" fillId="0" borderId="310" xfId="0" applyFont="1" applyBorder="1" applyAlignment="1">
      <alignment horizontal="center" vertical="center"/>
    </xf>
    <xf numFmtId="3" fontId="124" fillId="0" borderId="311" xfId="0" applyNumberFormat="1" applyFont="1" applyBorder="1" applyAlignment="1">
      <alignment horizontal="center" vertical="center"/>
    </xf>
    <xf numFmtId="3" fontId="124" fillId="0" borderId="312" xfId="0" applyNumberFormat="1" applyFont="1" applyBorder="1" applyAlignment="1">
      <alignment horizontal="center" vertical="center"/>
    </xf>
    <xf numFmtId="3" fontId="124" fillId="0" borderId="313" xfId="0" applyNumberFormat="1" applyFont="1" applyBorder="1" applyAlignment="1">
      <alignment horizontal="center" vertical="center"/>
    </xf>
    <xf numFmtId="3" fontId="122" fillId="0" borderId="310" xfId="0" applyNumberFormat="1" applyFont="1" applyBorder="1" applyAlignment="1">
      <alignment horizontal="center" vertical="center"/>
    </xf>
    <xf numFmtId="2" fontId="122" fillId="0" borderId="310" xfId="0" applyNumberFormat="1" applyFont="1" applyBorder="1" applyAlignment="1">
      <alignment horizontal="center" vertical="center"/>
    </xf>
    <xf numFmtId="10" fontId="122" fillId="0" borderId="310" xfId="0" applyNumberFormat="1" applyFont="1" applyBorder="1" applyAlignment="1">
      <alignment horizontal="center" vertical="center"/>
    </xf>
    <xf numFmtId="9" fontId="128" fillId="0" borderId="312" xfId="0" applyNumberFormat="1" applyFont="1" applyBorder="1" applyAlignment="1">
      <alignment horizontal="center" vertical="center"/>
    </xf>
    <xf numFmtId="192" fontId="122" fillId="0" borderId="310" xfId="0" applyNumberFormat="1" applyFont="1" applyBorder="1" applyAlignment="1">
      <alignment horizontal="center" vertical="center"/>
    </xf>
    <xf numFmtId="2" fontId="122" fillId="0" borderId="314" xfId="0" applyNumberFormat="1" applyFont="1" applyBorder="1" applyAlignment="1">
      <alignment horizontal="center" vertical="center"/>
    </xf>
    <xf numFmtId="3" fontId="122" fillId="0" borderId="315" xfId="0" applyNumberFormat="1" applyFont="1" applyBorder="1" applyAlignment="1">
      <alignment horizontal="center" vertical="center"/>
    </xf>
    <xf numFmtId="9" fontId="128" fillId="0" borderId="312" xfId="1" applyFont="1" applyBorder="1" applyAlignment="1">
      <alignment horizontal="center" vertical="center"/>
    </xf>
    <xf numFmtId="38" fontId="122" fillId="0" borderId="310" xfId="0" applyNumberFormat="1" applyFont="1" applyBorder="1" applyAlignment="1">
      <alignment horizontal="center" vertical="center"/>
    </xf>
    <xf numFmtId="38" fontId="128" fillId="0" borderId="312" xfId="0" applyNumberFormat="1" applyFont="1" applyBorder="1" applyAlignment="1">
      <alignment horizontal="center" vertical="center"/>
    </xf>
    <xf numFmtId="189" fontId="122" fillId="0" borderId="310" xfId="0" applyNumberFormat="1" applyFont="1" applyBorder="1" applyAlignment="1">
      <alignment horizontal="center" vertical="center"/>
    </xf>
    <xf numFmtId="3" fontId="122" fillId="0" borderId="316" xfId="0" applyNumberFormat="1" applyFont="1" applyBorder="1" applyAlignment="1">
      <alignment horizontal="center" vertical="center"/>
    </xf>
    <xf numFmtId="0" fontId="128" fillId="38" borderId="310" xfId="0" applyFont="1" applyFill="1" applyBorder="1" applyAlignment="1">
      <alignment horizontal="center" vertical="center"/>
    </xf>
    <xf numFmtId="3" fontId="130" fillId="38" borderId="318" xfId="0" applyNumberFormat="1" applyFont="1" applyFill="1" applyBorder="1" applyAlignment="1">
      <alignment horizontal="center" vertical="center"/>
    </xf>
    <xf numFmtId="3" fontId="128" fillId="38" borderId="319" xfId="0" applyNumberFormat="1" applyFont="1" applyFill="1" applyBorder="1" applyAlignment="1">
      <alignment horizontal="center" vertical="center"/>
    </xf>
    <xf numFmtId="3" fontId="128" fillId="38" borderId="320" xfId="0" applyNumberFormat="1" applyFont="1" applyFill="1" applyBorder="1" applyAlignment="1">
      <alignment horizontal="center" vertical="center"/>
    </xf>
    <xf numFmtId="3" fontId="128" fillId="38" borderId="310" xfId="0" applyNumberFormat="1" applyFont="1" applyFill="1" applyBorder="1" applyAlignment="1">
      <alignment horizontal="center" vertical="center"/>
    </xf>
    <xf numFmtId="2" fontId="128" fillId="38" borderId="310" xfId="0" applyNumberFormat="1" applyFont="1" applyFill="1" applyBorder="1" applyAlignment="1">
      <alignment horizontal="center" vertical="center" wrapText="1"/>
    </xf>
    <xf numFmtId="10" fontId="128" fillId="38" borderId="310" xfId="0" applyNumberFormat="1" applyFont="1" applyFill="1" applyBorder="1" applyAlignment="1">
      <alignment horizontal="center" vertical="center"/>
    </xf>
    <xf numFmtId="9" fontId="128" fillId="38" borderId="310" xfId="0" applyNumberFormat="1" applyFont="1" applyFill="1" applyBorder="1" applyAlignment="1">
      <alignment horizontal="center" vertical="center"/>
    </xf>
    <xf numFmtId="192" fontId="128" fillId="38" borderId="310" xfId="0" applyNumberFormat="1" applyFont="1" applyFill="1" applyBorder="1" applyAlignment="1">
      <alignment horizontal="center" vertical="center"/>
    </xf>
    <xf numFmtId="2" fontId="128" fillId="38" borderId="310" xfId="0" applyNumberFormat="1" applyFont="1" applyFill="1" applyBorder="1" applyAlignment="1">
      <alignment horizontal="center" vertical="center"/>
    </xf>
    <xf numFmtId="0" fontId="128" fillId="38" borderId="321" xfId="0" applyFont="1" applyFill="1" applyBorder="1" applyAlignment="1">
      <alignment horizontal="center" vertical="center"/>
    </xf>
    <xf numFmtId="9" fontId="130" fillId="38" borderId="310" xfId="1" applyFont="1" applyFill="1" applyBorder="1" applyAlignment="1">
      <alignment horizontal="center" vertical="center"/>
    </xf>
    <xf numFmtId="38" fontId="128" fillId="38" borderId="310" xfId="0" applyNumberFormat="1" applyFont="1" applyFill="1" applyBorder="1" applyAlignment="1">
      <alignment horizontal="center" vertical="center"/>
    </xf>
    <xf numFmtId="189" fontId="128" fillId="38" borderId="310" xfId="0" applyNumberFormat="1" applyFont="1" applyFill="1" applyBorder="1" applyAlignment="1">
      <alignment horizontal="center" vertical="center"/>
    </xf>
    <xf numFmtId="0" fontId="128" fillId="38" borderId="316" xfId="0" applyFont="1" applyFill="1" applyBorder="1" applyAlignment="1">
      <alignment horizontal="center" vertical="center"/>
    </xf>
    <xf numFmtId="0" fontId="131" fillId="0" borderId="0" xfId="0" applyFont="1" applyAlignment="1">
      <alignment horizontal="left" vertical="center"/>
    </xf>
    <xf numFmtId="0" fontId="126" fillId="0" borderId="0" xfId="0" applyFont="1"/>
    <xf numFmtId="3" fontId="124" fillId="0" borderId="318" xfId="0" applyNumberFormat="1" applyFont="1" applyBorder="1" applyAlignment="1">
      <alignment horizontal="center" vertical="center"/>
    </xf>
    <xf numFmtId="3" fontId="124" fillId="0" borderId="319" xfId="0" applyNumberFormat="1" applyFont="1" applyBorder="1" applyAlignment="1">
      <alignment horizontal="center" vertical="center"/>
    </xf>
    <xf numFmtId="3" fontId="124" fillId="0" borderId="320" xfId="0" applyNumberFormat="1" applyFont="1" applyBorder="1" applyAlignment="1">
      <alignment horizontal="center" vertical="center"/>
    </xf>
    <xf numFmtId="0" fontId="122" fillId="0" borderId="314" xfId="0" applyFont="1" applyBorder="1" applyAlignment="1">
      <alignment horizontal="center" vertical="center"/>
    </xf>
    <xf numFmtId="0" fontId="128" fillId="0" borderId="312" xfId="0" applyFont="1" applyBorder="1" applyAlignment="1">
      <alignment horizontal="center" vertical="center"/>
    </xf>
    <xf numFmtId="0" fontId="128" fillId="37" borderId="0" xfId="0" applyFont="1" applyFill="1" applyAlignment="1">
      <alignment horizontal="center" vertical="center"/>
    </xf>
    <xf numFmtId="0" fontId="128" fillId="37" borderId="322" xfId="0" applyFont="1" applyFill="1" applyBorder="1" applyAlignment="1">
      <alignment horizontal="center" vertical="center" wrapText="1"/>
    </xf>
    <xf numFmtId="0" fontId="122" fillId="0" borderId="316" xfId="0" applyFont="1" applyBorder="1" applyAlignment="1">
      <alignment horizontal="center" vertical="center"/>
    </xf>
    <xf numFmtId="3" fontId="130" fillId="0" borderId="312" xfId="0" applyNumberFormat="1" applyFont="1" applyBorder="1" applyAlignment="1">
      <alignment horizontal="center" vertical="center"/>
    </xf>
    <xf numFmtId="3" fontId="128" fillId="0" borderId="312" xfId="0" applyNumberFormat="1" applyFont="1" applyBorder="1" applyAlignment="1">
      <alignment horizontal="center" vertical="center"/>
    </xf>
    <xf numFmtId="3" fontId="128" fillId="0" borderId="323" xfId="0" applyNumberFormat="1" applyFont="1" applyBorder="1" applyAlignment="1">
      <alignment horizontal="center" vertical="center"/>
    </xf>
    <xf numFmtId="3" fontId="124" fillId="0" borderId="310" xfId="0" applyNumberFormat="1" applyFont="1" applyBorder="1" applyAlignment="1">
      <alignment horizontal="center" vertical="center"/>
    </xf>
    <xf numFmtId="3" fontId="124" fillId="0" borderId="323" xfId="0" applyNumberFormat="1" applyFont="1" applyBorder="1" applyAlignment="1">
      <alignment horizontal="center" vertical="center"/>
    </xf>
    <xf numFmtId="0" fontId="122" fillId="0" borderId="312" xfId="0" applyFont="1" applyBorder="1" applyAlignment="1">
      <alignment horizontal="center" vertical="center"/>
    </xf>
    <xf numFmtId="3" fontId="130" fillId="38" borderId="310" xfId="0" applyNumberFormat="1" applyFont="1" applyFill="1" applyBorder="1" applyAlignment="1">
      <alignment horizontal="center" vertical="center"/>
    </xf>
    <xf numFmtId="3" fontId="128" fillId="38" borderId="316" xfId="0" applyNumberFormat="1" applyFont="1" applyFill="1" applyBorder="1" applyAlignment="1">
      <alignment horizontal="center" vertical="center"/>
    </xf>
    <xf numFmtId="0" fontId="128" fillId="38" borderId="310" xfId="0" applyFont="1" applyFill="1" applyBorder="1" applyAlignment="1">
      <alignment horizontal="center" vertical="center" wrapText="1"/>
    </xf>
    <xf numFmtId="0" fontId="130" fillId="38" borderId="310" xfId="0" applyFont="1" applyFill="1" applyBorder="1" applyAlignment="1">
      <alignment horizontal="center" vertical="center"/>
    </xf>
    <xf numFmtId="0" fontId="124" fillId="0" borderId="312" xfId="0" applyFont="1" applyBorder="1" applyAlignment="1">
      <alignment horizontal="center" vertical="center"/>
    </xf>
    <xf numFmtId="0" fontId="128" fillId="38" borderId="312" xfId="0" applyFont="1" applyFill="1" applyBorder="1" applyAlignment="1">
      <alignment horizontal="center" vertical="center"/>
    </xf>
    <xf numFmtId="0" fontId="122" fillId="0" borderId="324" xfId="0" applyFont="1" applyBorder="1" applyAlignment="1">
      <alignment horizontal="center" vertical="center"/>
    </xf>
    <xf numFmtId="0" fontId="122" fillId="0" borderId="325" xfId="0" applyFont="1" applyBorder="1" applyAlignment="1">
      <alignment horizontal="center" vertical="center"/>
    </xf>
    <xf numFmtId="10" fontId="122" fillId="39" borderId="310" xfId="0" applyNumberFormat="1" applyFont="1" applyFill="1" applyBorder="1" applyAlignment="1">
      <alignment horizontal="center" vertical="center"/>
    </xf>
    <xf numFmtId="0" fontId="122" fillId="39" borderId="310" xfId="0" applyFont="1" applyFill="1" applyBorder="1" applyAlignment="1">
      <alignment horizontal="center" vertical="center"/>
    </xf>
    <xf numFmtId="3" fontId="122" fillId="34" borderId="316" xfId="0" applyNumberFormat="1" applyFont="1" applyFill="1" applyBorder="1" applyAlignment="1">
      <alignment horizontal="center" vertical="center"/>
    </xf>
    <xf numFmtId="3" fontId="124" fillId="0" borderId="316" xfId="0" applyNumberFormat="1" applyFont="1" applyBorder="1" applyAlignment="1">
      <alignment horizontal="center" vertical="center"/>
    </xf>
    <xf numFmtId="3" fontId="122" fillId="0" borderId="309" xfId="0" applyNumberFormat="1" applyFont="1" applyBorder="1" applyAlignment="1">
      <alignment horizontal="center" vertical="center"/>
    </xf>
    <xf numFmtId="3" fontId="122" fillId="39" borderId="310" xfId="0" applyNumberFormat="1" applyFont="1" applyFill="1" applyBorder="1" applyAlignment="1">
      <alignment horizontal="center" vertical="center"/>
    </xf>
    <xf numFmtId="0" fontId="128" fillId="40" borderId="310" xfId="0" applyFont="1" applyFill="1" applyBorder="1" applyAlignment="1">
      <alignment horizontal="center" vertical="center"/>
    </xf>
    <xf numFmtId="0" fontId="128" fillId="40" borderId="316" xfId="0" applyFont="1" applyFill="1" applyBorder="1" applyAlignment="1">
      <alignment horizontal="center" vertical="center"/>
    </xf>
    <xf numFmtId="3" fontId="130" fillId="40" borderId="310" xfId="0" applyNumberFormat="1" applyFont="1" applyFill="1" applyBorder="1" applyAlignment="1">
      <alignment horizontal="center" vertical="center"/>
    </xf>
    <xf numFmtId="3" fontId="128" fillId="40" borderId="310" xfId="0" applyNumberFormat="1" applyFont="1" applyFill="1" applyBorder="1" applyAlignment="1">
      <alignment horizontal="center" vertical="center"/>
    </xf>
    <xf numFmtId="3" fontId="128" fillId="40" borderId="316" xfId="0" applyNumberFormat="1" applyFont="1" applyFill="1" applyBorder="1" applyAlignment="1">
      <alignment horizontal="center" vertical="center"/>
    </xf>
    <xf numFmtId="10" fontId="128" fillId="40" borderId="310" xfId="0" applyNumberFormat="1" applyFont="1" applyFill="1" applyBorder="1" applyAlignment="1">
      <alignment horizontal="center" vertical="center"/>
    </xf>
    <xf numFmtId="3" fontId="128" fillId="40" borderId="309" xfId="0" applyNumberFormat="1" applyFont="1" applyFill="1" applyBorder="1" applyAlignment="1">
      <alignment horizontal="center" vertical="center"/>
    </xf>
    <xf numFmtId="10" fontId="130" fillId="40" borderId="310" xfId="0" applyNumberFormat="1" applyFont="1" applyFill="1" applyBorder="1" applyAlignment="1">
      <alignment horizontal="center" vertical="center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left" vertical="center"/>
    </xf>
    <xf numFmtId="0" fontId="130" fillId="0" borderId="0" xfId="0" applyFont="1" applyAlignment="1">
      <alignment horizontal="center" vertical="center"/>
    </xf>
    <xf numFmtId="0" fontId="132" fillId="0" borderId="0" xfId="0" applyFont="1" applyAlignment="1">
      <alignment vertical="center"/>
    </xf>
    <xf numFmtId="0" fontId="134" fillId="0" borderId="0" xfId="0" applyFont="1" applyAlignment="1">
      <alignment horizontal="left" vertical="center"/>
    </xf>
    <xf numFmtId="0" fontId="122" fillId="0" borderId="310" xfId="0" applyFont="1" applyBorder="1" applyAlignment="1">
      <alignment horizontal="left" vertical="center"/>
    </xf>
    <xf numFmtId="0" fontId="122" fillId="0" borderId="316" xfId="0" applyFont="1" applyBorder="1" applyAlignment="1">
      <alignment horizontal="left" vertical="center"/>
    </xf>
    <xf numFmtId="0" fontId="128" fillId="0" borderId="0" xfId="0" applyFont="1" applyAlignment="1">
      <alignment vertical="center"/>
    </xf>
    <xf numFmtId="0" fontId="135" fillId="0" borderId="0" xfId="0" applyFont="1" applyAlignment="1">
      <alignment vertical="center"/>
    </xf>
    <xf numFmtId="3" fontId="124" fillId="0" borderId="0" xfId="0" applyNumberFormat="1" applyFont="1" applyAlignment="1">
      <alignment horizontal="center" vertical="center"/>
    </xf>
    <xf numFmtId="3" fontId="122" fillId="0" borderId="0" xfId="0" applyNumberFormat="1" applyFont="1" applyAlignment="1">
      <alignment horizontal="center" vertical="center"/>
    </xf>
    <xf numFmtId="3" fontId="122" fillId="0" borderId="325" xfId="0" applyNumberFormat="1" applyFont="1" applyBorder="1" applyAlignment="1">
      <alignment horizontal="center" vertical="center"/>
    </xf>
    <xf numFmtId="10" fontId="122" fillId="0" borderId="0" xfId="0" applyNumberFormat="1" applyFont="1" applyAlignment="1">
      <alignment horizontal="center" vertical="center"/>
    </xf>
    <xf numFmtId="10" fontId="122" fillId="39" borderId="0" xfId="0" applyNumberFormat="1" applyFont="1" applyFill="1" applyAlignment="1">
      <alignment horizontal="center" vertical="center"/>
    </xf>
    <xf numFmtId="0" fontId="122" fillId="39" borderId="0" xfId="0" applyFont="1" applyFill="1" applyAlignment="1">
      <alignment horizontal="center" vertical="center"/>
    </xf>
    <xf numFmtId="3" fontId="122" fillId="0" borderId="325" xfId="0" applyNumberFormat="1" applyFont="1" applyBorder="1" applyAlignment="1">
      <alignment horizontal="center" vertical="center" wrapText="1"/>
    </xf>
    <xf numFmtId="3" fontId="122" fillId="0" borderId="0" xfId="0" applyNumberFormat="1" applyFont="1" applyAlignment="1">
      <alignment horizontal="center" vertical="center" wrapText="1"/>
    </xf>
    <xf numFmtId="3" fontId="122" fillId="39" borderId="0" xfId="0" applyNumberFormat="1" applyFont="1" applyFill="1" applyAlignment="1">
      <alignment horizontal="center" vertical="center"/>
    </xf>
    <xf numFmtId="0" fontId="128" fillId="37" borderId="0" xfId="0" applyFont="1" applyFill="1" applyAlignment="1">
      <alignment horizontal="center" vertical="center" wrapText="1"/>
    </xf>
    <xf numFmtId="0" fontId="128" fillId="37" borderId="324" xfId="0" applyFont="1" applyFill="1" applyBorder="1" applyAlignment="1">
      <alignment horizontal="center" vertical="center" wrapText="1"/>
    </xf>
    <xf numFmtId="0" fontId="128" fillId="37" borderId="325" xfId="0" applyFont="1" applyFill="1" applyBorder="1" applyAlignment="1">
      <alignment horizontal="center" vertical="center"/>
    </xf>
    <xf numFmtId="0" fontId="122" fillId="41" borderId="0" xfId="0" applyFont="1" applyFill="1" applyAlignment="1">
      <alignment horizontal="center" vertical="center"/>
    </xf>
    <xf numFmtId="0" fontId="124" fillId="0" borderId="0" xfId="0" applyFont="1"/>
    <xf numFmtId="3" fontId="122" fillId="39" borderId="0" xfId="0" applyNumberFormat="1" applyFont="1" applyFill="1" applyAlignment="1">
      <alignment horizontal="center" vertical="center" wrapText="1"/>
    </xf>
    <xf numFmtId="0" fontId="122" fillId="0" borderId="309" xfId="0" applyFont="1" applyBorder="1" applyAlignment="1">
      <alignment vertical="center" wrapText="1"/>
    </xf>
    <xf numFmtId="0" fontId="137" fillId="0" borderId="0" xfId="0" applyFont="1" applyAlignment="1">
      <alignment vertical="center"/>
    </xf>
    <xf numFmtId="0" fontId="10" fillId="29" borderId="179" xfId="11" applyFont="1" applyFill="1" applyBorder="1" applyAlignment="1">
      <alignment horizontal="center" vertical="center"/>
    </xf>
    <xf numFmtId="38" fontId="8" fillId="29" borderId="179" xfId="44" applyNumberFormat="1" applyFont="1" applyFill="1" applyBorder="1" applyAlignment="1">
      <alignment horizontal="center" vertical="center"/>
    </xf>
    <xf numFmtId="0" fontId="75" fillId="0" borderId="179" xfId="11" applyFont="1" applyBorder="1" applyAlignment="1">
      <alignment horizontal="center" vertical="center" wrapText="1"/>
    </xf>
    <xf numFmtId="0" fontId="75" fillId="0" borderId="179" xfId="11" applyFont="1" applyBorder="1" applyAlignment="1">
      <alignment horizontal="center" vertical="center"/>
    </xf>
    <xf numFmtId="38" fontId="75" fillId="0" borderId="179" xfId="11" applyNumberFormat="1" applyFont="1" applyBorder="1" applyAlignment="1">
      <alignment horizontal="center" vertical="center"/>
    </xf>
    <xf numFmtId="0" fontId="87" fillId="0" borderId="179" xfId="11" applyFont="1" applyBorder="1" applyAlignment="1">
      <alignment horizontal="center" vertical="center"/>
    </xf>
    <xf numFmtId="0" fontId="78" fillId="22" borderId="179" xfId="11" applyFont="1" applyFill="1" applyBorder="1" applyAlignment="1">
      <alignment horizontal="center" vertical="center"/>
    </xf>
    <xf numFmtId="0" fontId="76" fillId="6" borderId="179" xfId="11" applyFont="1" applyFill="1" applyBorder="1" applyAlignment="1">
      <alignment horizontal="center" vertical="center"/>
    </xf>
    <xf numFmtId="38" fontId="76" fillId="6" borderId="179" xfId="11" applyNumberFormat="1" applyFont="1" applyFill="1" applyBorder="1" applyAlignment="1">
      <alignment horizontal="center" vertical="center"/>
    </xf>
    <xf numFmtId="0" fontId="76" fillId="16" borderId="179" xfId="11" applyFont="1" applyFill="1" applyBorder="1" applyAlignment="1">
      <alignment horizontal="center" vertical="center"/>
    </xf>
    <xf numFmtId="0" fontId="86" fillId="22" borderId="179" xfId="11" applyFont="1" applyFill="1" applyBorder="1" applyAlignment="1">
      <alignment horizontal="center" vertical="center"/>
    </xf>
    <xf numFmtId="0" fontId="15" fillId="29" borderId="179" xfId="11" applyFont="1" applyFill="1" applyBorder="1" applyAlignment="1">
      <alignment horizontal="center" vertical="center"/>
    </xf>
    <xf numFmtId="38" fontId="76" fillId="0" borderId="179" xfId="11" applyNumberFormat="1" applyFont="1" applyBorder="1" applyAlignment="1">
      <alignment horizontal="center" vertical="center"/>
    </xf>
    <xf numFmtId="38" fontId="30" fillId="0" borderId="179" xfId="44" applyNumberFormat="1" applyFont="1" applyBorder="1" applyAlignment="1">
      <alignment horizontal="center" vertical="center"/>
    </xf>
    <xf numFmtId="0" fontId="31" fillId="30" borderId="146" xfId="44" applyFont="1" applyFill="1" applyBorder="1" applyAlignment="1">
      <alignment horizontal="center" vertical="center"/>
    </xf>
    <xf numFmtId="0" fontId="8" fillId="29" borderId="179" xfId="44" applyFont="1" applyFill="1" applyBorder="1" applyAlignment="1">
      <alignment horizontal="center" vertical="center"/>
    </xf>
    <xf numFmtId="0" fontId="31" fillId="22" borderId="146" xfId="44" applyFont="1" applyFill="1" applyBorder="1" applyAlignment="1">
      <alignment horizontal="center" vertical="center"/>
    </xf>
    <xf numFmtId="0" fontId="31" fillId="28" borderId="179" xfId="44" applyFont="1" applyFill="1" applyBorder="1" applyAlignment="1">
      <alignment horizontal="center" vertical="center"/>
    </xf>
    <xf numFmtId="38" fontId="13" fillId="5" borderId="241" xfId="44" applyNumberFormat="1" applyFont="1" applyFill="1" applyBorder="1" applyAlignment="1">
      <alignment horizontal="center" vertical="center"/>
    </xf>
    <xf numFmtId="0" fontId="31" fillId="20" borderId="146" xfId="44" applyFont="1" applyFill="1" applyBorder="1" applyAlignment="1">
      <alignment horizontal="center" vertical="center"/>
    </xf>
    <xf numFmtId="3" fontId="13" fillId="5" borderId="234" xfId="44" applyNumberFormat="1" applyFont="1" applyFill="1" applyBorder="1" applyAlignment="1">
      <alignment horizontal="center" vertical="center"/>
    </xf>
    <xf numFmtId="0" fontId="8" fillId="22" borderId="179" xfId="44" applyFont="1" applyFill="1" applyBorder="1" applyAlignment="1">
      <alignment horizontal="center" vertical="center"/>
    </xf>
    <xf numFmtId="38" fontId="8" fillId="22" borderId="179" xfId="44" applyNumberFormat="1" applyFont="1" applyFill="1" applyBorder="1" applyAlignment="1">
      <alignment horizontal="center" vertical="center"/>
    </xf>
    <xf numFmtId="0" fontId="8" fillId="22" borderId="30" xfId="44" applyFont="1" applyFill="1" applyBorder="1" applyAlignment="1">
      <alignment horizontal="center" vertical="center"/>
    </xf>
    <xf numFmtId="0" fontId="8" fillId="22" borderId="33" xfId="44" applyFont="1" applyFill="1" applyBorder="1" applyAlignment="1">
      <alignment horizontal="center" vertical="center"/>
    </xf>
    <xf numFmtId="0" fontId="8" fillId="22" borderId="227" xfId="44" applyFont="1" applyFill="1" applyBorder="1" applyAlignment="1">
      <alignment horizontal="center" vertical="center"/>
    </xf>
    <xf numFmtId="0" fontId="8" fillId="22" borderId="32" xfId="44" applyFont="1" applyFill="1" applyBorder="1" applyAlignment="1">
      <alignment horizontal="center" vertical="center" wrapText="1"/>
    </xf>
    <xf numFmtId="0" fontId="8" fillId="22" borderId="32" xfId="44" applyFont="1" applyFill="1" applyBorder="1" applyAlignment="1">
      <alignment horizontal="center" vertical="center"/>
    </xf>
    <xf numFmtId="0" fontId="8" fillId="20" borderId="32" xfId="44" applyFont="1" applyFill="1" applyBorder="1" applyAlignment="1">
      <alignment horizontal="center" vertical="center"/>
    </xf>
    <xf numFmtId="0" fontId="8" fillId="20" borderId="30" xfId="44" applyFont="1" applyFill="1" applyBorder="1" applyAlignment="1">
      <alignment horizontal="center" vertical="center"/>
    </xf>
    <xf numFmtId="0" fontId="8" fillId="20" borderId="33" xfId="44" applyFont="1" applyFill="1" applyBorder="1" applyAlignment="1">
      <alignment horizontal="center" vertical="center"/>
    </xf>
    <xf numFmtId="0" fontId="8" fillId="20" borderId="227" xfId="44" applyFont="1" applyFill="1" applyBorder="1" applyAlignment="1">
      <alignment horizontal="center" vertical="center"/>
    </xf>
    <xf numFmtId="0" fontId="8" fillId="20" borderId="32" xfId="44" applyFont="1" applyFill="1" applyBorder="1" applyAlignment="1">
      <alignment horizontal="center" vertical="center" wrapText="1"/>
    </xf>
    <xf numFmtId="3" fontId="13" fillId="5" borderId="236" xfId="44" applyNumberFormat="1" applyFont="1" applyFill="1" applyBorder="1" applyAlignment="1">
      <alignment horizontal="center" vertical="center"/>
    </xf>
    <xf numFmtId="0" fontId="8" fillId="20" borderId="179" xfId="44" applyFont="1" applyFill="1" applyBorder="1" applyAlignment="1">
      <alignment horizontal="center" vertical="center"/>
    </xf>
    <xf numFmtId="0" fontId="8" fillId="20" borderId="12" xfId="44" applyFont="1" applyFill="1" applyBorder="1" applyAlignment="1">
      <alignment horizontal="center" vertical="center"/>
    </xf>
    <xf numFmtId="0" fontId="122" fillId="34" borderId="325" xfId="0" applyFont="1" applyFill="1" applyBorder="1" applyAlignment="1">
      <alignment horizontal="center" vertical="center"/>
    </xf>
    <xf numFmtId="0" fontId="128" fillId="37" borderId="302" xfId="0" applyFont="1" applyFill="1" applyBorder="1" applyAlignment="1">
      <alignment horizontal="center" vertical="center"/>
    </xf>
    <xf numFmtId="3" fontId="122" fillId="34" borderId="325" xfId="0" applyNumberFormat="1" applyFont="1" applyFill="1" applyBorder="1" applyAlignment="1">
      <alignment horizontal="center" vertical="center"/>
    </xf>
    <xf numFmtId="0" fontId="128" fillId="40" borderId="326" xfId="0" applyFont="1" applyFill="1" applyBorder="1" applyAlignment="1">
      <alignment horizontal="center" vertical="center"/>
    </xf>
    <xf numFmtId="0" fontId="128" fillId="37" borderId="295" xfId="0" applyFont="1" applyFill="1" applyBorder="1" applyAlignment="1">
      <alignment horizontal="center" vertical="center"/>
    </xf>
    <xf numFmtId="0" fontId="128" fillId="37" borderId="296" xfId="0" applyFont="1" applyFill="1" applyBorder="1" applyAlignment="1">
      <alignment horizontal="center" vertical="center"/>
    </xf>
    <xf numFmtId="0" fontId="128" fillId="37" borderId="308" xfId="0" applyFont="1" applyFill="1" applyBorder="1" applyAlignment="1">
      <alignment horizontal="center" vertical="center"/>
    </xf>
    <xf numFmtId="0" fontId="128" fillId="37" borderId="327" xfId="0" applyFont="1" applyFill="1" applyBorder="1" applyAlignment="1">
      <alignment horizontal="center" vertical="center" wrapText="1"/>
    </xf>
    <xf numFmtId="0" fontId="128" fillId="37" borderId="317" xfId="0" applyFont="1" applyFill="1" applyBorder="1" applyAlignment="1">
      <alignment horizontal="center" vertical="center"/>
    </xf>
    <xf numFmtId="0" fontId="128" fillId="37" borderId="308" xfId="0" applyFont="1" applyFill="1" applyBorder="1" applyAlignment="1">
      <alignment horizontal="center" vertical="center" wrapText="1"/>
    </xf>
    <xf numFmtId="0" fontId="128" fillId="40" borderId="309" xfId="0" applyFont="1" applyFill="1" applyBorder="1" applyAlignment="1">
      <alignment horizontal="center" vertical="center"/>
    </xf>
    <xf numFmtId="0" fontId="128" fillId="38" borderId="317" xfId="0" applyFont="1" applyFill="1" applyBorder="1" applyAlignment="1">
      <alignment horizontal="center" vertical="center"/>
    </xf>
    <xf numFmtId="0" fontId="128" fillId="37" borderId="297" xfId="0" applyFont="1" applyFill="1" applyBorder="1" applyAlignment="1">
      <alignment horizontal="center" vertical="center" wrapText="1"/>
    </xf>
    <xf numFmtId="0" fontId="128" fillId="37" borderId="298" xfId="0" applyFont="1" applyFill="1" applyBorder="1" applyAlignment="1">
      <alignment horizontal="center" vertical="center" wrapText="1"/>
    </xf>
    <xf numFmtId="0" fontId="128" fillId="37" borderId="299" xfId="0" applyFont="1" applyFill="1" applyBorder="1" applyAlignment="1">
      <alignment horizontal="center" vertical="center" wrapText="1"/>
    </xf>
    <xf numFmtId="0" fontId="128" fillId="37" borderId="300" xfId="0" applyFont="1" applyFill="1" applyBorder="1" applyAlignment="1">
      <alignment horizontal="center" vertical="center"/>
    </xf>
    <xf numFmtId="0" fontId="128" fillId="37" borderId="301" xfId="0" applyFont="1" applyFill="1" applyBorder="1" applyAlignment="1">
      <alignment horizontal="center" vertical="center"/>
    </xf>
    <xf numFmtId="0" fontId="121" fillId="0" borderId="0" xfId="0" applyFont="1" applyAlignment="1">
      <alignment vertical="center"/>
    </xf>
    <xf numFmtId="0" fontId="123" fillId="35" borderId="0" xfId="0" applyFont="1" applyFill="1" applyAlignment="1">
      <alignment vertical="center"/>
    </xf>
    <xf numFmtId="0" fontId="122" fillId="0" borderId="0" xfId="0" applyFont="1" applyAlignment="1">
      <alignment horizontal="left" vertical="center"/>
    </xf>
    <xf numFmtId="182" fontId="11" fillId="0" borderId="18" xfId="3" applyNumberFormat="1" applyFont="1" applyFill="1" applyBorder="1" applyAlignment="1">
      <alignment horizontal="center" vertical="center"/>
    </xf>
    <xf numFmtId="182" fontId="11" fillId="0" borderId="7" xfId="3" applyNumberFormat="1" applyFont="1" applyFill="1" applyBorder="1" applyAlignment="1">
      <alignment horizontal="center" vertical="center"/>
    </xf>
    <xf numFmtId="3" fontId="13" fillId="5" borderId="11" xfId="2" applyNumberFormat="1" applyFont="1" applyFill="1" applyBorder="1" applyAlignment="1">
      <alignment horizontal="center" vertical="center"/>
    </xf>
    <xf numFmtId="0" fontId="20" fillId="13" borderId="52" xfId="2" applyFont="1" applyFill="1" applyBorder="1" applyAlignment="1">
      <alignment horizontal="center" vertical="center"/>
    </xf>
    <xf numFmtId="0" fontId="20" fillId="13" borderId="51" xfId="2" applyFont="1" applyFill="1" applyBorder="1" applyAlignment="1">
      <alignment horizontal="center" vertical="center"/>
    </xf>
    <xf numFmtId="182" fontId="11" fillId="0" borderId="42" xfId="3" applyNumberFormat="1" applyFont="1" applyFill="1" applyBorder="1" applyAlignment="1">
      <alignment horizontal="center" vertical="center"/>
    </xf>
    <xf numFmtId="182" fontId="11" fillId="0" borderId="39" xfId="3" applyNumberFormat="1" applyFont="1" applyFill="1" applyBorder="1" applyAlignment="1">
      <alignment horizontal="center" vertical="center"/>
    </xf>
    <xf numFmtId="3" fontId="12" fillId="12" borderId="40" xfId="2" applyNumberFormat="1" applyFont="1" applyFill="1" applyBorder="1" applyAlignment="1">
      <alignment horizontal="center" vertical="center"/>
    </xf>
    <xf numFmtId="0" fontId="15" fillId="8" borderId="30" xfId="2" applyFont="1" applyFill="1" applyBorder="1" applyAlignment="1">
      <alignment horizontal="center" vertical="center"/>
    </xf>
    <xf numFmtId="0" fontId="15" fillId="8" borderId="33" xfId="2" applyFont="1" applyFill="1" applyBorder="1" applyAlignment="1">
      <alignment horizontal="center" vertical="center"/>
    </xf>
    <xf numFmtId="0" fontId="15" fillId="8" borderId="29" xfId="2" applyFont="1" applyFill="1" applyBorder="1" applyAlignment="1">
      <alignment horizontal="center" vertical="center"/>
    </xf>
    <xf numFmtId="0" fontId="15" fillId="8" borderId="32" xfId="2" applyFont="1" applyFill="1" applyBorder="1" applyAlignment="1">
      <alignment horizontal="center" vertical="center" wrapText="1"/>
    </xf>
    <xf numFmtId="0" fontId="15" fillId="8" borderId="32" xfId="2" applyFont="1" applyFill="1" applyBorder="1" applyAlignment="1">
      <alignment horizontal="center" vertical="center"/>
    </xf>
    <xf numFmtId="0" fontId="15" fillId="8" borderId="31" xfId="2" applyFont="1" applyFill="1" applyBorder="1" applyAlignment="1">
      <alignment horizontal="center" vertical="center"/>
    </xf>
    <xf numFmtId="3" fontId="12" fillId="12" borderId="64" xfId="2" applyNumberFormat="1" applyFont="1" applyFill="1" applyBorder="1" applyAlignment="1">
      <alignment horizontal="center" vertical="center"/>
    </xf>
    <xf numFmtId="0" fontId="20" fillId="13" borderId="50" xfId="2" applyFont="1" applyFill="1" applyBorder="1" applyAlignment="1">
      <alignment horizontal="center" vertical="center"/>
    </xf>
    <xf numFmtId="0" fontId="20" fillId="13" borderId="53" xfId="2" applyFont="1" applyFill="1" applyBorder="1" applyAlignment="1">
      <alignment horizontal="center" vertical="center"/>
    </xf>
    <xf numFmtId="0" fontId="20" fillId="13" borderId="49" xfId="2" applyFont="1" applyFill="1" applyBorder="1" applyAlignment="1">
      <alignment horizontal="center" vertical="center"/>
    </xf>
    <xf numFmtId="0" fontId="20" fillId="13" borderId="52" xfId="2" applyFont="1" applyFill="1" applyBorder="1" applyAlignment="1">
      <alignment horizontal="center" vertical="center" wrapText="1"/>
    </xf>
    <xf numFmtId="0" fontId="20" fillId="13" borderId="66" xfId="2" applyFont="1" applyFill="1" applyBorder="1" applyAlignment="1">
      <alignment horizontal="center" vertical="center"/>
    </xf>
    <xf numFmtId="0" fontId="20" fillId="13" borderId="65" xfId="2" applyFont="1" applyFill="1" applyBorder="1" applyAlignment="1">
      <alignment horizontal="center" vertical="center"/>
    </xf>
    <xf numFmtId="0" fontId="20" fillId="13" borderId="66" xfId="2" applyFont="1" applyFill="1" applyBorder="1" applyAlignment="1">
      <alignment horizontal="center" vertical="center" wrapText="1"/>
    </xf>
    <xf numFmtId="0" fontId="20" fillId="13" borderId="65" xfId="2" applyFont="1" applyFill="1" applyBorder="1" applyAlignment="1">
      <alignment horizontal="center" vertical="center" wrapText="1"/>
    </xf>
    <xf numFmtId="0" fontId="23" fillId="6" borderId="68" xfId="2" applyFont="1" applyFill="1" applyBorder="1" applyAlignment="1">
      <alignment horizontal="center" vertical="center"/>
    </xf>
    <xf numFmtId="0" fontId="23" fillId="6" borderId="7" xfId="2" applyFont="1" applyFill="1" applyBorder="1" applyAlignment="1">
      <alignment horizontal="center" vertical="center"/>
    </xf>
    <xf numFmtId="3" fontId="23" fillId="5" borderId="11" xfId="2" applyNumberFormat="1" applyFont="1" applyFill="1" applyBorder="1" applyAlignment="1">
      <alignment horizontal="center" vertical="center"/>
    </xf>
    <xf numFmtId="3" fontId="23" fillId="5" borderId="6" xfId="2" applyNumberFormat="1" applyFont="1" applyFill="1" applyBorder="1" applyAlignment="1">
      <alignment horizontal="center" vertical="center"/>
    </xf>
    <xf numFmtId="3" fontId="23" fillId="6" borderId="67" xfId="2" applyNumberFormat="1" applyFont="1" applyFill="1" applyBorder="1" applyAlignment="1">
      <alignment horizontal="center" vertical="center"/>
    </xf>
    <xf numFmtId="3" fontId="23" fillId="6" borderId="6" xfId="2" applyNumberFormat="1" applyFont="1" applyFill="1" applyBorder="1" applyAlignment="1">
      <alignment horizontal="center" vertical="center"/>
    </xf>
    <xf numFmtId="182" fontId="11" fillId="0" borderId="79" xfId="3" applyNumberFormat="1" applyFont="1" applyFill="1" applyBorder="1" applyAlignment="1">
      <alignment horizontal="center" vertical="center"/>
    </xf>
    <xf numFmtId="182" fontId="11" fillId="0" borderId="76" xfId="9" applyNumberFormat="1" applyFont="1" applyFill="1" applyBorder="1" applyAlignment="1">
      <alignment horizontal="center" vertical="center"/>
    </xf>
    <xf numFmtId="182" fontId="11" fillId="0" borderId="75" xfId="9" applyNumberFormat="1" applyFont="1" applyFill="1" applyBorder="1" applyAlignment="1">
      <alignment horizontal="center" vertical="center"/>
    </xf>
    <xf numFmtId="0" fontId="24" fillId="8" borderId="30" xfId="2" applyFont="1" applyFill="1" applyBorder="1" applyAlignment="1">
      <alignment horizontal="center" vertical="center"/>
    </xf>
    <xf numFmtId="0" fontId="24" fillId="8" borderId="18" xfId="2" applyFont="1" applyFill="1" applyBorder="1" applyAlignment="1">
      <alignment horizontal="center" vertical="center"/>
    </xf>
    <xf numFmtId="0" fontId="24" fillId="8" borderId="33" xfId="2" applyFont="1" applyFill="1" applyBorder="1" applyAlignment="1">
      <alignment horizontal="center" vertical="center"/>
    </xf>
    <xf numFmtId="0" fontId="24" fillId="8" borderId="14" xfId="2" applyFont="1" applyFill="1" applyBorder="1" applyAlignment="1">
      <alignment horizontal="center" vertical="center"/>
    </xf>
    <xf numFmtId="0" fontId="24" fillId="8" borderId="12" xfId="2" applyFont="1" applyFill="1" applyBorder="1" applyAlignment="1">
      <alignment horizontal="center" vertical="center"/>
    </xf>
    <xf numFmtId="0" fontId="24" fillId="8" borderId="32" xfId="2" applyFont="1" applyFill="1" applyBorder="1" applyAlignment="1">
      <alignment horizontal="center" vertical="center" wrapText="1"/>
    </xf>
    <xf numFmtId="0" fontId="24" fillId="8" borderId="74" xfId="2" applyFont="1" applyFill="1" applyBorder="1" applyAlignment="1">
      <alignment horizontal="center" vertical="center"/>
    </xf>
    <xf numFmtId="0" fontId="24" fillId="8" borderId="73" xfId="2" applyFont="1" applyFill="1" applyBorder="1" applyAlignment="1">
      <alignment horizontal="center" vertical="center"/>
    </xf>
    <xf numFmtId="0" fontId="24" fillId="8" borderId="32" xfId="2" applyFont="1" applyFill="1" applyBorder="1" applyAlignment="1">
      <alignment horizontal="center" vertical="center"/>
    </xf>
    <xf numFmtId="182" fontId="11" fillId="0" borderId="82" xfId="9" applyNumberFormat="1" applyFont="1" applyFill="1" applyBorder="1" applyAlignment="1">
      <alignment horizontal="center" vertical="center"/>
    </xf>
    <xf numFmtId="182" fontId="11" fillId="0" borderId="39" xfId="9" applyNumberFormat="1" applyFont="1" applyFill="1" applyBorder="1" applyAlignment="1">
      <alignment horizontal="center" vertical="center"/>
    </xf>
    <xf numFmtId="0" fontId="20" fillId="13" borderId="42" xfId="2" applyFont="1" applyFill="1" applyBorder="1" applyAlignment="1">
      <alignment horizontal="center" vertical="center"/>
    </xf>
    <xf numFmtId="0" fontId="20" fillId="13" borderId="20" xfId="2" applyFont="1" applyFill="1" applyBorder="1" applyAlignment="1">
      <alignment horizontal="center" vertical="center"/>
    </xf>
    <xf numFmtId="0" fontId="20" fillId="13" borderId="81" xfId="2" applyFont="1" applyFill="1" applyBorder="1" applyAlignment="1">
      <alignment horizontal="center" vertical="center"/>
    </xf>
    <xf numFmtId="0" fontId="20" fillId="13" borderId="80" xfId="2" applyFont="1" applyFill="1" applyBorder="1" applyAlignment="1">
      <alignment horizontal="center" vertical="center"/>
    </xf>
    <xf numFmtId="182" fontId="11" fillId="0" borderId="42" xfId="3" applyNumberFormat="1" applyFont="1" applyBorder="1" applyAlignment="1">
      <alignment horizontal="center" vertical="center"/>
    </xf>
    <xf numFmtId="182" fontId="11" fillId="0" borderId="39" xfId="3" applyNumberFormat="1" applyFont="1" applyBorder="1" applyAlignment="1">
      <alignment horizontal="center" vertical="center"/>
    </xf>
    <xf numFmtId="0" fontId="23" fillId="6" borderId="91" xfId="2" applyFont="1" applyFill="1" applyBorder="1" applyAlignment="1">
      <alignment horizontal="center" vertical="center"/>
    </xf>
    <xf numFmtId="0" fontId="23" fillId="6" borderId="80" xfId="2" applyFont="1" applyFill="1" applyBorder="1" applyAlignment="1">
      <alignment horizontal="center" vertical="center"/>
    </xf>
    <xf numFmtId="182" fontId="11" fillId="0" borderId="82" xfId="3" applyNumberFormat="1" applyFont="1" applyBorder="1" applyAlignment="1">
      <alignment horizontal="center" vertical="center"/>
    </xf>
    <xf numFmtId="182" fontId="11" fillId="0" borderId="63" xfId="3" applyNumberFormat="1" applyFont="1" applyBorder="1" applyAlignment="1">
      <alignment horizontal="center" vertical="center"/>
    </xf>
    <xf numFmtId="0" fontId="23" fillId="6" borderId="19" xfId="2" applyFont="1" applyFill="1" applyBorder="1" applyAlignment="1">
      <alignment horizontal="center" vertical="center"/>
    </xf>
    <xf numFmtId="0" fontId="23" fillId="6" borderId="40" xfId="2" applyFont="1" applyFill="1" applyBorder="1" applyAlignment="1">
      <alignment horizontal="center" vertical="center"/>
    </xf>
    <xf numFmtId="0" fontId="23" fillId="6" borderId="102" xfId="2" applyFont="1" applyFill="1" applyBorder="1" applyAlignment="1">
      <alignment horizontal="center" vertical="center"/>
    </xf>
    <xf numFmtId="0" fontId="23" fillId="6" borderId="96" xfId="2" applyFont="1" applyFill="1" applyBorder="1" applyAlignment="1">
      <alignment horizontal="center" vertical="center"/>
    </xf>
    <xf numFmtId="0" fontId="20" fillId="13" borderId="40" xfId="2" applyFont="1" applyFill="1" applyBorder="1" applyAlignment="1">
      <alignment horizontal="center" vertical="center"/>
    </xf>
    <xf numFmtId="182" fontId="11" fillId="0" borderId="279" xfId="3" applyNumberFormat="1" applyFont="1" applyBorder="1" applyAlignment="1">
      <alignment horizontal="center" vertical="center"/>
    </xf>
    <xf numFmtId="0" fontId="8" fillId="8" borderId="32" xfId="11" applyFont="1" applyFill="1" applyBorder="1" applyAlignment="1">
      <alignment horizontal="center" vertical="center"/>
    </xf>
    <xf numFmtId="0" fontId="8" fillId="8" borderId="74" xfId="11" applyFont="1" applyFill="1" applyBorder="1" applyAlignment="1">
      <alignment horizontal="center" vertical="center"/>
    </xf>
    <xf numFmtId="0" fontId="8" fillId="8" borderId="73" xfId="11" applyFont="1" applyFill="1" applyBorder="1" applyAlignment="1">
      <alignment horizontal="center" vertical="center"/>
    </xf>
    <xf numFmtId="0" fontId="12" fillId="3" borderId="18" xfId="61" applyFont="1" applyFill="1" applyBorder="1" applyAlignment="1">
      <alignment horizontal="center" vertical="center"/>
    </xf>
    <xf numFmtId="0" fontId="12" fillId="3" borderId="7" xfId="61" applyFont="1" applyFill="1" applyBorder="1" applyAlignment="1">
      <alignment horizontal="center" vertical="center"/>
    </xf>
    <xf numFmtId="0" fontId="8" fillId="8" borderId="30" xfId="11" applyFont="1" applyFill="1" applyBorder="1" applyAlignment="1">
      <alignment horizontal="center" vertical="center"/>
    </xf>
    <xf numFmtId="0" fontId="8" fillId="8" borderId="18" xfId="11" applyFont="1" applyFill="1" applyBorder="1" applyAlignment="1">
      <alignment horizontal="center" vertical="center"/>
    </xf>
    <xf numFmtId="0" fontId="8" fillId="8" borderId="33" xfId="11" applyFont="1" applyFill="1" applyBorder="1" applyAlignment="1">
      <alignment horizontal="center" vertical="center"/>
    </xf>
    <xf numFmtId="0" fontId="8" fillId="8" borderId="12" xfId="11" applyFont="1" applyFill="1" applyBorder="1" applyAlignment="1">
      <alignment horizontal="center" vertical="center"/>
    </xf>
    <xf numFmtId="0" fontId="8" fillId="8" borderId="32" xfId="11" applyFont="1" applyFill="1" applyBorder="1" applyAlignment="1">
      <alignment horizontal="center" vertical="center" wrapText="1"/>
    </xf>
    <xf numFmtId="0" fontId="8" fillId="8" borderId="74" xfId="11" applyFont="1" applyFill="1" applyBorder="1" applyAlignment="1">
      <alignment horizontal="center" vertical="center" wrapText="1"/>
    </xf>
    <xf numFmtId="0" fontId="8" fillId="8" borderId="73" xfId="11" applyFont="1" applyFill="1" applyBorder="1" applyAlignment="1">
      <alignment horizontal="center" vertical="center" wrapText="1"/>
    </xf>
    <xf numFmtId="0" fontId="8" fillId="8" borderId="270" xfId="11" applyFont="1" applyFill="1" applyBorder="1" applyAlignment="1">
      <alignment horizontal="center" vertical="center"/>
    </xf>
    <xf numFmtId="0" fontId="8" fillId="8" borderId="271" xfId="11" applyFont="1" applyFill="1" applyBorder="1" applyAlignment="1">
      <alignment horizontal="center" vertical="center"/>
    </xf>
    <xf numFmtId="0" fontId="23" fillId="6" borderId="18" xfId="2" applyFont="1" applyFill="1" applyBorder="1" applyAlignment="1">
      <alignment horizontal="center" vertical="center"/>
    </xf>
    <xf numFmtId="3" fontId="23" fillId="5" borderId="11" xfId="11" applyNumberFormat="1" applyFont="1" applyFill="1" applyBorder="1" applyAlignment="1">
      <alignment horizontal="center" vertical="center"/>
    </xf>
    <xf numFmtId="3" fontId="23" fillId="5" borderId="6" xfId="11" applyNumberFormat="1" applyFont="1" applyFill="1" applyBorder="1" applyAlignment="1">
      <alignment horizontal="center" vertical="center"/>
    </xf>
    <xf numFmtId="0" fontId="23" fillId="6" borderId="283" xfId="2" applyFont="1" applyFill="1" applyBorder="1" applyAlignment="1">
      <alignment horizontal="center" vertical="center"/>
    </xf>
    <xf numFmtId="0" fontId="24" fillId="8" borderId="142" xfId="2" applyFont="1" applyFill="1" applyBorder="1" applyAlignment="1">
      <alignment horizontal="center" vertical="center"/>
    </xf>
    <xf numFmtId="0" fontId="24" fillId="8" borderId="22" xfId="2" applyFont="1" applyFill="1" applyBorder="1" applyAlignment="1">
      <alignment horizontal="center" vertical="center"/>
    </xf>
    <xf numFmtId="0" fontId="24" fillId="8" borderId="74" xfId="2" applyFont="1" applyFill="1" applyBorder="1" applyAlignment="1">
      <alignment horizontal="center" vertical="center" wrapText="1"/>
    </xf>
    <xf numFmtId="0" fontId="24" fillId="8" borderId="73" xfId="2" applyFont="1" applyFill="1" applyBorder="1" applyAlignment="1">
      <alignment horizontal="center" vertical="center" wrapText="1"/>
    </xf>
    <xf numFmtId="0" fontId="24" fillId="8" borderId="145" xfId="2" applyFont="1" applyFill="1" applyBorder="1" applyAlignment="1">
      <alignment horizontal="center" vertical="center"/>
    </xf>
    <xf numFmtId="0" fontId="24" fillId="8" borderId="143" xfId="2" applyFont="1" applyFill="1" applyBorder="1" applyAlignment="1">
      <alignment horizontal="center" vertical="center"/>
    </xf>
    <xf numFmtId="0" fontId="24" fillId="8" borderId="144" xfId="2" applyFont="1" applyFill="1" applyBorder="1" applyAlignment="1">
      <alignment horizontal="center" vertical="center"/>
    </xf>
    <xf numFmtId="0" fontId="24" fillId="8" borderId="146" xfId="2" applyFont="1" applyFill="1" applyBorder="1" applyAlignment="1">
      <alignment horizontal="center" vertical="center"/>
    </xf>
    <xf numFmtId="0" fontId="24" fillId="8" borderId="147" xfId="2" applyFont="1" applyFill="1" applyBorder="1" applyAlignment="1">
      <alignment horizontal="center" vertical="center"/>
    </xf>
    <xf numFmtId="0" fontId="24" fillId="8" borderId="148" xfId="2" applyFont="1" applyFill="1" applyBorder="1" applyAlignment="1">
      <alignment horizontal="center" vertical="center"/>
    </xf>
    <xf numFmtId="0" fontId="12" fillId="3" borderId="68" xfId="61" applyFont="1" applyFill="1" applyBorder="1" applyAlignment="1">
      <alignment horizontal="center" vertical="center"/>
    </xf>
    <xf numFmtId="0" fontId="8" fillId="8" borderId="144" xfId="11" applyFont="1" applyFill="1" applyBorder="1" applyAlignment="1">
      <alignment horizontal="center" vertical="center"/>
    </xf>
    <xf numFmtId="0" fontId="12" fillId="3" borderId="18" xfId="53" applyFont="1" applyFill="1" applyBorder="1" applyAlignment="1">
      <alignment horizontal="center" vertical="center"/>
    </xf>
    <xf numFmtId="0" fontId="12" fillId="3" borderId="7" xfId="53" applyFont="1" applyFill="1" applyBorder="1" applyAlignment="1">
      <alignment horizontal="center" vertical="center"/>
    </xf>
    <xf numFmtId="3" fontId="13" fillId="5" borderId="11" xfId="5" applyNumberFormat="1" applyFont="1" applyFill="1" applyBorder="1" applyAlignment="1">
      <alignment horizontal="center" vertical="center"/>
    </xf>
    <xf numFmtId="0" fontId="8" fillId="8" borderId="30" xfId="5" applyFont="1" applyFill="1" applyBorder="1" applyAlignment="1">
      <alignment horizontal="center" vertical="center"/>
    </xf>
    <xf numFmtId="0" fontId="8" fillId="8" borderId="18" xfId="5" applyFont="1" applyFill="1" applyBorder="1" applyAlignment="1">
      <alignment horizontal="center" vertical="center"/>
    </xf>
    <xf numFmtId="0" fontId="8" fillId="8" borderId="33" xfId="5" applyFont="1" applyFill="1" applyBorder="1" applyAlignment="1">
      <alignment horizontal="center" vertical="center"/>
    </xf>
    <xf numFmtId="0" fontId="8" fillId="8" borderId="12" xfId="5" applyFont="1" applyFill="1" applyBorder="1" applyAlignment="1">
      <alignment horizontal="center" vertical="center"/>
    </xf>
    <xf numFmtId="0" fontId="8" fillId="8" borderId="270" xfId="5" applyFont="1" applyFill="1" applyBorder="1" applyAlignment="1">
      <alignment horizontal="center" vertical="center"/>
    </xf>
    <xf numFmtId="0" fontId="8" fillId="8" borderId="271" xfId="5" applyFont="1" applyFill="1" applyBorder="1" applyAlignment="1">
      <alignment horizontal="center" vertical="center"/>
    </xf>
    <xf numFmtId="0" fontId="8" fillId="8" borderId="32" xfId="5" applyFont="1" applyFill="1" applyBorder="1" applyAlignment="1">
      <alignment horizontal="center" vertical="center" wrapText="1"/>
    </xf>
    <xf numFmtId="0" fontId="8" fillId="8" borderId="74" xfId="5" applyFont="1" applyFill="1" applyBorder="1" applyAlignment="1">
      <alignment horizontal="center" vertical="center" wrapText="1"/>
    </xf>
    <xf numFmtId="0" fontId="8" fillId="8" borderId="73" xfId="5" applyFont="1" applyFill="1" applyBorder="1" applyAlignment="1">
      <alignment horizontal="center" vertical="center" wrapText="1"/>
    </xf>
    <xf numFmtId="0" fontId="8" fillId="8" borderId="32" xfId="5" applyFont="1" applyFill="1" applyBorder="1" applyAlignment="1">
      <alignment horizontal="center" vertical="center"/>
    </xf>
    <xf numFmtId="0" fontId="8" fillId="8" borderId="74" xfId="5" applyFont="1" applyFill="1" applyBorder="1" applyAlignment="1">
      <alignment horizontal="center" vertical="center"/>
    </xf>
    <xf numFmtId="0" fontId="8" fillId="8" borderId="73" xfId="5" applyFont="1" applyFill="1" applyBorder="1" applyAlignment="1">
      <alignment horizontal="center" vertical="center"/>
    </xf>
    <xf numFmtId="3" fontId="23" fillId="5" borderId="22" xfId="2" applyNumberFormat="1" applyFont="1" applyFill="1" applyBorder="1" applyAlignment="1">
      <alignment horizontal="center" vertical="center"/>
    </xf>
    <xf numFmtId="3" fontId="23" fillId="5" borderId="16" xfId="2" applyNumberFormat="1" applyFont="1" applyFill="1" applyBorder="1" applyAlignment="1">
      <alignment horizontal="center" vertical="center"/>
    </xf>
    <xf numFmtId="0" fontId="24" fillId="8" borderId="30" xfId="11" applyFont="1" applyFill="1" applyBorder="1" applyAlignment="1">
      <alignment horizontal="center" vertical="center"/>
    </xf>
    <xf numFmtId="0" fontId="24" fillId="8" borderId="33" xfId="11" applyFont="1" applyFill="1" applyBorder="1" applyAlignment="1">
      <alignment horizontal="center" vertical="center"/>
    </xf>
    <xf numFmtId="0" fontId="24" fillId="8" borderId="14" xfId="11" applyFont="1" applyFill="1" applyBorder="1" applyAlignment="1">
      <alignment horizontal="center" vertical="center"/>
    </xf>
    <xf numFmtId="0" fontId="24" fillId="8" borderId="142" xfId="11" applyFont="1" applyFill="1" applyBorder="1" applyAlignment="1">
      <alignment horizontal="center" vertical="center"/>
    </xf>
    <xf numFmtId="0" fontId="24" fillId="8" borderId="11" xfId="11" applyFont="1" applyFill="1" applyBorder="1" applyAlignment="1">
      <alignment horizontal="center" vertical="center"/>
    </xf>
    <xf numFmtId="0" fontId="24" fillId="8" borderId="32" xfId="11" applyFont="1" applyFill="1" applyBorder="1" applyAlignment="1">
      <alignment horizontal="center" vertical="center" wrapText="1"/>
    </xf>
    <xf numFmtId="0" fontId="24" fillId="8" borderId="74" xfId="11" applyFont="1" applyFill="1" applyBorder="1" applyAlignment="1">
      <alignment horizontal="center" vertical="center"/>
    </xf>
    <xf numFmtId="0" fontId="24" fillId="8" borderId="73" xfId="11" applyFont="1" applyFill="1" applyBorder="1" applyAlignment="1">
      <alignment horizontal="center" vertical="center"/>
    </xf>
    <xf numFmtId="0" fontId="24" fillId="8" borderId="179" xfId="2" applyFont="1" applyFill="1" applyBorder="1" applyAlignment="1">
      <alignment horizontal="center" vertical="center"/>
    </xf>
    <xf numFmtId="3" fontId="23" fillId="5" borderId="67" xfId="2" applyNumberFormat="1" applyFont="1" applyFill="1" applyBorder="1" applyAlignment="1">
      <alignment horizontal="center" vertical="center"/>
    </xf>
    <xf numFmtId="3" fontId="24" fillId="14" borderId="67" xfId="2" applyNumberFormat="1" applyFont="1" applyFill="1" applyBorder="1" applyAlignment="1">
      <alignment horizontal="center" vertical="center"/>
    </xf>
    <xf numFmtId="3" fontId="24" fillId="14" borderId="6" xfId="2" applyNumberFormat="1" applyFont="1" applyFill="1" applyBorder="1" applyAlignment="1">
      <alignment horizontal="center" vertical="center"/>
    </xf>
    <xf numFmtId="0" fontId="23" fillId="6" borderId="264" xfId="2" applyFont="1" applyFill="1" applyBorder="1" applyAlignment="1">
      <alignment horizontal="center" vertical="center"/>
    </xf>
    <xf numFmtId="0" fontId="23" fillId="6" borderId="265" xfId="2" applyFont="1" applyFill="1" applyBorder="1" applyAlignment="1">
      <alignment horizontal="center" vertical="center"/>
    </xf>
    <xf numFmtId="0" fontId="23" fillId="6" borderId="266" xfId="2" applyFont="1" applyFill="1" applyBorder="1" applyAlignment="1">
      <alignment horizontal="center" vertical="center"/>
    </xf>
    <xf numFmtId="0" fontId="23" fillId="6" borderId="67" xfId="2" applyFont="1" applyFill="1" applyBorder="1" applyAlignment="1">
      <alignment horizontal="center" vertical="center"/>
    </xf>
    <xf numFmtId="0" fontId="23" fillId="6" borderId="22" xfId="2" applyFont="1" applyFill="1" applyBorder="1" applyAlignment="1">
      <alignment horizontal="center" vertical="center"/>
    </xf>
    <xf numFmtId="0" fontId="24" fillId="14" borderId="67" xfId="2" applyFont="1" applyFill="1" applyBorder="1" applyAlignment="1">
      <alignment horizontal="center" vertical="center"/>
    </xf>
    <xf numFmtId="0" fontId="24" fillId="14" borderId="267" xfId="2" applyFont="1" applyFill="1" applyBorder="1" applyAlignment="1">
      <alignment horizontal="center" vertical="center"/>
    </xf>
    <xf numFmtId="3" fontId="13" fillId="5" borderId="22" xfId="5" applyNumberFormat="1" applyFont="1" applyFill="1" applyBorder="1" applyAlignment="1">
      <alignment horizontal="center" vertical="center"/>
    </xf>
    <xf numFmtId="0" fontId="8" fillId="8" borderId="142" xfId="5" applyFont="1" applyFill="1" applyBorder="1" applyAlignment="1">
      <alignment horizontal="center" vertical="center"/>
    </xf>
    <xf numFmtId="0" fontId="8" fillId="8" borderId="92" xfId="5" applyFont="1" applyFill="1" applyBorder="1" applyAlignment="1">
      <alignment horizontal="center" vertical="center"/>
    </xf>
    <xf numFmtId="0" fontId="24" fillId="8" borderId="15" xfId="11" applyFont="1" applyFill="1" applyBorder="1" applyAlignment="1">
      <alignment horizontal="center" vertical="center"/>
    </xf>
    <xf numFmtId="0" fontId="24" fillId="8" borderId="12" xfId="11" applyFont="1" applyFill="1" applyBorder="1" applyAlignment="1">
      <alignment horizontal="center" vertical="center"/>
    </xf>
    <xf numFmtId="0" fontId="24" fillId="8" borderId="22" xfId="11" applyFont="1" applyFill="1" applyBorder="1" applyAlignment="1">
      <alignment horizontal="center" vertical="center"/>
    </xf>
    <xf numFmtId="0" fontId="24" fillId="8" borderId="74" xfId="11" applyFont="1" applyFill="1" applyBorder="1" applyAlignment="1">
      <alignment horizontal="center" vertical="center" wrapText="1"/>
    </xf>
    <xf numFmtId="0" fontId="24" fillId="8" borderId="73" xfId="11" applyFont="1" applyFill="1" applyBorder="1" applyAlignment="1">
      <alignment horizontal="center" vertical="center" wrapText="1"/>
    </xf>
    <xf numFmtId="0" fontId="23" fillId="6" borderId="18" xfId="2" applyFont="1" applyFill="1" applyBorder="1" applyAlignment="1">
      <alignment horizontal="center" vertical="center" wrapText="1"/>
    </xf>
    <xf numFmtId="3" fontId="13" fillId="5" borderId="11" xfId="11" applyNumberFormat="1" applyFont="1" applyFill="1" applyBorder="1" applyAlignment="1">
      <alignment horizontal="center" vertical="center"/>
    </xf>
    <xf numFmtId="0" fontId="8" fillId="8" borderId="31" xfId="11" applyFont="1" applyFill="1" applyBorder="1" applyAlignment="1">
      <alignment horizontal="center" vertical="center"/>
    </xf>
    <xf numFmtId="0" fontId="24" fillId="8" borderId="18" xfId="11" applyFont="1" applyFill="1" applyBorder="1" applyAlignment="1">
      <alignment horizontal="center" vertical="center"/>
    </xf>
    <xf numFmtId="0" fontId="24" fillId="8" borderId="32" xfId="11" applyFont="1" applyFill="1" applyBorder="1" applyAlignment="1">
      <alignment horizontal="center" vertical="center"/>
    </xf>
    <xf numFmtId="0" fontId="23" fillId="0" borderId="18" xfId="11" applyFont="1" applyBorder="1" applyAlignment="1">
      <alignment horizontal="center" vertical="center" wrapText="1"/>
    </xf>
    <xf numFmtId="0" fontId="23" fillId="0" borderId="7" xfId="11" applyFont="1" applyBorder="1" applyAlignment="1">
      <alignment horizontal="center" vertical="center" wrapText="1"/>
    </xf>
    <xf numFmtId="176" fontId="23" fillId="5" borderId="22" xfId="26" applyNumberFormat="1" applyFont="1" applyFill="1" applyBorder="1" applyAlignment="1">
      <alignment horizontal="center" vertical="center"/>
    </xf>
    <xf numFmtId="176" fontId="23" fillId="5" borderId="16" xfId="26" applyNumberFormat="1" applyFont="1" applyFill="1" applyBorder="1" applyAlignment="1">
      <alignment horizontal="center" vertical="center"/>
    </xf>
    <xf numFmtId="0" fontId="23" fillId="6" borderId="152" xfId="2" applyFont="1" applyFill="1" applyBorder="1" applyAlignment="1">
      <alignment horizontal="center" vertical="center"/>
    </xf>
    <xf numFmtId="0" fontId="23" fillId="6" borderId="158" xfId="2" applyFont="1" applyFill="1" applyBorder="1" applyAlignment="1">
      <alignment horizontal="center" vertical="center"/>
    </xf>
    <xf numFmtId="0" fontId="24" fillId="8" borderId="143" xfId="11" applyFont="1" applyFill="1" applyBorder="1" applyAlignment="1">
      <alignment horizontal="center" vertical="center" wrapText="1"/>
    </xf>
    <xf numFmtId="0" fontId="24" fillId="8" borderId="144" xfId="11" applyFont="1" applyFill="1" applyBorder="1" applyAlignment="1">
      <alignment horizontal="center" vertical="center" wrapText="1"/>
    </xf>
    <xf numFmtId="0" fontId="24" fillId="8" borderId="237" xfId="11" applyFont="1" applyFill="1" applyBorder="1" applyAlignment="1">
      <alignment horizontal="center" vertical="center"/>
    </xf>
    <xf numFmtId="3" fontId="23" fillId="6" borderId="18" xfId="11" applyNumberFormat="1" applyFont="1" applyFill="1" applyBorder="1" applyAlignment="1">
      <alignment horizontal="center" vertical="center"/>
    </xf>
    <xf numFmtId="3" fontId="23" fillId="6" borderId="7" xfId="11" applyNumberFormat="1" applyFont="1" applyFill="1" applyBorder="1" applyAlignment="1">
      <alignment horizontal="center" vertical="center"/>
    </xf>
    <xf numFmtId="0" fontId="24" fillId="8" borderId="180" xfId="11" applyFont="1" applyFill="1" applyBorder="1" applyAlignment="1">
      <alignment horizontal="center" vertical="center"/>
    </xf>
    <xf numFmtId="0" fontId="24" fillId="8" borderId="191" xfId="11" applyFont="1" applyFill="1" applyBorder="1" applyAlignment="1">
      <alignment horizontal="center" vertical="center"/>
    </xf>
    <xf numFmtId="0" fontId="24" fillId="8" borderId="181" xfId="11" applyFont="1" applyFill="1" applyBorder="1" applyAlignment="1">
      <alignment horizontal="center" vertical="center"/>
    </xf>
    <xf numFmtId="0" fontId="24" fillId="8" borderId="182" xfId="11" applyFont="1" applyFill="1" applyBorder="1" applyAlignment="1">
      <alignment horizontal="center" vertical="center"/>
    </xf>
    <xf numFmtId="0" fontId="24" fillId="8" borderId="183" xfId="11" applyFont="1" applyFill="1" applyBorder="1" applyAlignment="1">
      <alignment horizontal="center" vertical="center" wrapText="1"/>
    </xf>
    <xf numFmtId="0" fontId="24" fillId="8" borderId="184" xfId="11" applyFont="1" applyFill="1" applyBorder="1" applyAlignment="1">
      <alignment horizontal="center" vertical="center"/>
    </xf>
    <xf numFmtId="0" fontId="24" fillId="8" borderId="185" xfId="2" applyFont="1" applyFill="1" applyBorder="1" applyAlignment="1">
      <alignment horizontal="center" vertical="center"/>
    </xf>
    <xf numFmtId="0" fontId="24" fillId="8" borderId="186" xfId="2" applyFont="1" applyFill="1" applyBorder="1" applyAlignment="1">
      <alignment horizontal="center" vertical="center"/>
    </xf>
    <xf numFmtId="0" fontId="24" fillId="8" borderId="187" xfId="2" applyFont="1" applyFill="1" applyBorder="1" applyAlignment="1">
      <alignment horizontal="center" vertical="center"/>
    </xf>
    <xf numFmtId="0" fontId="24" fillId="8" borderId="188" xfId="2" applyFont="1" applyFill="1" applyBorder="1" applyAlignment="1">
      <alignment horizontal="center" vertical="center"/>
    </xf>
    <xf numFmtId="0" fontId="24" fillId="8" borderId="189" xfId="2" applyFont="1" applyFill="1" applyBorder="1" applyAlignment="1">
      <alignment horizontal="center" vertical="center"/>
    </xf>
    <xf numFmtId="0" fontId="24" fillId="8" borderId="190" xfId="2" applyFont="1" applyFill="1" applyBorder="1" applyAlignment="1">
      <alignment horizontal="center" vertical="center"/>
    </xf>
    <xf numFmtId="0" fontId="24" fillId="8" borderId="146" xfId="11" applyFont="1" applyFill="1" applyBorder="1" applyAlignment="1">
      <alignment horizontal="center" vertical="center" wrapText="1"/>
    </xf>
    <xf numFmtId="0" fontId="24" fillId="8" borderId="147" xfId="11" applyFont="1" applyFill="1" applyBorder="1" applyAlignment="1">
      <alignment horizontal="center" vertical="center"/>
    </xf>
    <xf numFmtId="0" fontId="24" fillId="8" borderId="148" xfId="11" applyFont="1" applyFill="1" applyBorder="1" applyAlignment="1">
      <alignment horizontal="center" vertical="center"/>
    </xf>
    <xf numFmtId="0" fontId="24" fillId="8" borderId="178" xfId="2" applyFont="1" applyFill="1" applyBorder="1" applyAlignment="1">
      <alignment horizontal="center" vertical="center"/>
    </xf>
    <xf numFmtId="0" fontId="24" fillId="8" borderId="241" xfId="2" applyFont="1" applyFill="1" applyBorder="1" applyAlignment="1">
      <alignment horizontal="center" vertical="center"/>
    </xf>
    <xf numFmtId="0" fontId="99" fillId="8" borderId="146" xfId="2" applyFont="1" applyFill="1" applyBorder="1" applyAlignment="1">
      <alignment horizontal="center" vertical="center"/>
    </xf>
    <xf numFmtId="0" fontId="99" fillId="8" borderId="179" xfId="2" applyFont="1" applyFill="1" applyBorder="1" applyAlignment="1">
      <alignment horizontal="center" vertical="center"/>
    </xf>
    <xf numFmtId="3" fontId="102" fillId="5" borderId="16" xfId="2" applyNumberFormat="1" applyFont="1" applyFill="1" applyBorder="1" applyAlignment="1">
      <alignment horizontal="center" vertical="center"/>
    </xf>
    <xf numFmtId="3" fontId="92" fillId="5" borderId="16" xfId="2" applyNumberFormat="1" applyFont="1" applyFill="1" applyBorder="1" applyAlignment="1">
      <alignment horizontal="center" vertical="center"/>
    </xf>
    <xf numFmtId="0" fontId="94" fillId="8" borderId="30" xfId="2" applyFont="1" applyFill="1" applyBorder="1" applyAlignment="1">
      <alignment horizontal="center" vertical="center"/>
    </xf>
    <xf numFmtId="0" fontId="94" fillId="8" borderId="33" xfId="2" applyFont="1" applyFill="1" applyBorder="1" applyAlignment="1">
      <alignment horizontal="center" vertical="center"/>
    </xf>
    <xf numFmtId="0" fontId="94" fillId="8" borderId="14" xfId="2" applyFont="1" applyFill="1" applyBorder="1" applyAlignment="1">
      <alignment horizontal="center" vertical="center"/>
    </xf>
    <xf numFmtId="0" fontId="94" fillId="8" borderId="32" xfId="2" applyFont="1" applyFill="1" applyBorder="1" applyAlignment="1">
      <alignment horizontal="center" vertical="center" wrapText="1"/>
    </xf>
    <xf numFmtId="0" fontId="94" fillId="8" borderId="74" xfId="2" applyFont="1" applyFill="1" applyBorder="1" applyAlignment="1">
      <alignment horizontal="center" vertical="center"/>
    </xf>
    <xf numFmtId="0" fontId="94" fillId="8" borderId="73" xfId="2" applyFont="1" applyFill="1" applyBorder="1" applyAlignment="1">
      <alignment horizontal="center" vertical="center"/>
    </xf>
    <xf numFmtId="0" fontId="99" fillId="8" borderId="32" xfId="2" applyFont="1" applyFill="1" applyBorder="1" applyAlignment="1">
      <alignment horizontal="center" vertical="center"/>
    </xf>
    <xf numFmtId="0" fontId="94" fillId="8" borderId="146" xfId="2" applyFont="1" applyFill="1" applyBorder="1" applyAlignment="1">
      <alignment horizontal="center" vertical="center"/>
    </xf>
    <xf numFmtId="0" fontId="94" fillId="8" borderId="179" xfId="2" applyFont="1" applyFill="1" applyBorder="1" applyAlignment="1">
      <alignment horizontal="center" vertical="center"/>
    </xf>
    <xf numFmtId="0" fontId="94" fillId="8" borderId="142" xfId="2" applyFont="1" applyFill="1" applyBorder="1" applyAlignment="1">
      <alignment horizontal="center" vertical="center"/>
    </xf>
    <xf numFmtId="0" fontId="94" fillId="8" borderId="11" xfId="2" applyFont="1" applyFill="1" applyBorder="1" applyAlignment="1">
      <alignment horizontal="center" vertical="center"/>
    </xf>
    <xf numFmtId="0" fontId="94" fillId="8" borderId="145" xfId="2" applyFont="1" applyFill="1" applyBorder="1" applyAlignment="1">
      <alignment horizontal="center" vertical="center"/>
    </xf>
    <xf numFmtId="3" fontId="92" fillId="5" borderId="67" xfId="2" applyNumberFormat="1" applyFont="1" applyFill="1" applyBorder="1" applyAlignment="1">
      <alignment horizontal="center" vertical="center"/>
    </xf>
    <xf numFmtId="3" fontId="92" fillId="5" borderId="1" xfId="2" applyNumberFormat="1" applyFont="1" applyFill="1" applyBorder="1" applyAlignment="1">
      <alignment horizontal="center" vertical="center"/>
    </xf>
    <xf numFmtId="3" fontId="92" fillId="5" borderId="11" xfId="2" applyNumberFormat="1" applyFont="1" applyFill="1" applyBorder="1" applyAlignment="1">
      <alignment horizontal="center" vertical="center"/>
    </xf>
    <xf numFmtId="3" fontId="92" fillId="5" borderId="6" xfId="2" applyNumberFormat="1" applyFont="1" applyFill="1" applyBorder="1" applyAlignment="1">
      <alignment horizontal="center" vertical="center"/>
    </xf>
    <xf numFmtId="0" fontId="24" fillId="8" borderId="246" xfId="2" applyFont="1" applyFill="1" applyBorder="1" applyAlignment="1">
      <alignment horizontal="center" vertical="center"/>
    </xf>
    <xf numFmtId="0" fontId="94" fillId="8" borderId="245" xfId="2" applyFont="1" applyFill="1" applyBorder="1" applyAlignment="1">
      <alignment horizontal="center" vertical="center"/>
    </xf>
    <xf numFmtId="0" fontId="94" fillId="8" borderId="291" xfId="2" applyFont="1" applyFill="1" applyBorder="1" applyAlignment="1">
      <alignment horizontal="center" vertical="center"/>
    </xf>
    <xf numFmtId="0" fontId="94" fillId="8" borderId="22" xfId="2" applyFont="1" applyFill="1" applyBorder="1" applyAlignment="1">
      <alignment horizontal="center" vertical="center"/>
    </xf>
    <xf numFmtId="0" fontId="94" fillId="8" borderId="74" xfId="2" applyFont="1" applyFill="1" applyBorder="1" applyAlignment="1">
      <alignment horizontal="center" vertical="center" wrapText="1"/>
    </xf>
    <xf numFmtId="0" fontId="94" fillId="8" borderId="241" xfId="2" applyFont="1" applyFill="1" applyBorder="1" applyAlignment="1">
      <alignment horizontal="center" vertical="center"/>
    </xf>
    <xf numFmtId="0" fontId="94" fillId="8" borderId="147" xfId="2" applyFont="1" applyFill="1" applyBorder="1" applyAlignment="1">
      <alignment horizontal="center" vertical="center"/>
    </xf>
    <xf numFmtId="3" fontId="92" fillId="5" borderId="272" xfId="2" applyNumberFormat="1" applyFont="1" applyFill="1" applyBorder="1" applyAlignment="1">
      <alignment horizontal="center" vertical="center"/>
    </xf>
    <xf numFmtId="3" fontId="92" fillId="5" borderId="78" xfId="2" applyNumberFormat="1" applyFont="1" applyFill="1" applyBorder="1" applyAlignment="1">
      <alignment horizontal="center" vertical="center"/>
    </xf>
    <xf numFmtId="3" fontId="92" fillId="5" borderId="257" xfId="2" applyNumberFormat="1" applyFont="1" applyFill="1" applyBorder="1" applyAlignment="1">
      <alignment horizontal="center" vertical="center"/>
    </xf>
    <xf numFmtId="0" fontId="24" fillId="8" borderId="29" xfId="2" applyFont="1" applyFill="1" applyBorder="1" applyAlignment="1">
      <alignment horizontal="center" vertical="center"/>
    </xf>
    <xf numFmtId="0" fontId="24" fillId="8" borderId="250" xfId="2" applyFont="1" applyFill="1" applyBorder="1" applyAlignment="1">
      <alignment horizontal="center" vertical="center"/>
    </xf>
    <xf numFmtId="0" fontId="24" fillId="8" borderId="243" xfId="2" applyFont="1" applyFill="1" applyBorder="1" applyAlignment="1">
      <alignment horizontal="center" vertical="center"/>
    </xf>
    <xf numFmtId="0" fontId="24" fillId="8" borderId="247" xfId="2" applyFont="1" applyFill="1" applyBorder="1" applyAlignment="1">
      <alignment horizontal="center" vertical="center"/>
    </xf>
    <xf numFmtId="0" fontId="24" fillId="8" borderId="244" xfId="2" applyFont="1" applyFill="1" applyBorder="1" applyAlignment="1">
      <alignment horizontal="center" vertical="center" wrapText="1"/>
    </xf>
    <xf numFmtId="0" fontId="24" fillId="8" borderId="183" xfId="2" applyFont="1" applyFill="1" applyBorder="1" applyAlignment="1">
      <alignment horizontal="center" vertical="center" wrapText="1"/>
    </xf>
    <xf numFmtId="0" fontId="24" fillId="8" borderId="255" xfId="2" applyFont="1" applyFill="1" applyBorder="1" applyAlignment="1">
      <alignment horizontal="center" vertical="center" wrapText="1"/>
    </xf>
    <xf numFmtId="0" fontId="24" fillId="8" borderId="15" xfId="2" applyFont="1" applyFill="1" applyBorder="1" applyAlignment="1">
      <alignment horizontal="center" vertical="center"/>
    </xf>
    <xf numFmtId="0" fontId="24" fillId="8" borderId="284" xfId="2" applyFont="1" applyFill="1" applyBorder="1" applyAlignment="1">
      <alignment horizontal="center" vertical="center"/>
    </xf>
    <xf numFmtId="0" fontId="24" fillId="8" borderId="184" xfId="2" applyFont="1" applyFill="1" applyBorder="1" applyAlignment="1">
      <alignment horizontal="center" vertical="center" wrapText="1"/>
    </xf>
    <xf numFmtId="0" fontId="24" fillId="8" borderId="293" xfId="2" applyFont="1" applyFill="1" applyBorder="1" applyAlignment="1">
      <alignment horizontal="center" vertical="center" wrapText="1"/>
    </xf>
    <xf numFmtId="0" fontId="24" fillId="8" borderId="177" xfId="2" applyFont="1" applyFill="1" applyBorder="1" applyAlignment="1">
      <alignment horizontal="center" vertical="center"/>
    </xf>
    <xf numFmtId="3" fontId="23" fillId="6" borderId="11" xfId="2" applyNumberFormat="1" applyFont="1" applyFill="1" applyBorder="1" applyAlignment="1">
      <alignment horizontal="center" vertical="center"/>
    </xf>
    <xf numFmtId="3" fontId="23" fillId="5" borderId="272" xfId="2" applyNumberFormat="1" applyFont="1" applyFill="1" applyBorder="1" applyAlignment="1">
      <alignment horizontal="center" vertical="center"/>
    </xf>
    <xf numFmtId="3" fontId="23" fillId="5" borderId="78" xfId="2" applyNumberFormat="1" applyFont="1" applyFill="1" applyBorder="1" applyAlignment="1">
      <alignment horizontal="center" vertical="center"/>
    </xf>
    <xf numFmtId="3" fontId="23" fillId="5" borderId="257" xfId="2" applyNumberFormat="1" applyFont="1" applyFill="1" applyBorder="1" applyAlignment="1">
      <alignment horizontal="center" vertical="center"/>
    </xf>
    <xf numFmtId="3" fontId="23" fillId="5" borderId="249" xfId="2" applyNumberFormat="1" applyFont="1" applyFill="1" applyBorder="1" applyAlignment="1">
      <alignment horizontal="center" vertical="center"/>
    </xf>
    <xf numFmtId="3" fontId="23" fillId="5" borderId="254" xfId="2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left" vertical="center" wrapText="1"/>
    </xf>
  </cellXfs>
  <cellStyles count="73">
    <cellStyle name="Normal 2 2" xfId="33" xr:uid="{9D7DE950-C43D-4D82-821E-36D58ACD1B82}"/>
    <cellStyle name="Percent 2" xfId="46" xr:uid="{F6F5AF58-19F8-4D45-9458-3C64BB537B9C}"/>
    <cellStyle name="百分比" xfId="1" builtinId="5"/>
    <cellStyle name="百分比 2" xfId="25" xr:uid="{38BB7F6A-82DB-4471-814A-EF56553342A6}"/>
    <cellStyle name="百分比 2 2" xfId="8" xr:uid="{C7169769-E863-434E-B329-7DFBBB1D4C5A}"/>
    <cellStyle name="百分比 2 2 2" xfId="27" xr:uid="{986B3478-B7C3-420E-BF72-C81B630DB082}"/>
    <cellStyle name="百分比 2 2 2 2" xfId="4" xr:uid="{D3E39731-22D6-44AF-BD9D-A384DEFD8478}"/>
    <cellStyle name="百分比 2 2 2 3" xfId="66" xr:uid="{66FF8609-2302-0748-B6AC-36A7A1BE1715}"/>
    <cellStyle name="百分比 2 2 2 3 2 2" xfId="45" xr:uid="{48AA9203-7D10-4707-8BF3-067698B62ED4}"/>
    <cellStyle name="百分比 2 3" xfId="7" xr:uid="{8F9C75EE-DBE0-4678-954A-8EACF0FAE852}"/>
    <cellStyle name="百分比 2 3 2" xfId="30" xr:uid="{98191AF4-88E3-4A5A-B78C-A714952FEAA8}"/>
    <cellStyle name="百分比 2 3 2 2" xfId="55" xr:uid="{D91751FF-E9E8-4D81-BA01-19165E176495}"/>
    <cellStyle name="百分比 2 3 3" xfId="28" xr:uid="{D0BB2D58-71B5-408F-9BB9-BCE253604E7D}"/>
    <cellStyle name="百分比 2 4" xfId="42" xr:uid="{EDFB218D-B478-49FE-9784-3B5D3F8CDBFA}"/>
    <cellStyle name="百分比 2 5" xfId="62" xr:uid="{7E0C9F4C-711E-F249-AE22-187468CF849B}"/>
    <cellStyle name="常规" xfId="0" builtinId="0"/>
    <cellStyle name="常规 2" xfId="21" xr:uid="{5C758FEE-B02E-4EB6-843C-A34335E85D91}"/>
    <cellStyle name="常规 2 2" xfId="53" xr:uid="{B124829A-2E13-4625-906E-7661FE49BD78}"/>
    <cellStyle name="常规 2 2 2" xfId="32" xr:uid="{911D2CEC-1856-468D-957F-DF0B6CBA38D4}"/>
    <cellStyle name="常规 2 2 2 3" xfId="58" xr:uid="{0392BC96-64EC-CF41-8267-E261061577B9}"/>
    <cellStyle name="常规 2 3" xfId="61" xr:uid="{52B0BBCB-7145-E04E-A987-93A5AFCF12A6}"/>
    <cellStyle name="常规 2 4" xfId="36" xr:uid="{8D4C8B94-2D9F-4064-B31A-FEAA37773F34}"/>
    <cellStyle name="常规 2 4 2 2 2 4 2" xfId="52" xr:uid="{29A0FEB1-5733-4DBF-BF4F-F8A18F07ECF0}"/>
    <cellStyle name="常规 2 4 2 2 2 4 2 2" xfId="71" xr:uid="{AE297ACD-F706-1E4B-BCAB-EFA88BEA0523}"/>
    <cellStyle name="常规 2 4 2 2 6 2" xfId="65" xr:uid="{86529F21-90E0-7E4D-8946-D4872177BC77}"/>
    <cellStyle name="常规 3 2" xfId="38" xr:uid="{4AA5FDFD-308E-4118-BC5F-0BEC814D952C}"/>
    <cellStyle name="常规 3 2 2 2" xfId="11" xr:uid="{1E3F0042-3189-4298-BEF9-4157AF32B569}"/>
    <cellStyle name="常规 3 2 2 3" xfId="5" xr:uid="{B8FDEC6C-05F6-4F10-A623-6218FB5F7A65}"/>
    <cellStyle name="常规 3 2 2 3 2" xfId="43" xr:uid="{3900A799-6C12-4DD5-BFE4-D91B0704BD5A}"/>
    <cellStyle name="常规 3 2 2 3 3" xfId="44" xr:uid="{5257A92D-F58F-4234-87D2-661C0461D4FC}"/>
    <cellStyle name="常规 3 2 5" xfId="64" xr:uid="{CF6A603E-6CEE-2B41-8D10-AB58365BB9EF}"/>
    <cellStyle name="常规 3 3" xfId="2" xr:uid="{8B29054E-D6C7-4A0F-A315-573CFFE894C2}"/>
    <cellStyle name="常规 3 3 3" xfId="13" xr:uid="{097163CC-7BC9-4A49-ADB5-1B5A520AF6D7}"/>
    <cellStyle name="常规 4" xfId="37" xr:uid="{C50114B0-72DA-4FD3-BB5A-92A996029255}"/>
    <cellStyle name="常规 5 2" xfId="14" xr:uid="{E17E9262-F073-4090-8155-EAE62AF94874}"/>
    <cellStyle name="常规 5 2 2" xfId="16" xr:uid="{060D95BC-F1D7-40A6-93F8-7D3265171468}"/>
    <cellStyle name="常规 5 2 2 2" xfId="40" xr:uid="{4CB4C971-E378-4313-B148-D9E368D7984A}"/>
    <cellStyle name="常规 5 2 2 2 2" xfId="47" xr:uid="{A14C16CB-1722-7D4D-ADC3-8CA0EE63398B}"/>
    <cellStyle name="常规 5 2 2 3" xfId="67" xr:uid="{AEA2B304-7F29-264B-B876-29FD00508A8C}"/>
    <cellStyle name="常规 5 2 3" xfId="19" xr:uid="{F3365E23-3919-4956-8BBB-AF4F145D06A8}"/>
    <cellStyle name="常规 5 2 4 4 5 2" xfId="15" xr:uid="{3002C006-FAA7-473E-9486-89808F501FEE}"/>
    <cellStyle name="常规 5 2 4 4 5 2 2" xfId="39" xr:uid="{8B81F327-48FC-4267-9EDC-F3F0488F825C}"/>
    <cellStyle name="常规 5 2 4 4 5 2 2 2" xfId="48" xr:uid="{DB23FF4D-6360-4E82-A8B9-0A1BB0CA9BD6}"/>
    <cellStyle name="常规 5 2 4 4 5 2 2 2 2" xfId="68" xr:uid="{0D7122FE-A24D-434C-AFAD-2DAF4C574510}"/>
    <cellStyle name="常规 5 2 4 4 5 2 2 3" xfId="56" xr:uid="{C60C7639-5AD0-8C4B-80B1-29E616C34941}"/>
    <cellStyle name="常规 5 2 4 6 3 2 2 2" xfId="17" xr:uid="{9D926278-EC32-4C84-B5DE-BE4CBF9E1F9B}"/>
    <cellStyle name="常规 5 2 4 6 3 2 2 2 2" xfId="49" xr:uid="{4F886AC8-C1FB-483B-894C-C286FFF2FFCC}"/>
    <cellStyle name="常规 5 2 4 6 3 2 2 2 2 2" xfId="69" xr:uid="{EDAD57BF-62EA-4A4F-9359-08C6CEF86368}"/>
    <cellStyle name="常规 5 2 4 6 3 2 2 2 3" xfId="57" xr:uid="{22E90D34-15D2-024C-92B5-71EB51BDE8FE}"/>
    <cellStyle name="常规 5 2 5" xfId="24" xr:uid="{CD1F631D-E590-44F3-B8C2-34916E70BB62}"/>
    <cellStyle name="常规 5 2 5 2 2 6 2" xfId="60" xr:uid="{D085EE1C-183C-E649-80C9-9EBB4E940997}"/>
    <cellStyle name="常规 5 2 5 4 5 2" xfId="72" xr:uid="{BDB7BD69-49E5-7044-91FE-13AC2DFBD5ED}"/>
    <cellStyle name="常规 5 3 2 2 2 2 5 2" xfId="51" xr:uid="{4A2F8898-D82D-4770-87EF-437F82B26F0A}"/>
    <cellStyle name="常规 5 3 2 2 2 2 5 2 2" xfId="70" xr:uid="{BF48F231-3FBD-D241-8802-E3DCBC7FDC18}"/>
    <cellStyle name="常规 5 3 2 2 2 3 2" xfId="22" xr:uid="{1365DB4F-5A9C-48F7-8690-F945C14982DE}"/>
    <cellStyle name="常规 5 3 2 2 2 5 2" xfId="59" xr:uid="{C498BFB3-EC5D-454F-A2EF-DEE2199BFA78}"/>
    <cellStyle name="常规 5 3 2 3 2" xfId="23" xr:uid="{6CB2426C-3CB7-4263-819C-87BC2FC771BB}"/>
    <cellStyle name="常规 5 3 2 3 2 2" xfId="50" xr:uid="{E7D84F35-B9FF-4E2C-A153-FFF57407A448}"/>
    <cellStyle name="货币 2" xfId="26" xr:uid="{206C8091-DC99-4538-BD8E-9D6BC4E5E745}"/>
    <cellStyle name="千位分隔" xfId="20" builtinId="3"/>
    <cellStyle name="千位分隔 2 2" xfId="12" xr:uid="{FFD7C862-DE75-41C7-8661-0E55C283149B}"/>
    <cellStyle name="千位分隔 2 2 2" xfId="35" xr:uid="{2FD262FB-706E-458C-BE8E-C953B2387721}"/>
    <cellStyle name="千位分隔 2 2 2 2 2" xfId="10" xr:uid="{BDB1D041-1676-459D-8759-DE7B231432DE}"/>
    <cellStyle name="千位分隔 2 2 2 2 2 2" xfId="31" xr:uid="{9DFEBAD2-86E7-4035-AC0D-B8EFE05A6B6E}"/>
    <cellStyle name="千位分隔 2 3" xfId="63" xr:uid="{751A1D31-2234-764F-AE0E-545106AC12D3}"/>
    <cellStyle name="千位分隔 2 3 2" xfId="3" xr:uid="{BE5047D5-32BA-4F2D-AA26-4A394DE9FCEE}"/>
    <cellStyle name="千位分隔 2 3 2 2" xfId="41" xr:uid="{6F98F0FE-6B69-47C8-9656-F95988547275}"/>
    <cellStyle name="千位分隔 2 3 2 2 2" xfId="54" xr:uid="{8F0EDDC1-8B9D-4199-AD81-FD95DD1EDBC0}"/>
    <cellStyle name="千位分隔 2 3 2 3" xfId="6" xr:uid="{C3F950C2-5B1C-4729-8063-69A07246ED90}"/>
    <cellStyle name="千位分隔 2 3 2 4" xfId="9" xr:uid="{446C4FCE-58AC-453C-A029-8FB567DA1C91}"/>
    <cellStyle name="千位分隔 2 4" xfId="34" xr:uid="{E3938908-7F27-47A6-B64C-BBF44209240E}"/>
    <cellStyle name="千位分隔 2 4 2" xfId="18" xr:uid="{7CF8CDAC-D80A-478C-AC8D-80ADABEDF6C2}"/>
    <cellStyle name="千位分隔 3" xfId="29" xr:uid="{F17C1792-7181-42F0-AA50-0EFCCC9FDD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290079</xdr:colOff>
      <xdr:row>91</xdr:row>
      <xdr:rowOff>688397</xdr:rowOff>
    </xdr:from>
    <xdr:to>
      <xdr:col>27</xdr:col>
      <xdr:colOff>867352</xdr:colOff>
      <xdr:row>94</xdr:row>
      <xdr:rowOff>157306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87DA57E-FA77-E744-9E31-4E04A3584CBF}"/>
            </a:ext>
          </a:extLst>
        </xdr:cNvPr>
        <xdr:cNvSpPr/>
      </xdr:nvSpPr>
      <xdr:spPr>
        <a:xfrm>
          <a:off x="25118579" y="26990097"/>
          <a:ext cx="7346373" cy="81510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>
              <a:latin typeface="微软雅黑" panose="020B0503020204020204" pitchFamily="34" charset="-122"/>
              <a:ea typeface="微软雅黑" panose="020B0503020204020204" pitchFamily="34" charset="-122"/>
            </a:rPr>
            <a:t>暂未给到</a:t>
          </a:r>
          <a:r>
            <a:rPr lang="en-US" altLang="zh-CN" sz="1800">
              <a:latin typeface="微软雅黑" panose="020B0503020204020204" pitchFamily="34" charset="-122"/>
              <a:ea typeface="微软雅黑" panose="020B0503020204020204" pitchFamily="34" charset="-122"/>
            </a:rPr>
            <a:t>SKUID</a:t>
          </a:r>
        </a:p>
      </xdr:txBody>
    </xdr:sp>
    <xdr:clientData/>
  </xdr:twoCellAnchor>
  <xdr:twoCellAnchor>
    <xdr:from>
      <xdr:col>20</xdr:col>
      <xdr:colOff>242454</xdr:colOff>
      <xdr:row>80</xdr:row>
      <xdr:rowOff>577272</xdr:rowOff>
    </xdr:from>
    <xdr:to>
      <xdr:col>27</xdr:col>
      <xdr:colOff>819727</xdr:colOff>
      <xdr:row>84</xdr:row>
      <xdr:rowOff>46181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40CD81B-1D3C-C149-A033-DEF43DC9AB18}"/>
            </a:ext>
          </a:extLst>
        </xdr:cNvPr>
        <xdr:cNvSpPr/>
      </xdr:nvSpPr>
      <xdr:spPr>
        <a:xfrm>
          <a:off x="25070954" y="24084972"/>
          <a:ext cx="7346373" cy="75160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>
              <a:latin typeface="微软雅黑" panose="020B0503020204020204" pitchFamily="34" charset="-122"/>
              <a:ea typeface="微软雅黑" panose="020B0503020204020204" pitchFamily="34" charset="-122"/>
            </a:rPr>
            <a:t>暂未给到</a:t>
          </a:r>
          <a:r>
            <a:rPr lang="en-US" altLang="zh-CN" sz="1800">
              <a:latin typeface="微软雅黑" panose="020B0503020204020204" pitchFamily="34" charset="-122"/>
              <a:ea typeface="微软雅黑" panose="020B0503020204020204" pitchFamily="34" charset="-122"/>
            </a:rPr>
            <a:t>SKUID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F8B4-696A-40CF-A916-55C84B0272F5}">
  <dimension ref="B2:Y432"/>
  <sheetViews>
    <sheetView showGridLines="0" topLeftCell="G25" zoomScale="125" zoomScaleNormal="145" workbookViewId="0">
      <selection activeCell="G13" sqref="G13"/>
    </sheetView>
  </sheetViews>
  <sheetFormatPr defaultColWidth="8.33203125" defaultRowHeight="16.5"/>
  <cols>
    <col min="1" max="1" width="5.33203125" style="247" customWidth="1"/>
    <col min="2" max="2" width="30.33203125" style="247" customWidth="1"/>
    <col min="3" max="3" width="18.33203125" style="247" customWidth="1"/>
    <col min="4" max="4" width="22.33203125" style="247" customWidth="1"/>
    <col min="5" max="5" width="16" style="247" customWidth="1"/>
    <col min="6" max="6" width="21.33203125" style="247" hidden="1" customWidth="1"/>
    <col min="7" max="7" width="17" style="247" customWidth="1"/>
    <col min="8" max="8" width="17" style="247" hidden="1" customWidth="1"/>
    <col min="9" max="10" width="17" style="247" customWidth="1"/>
    <col min="11" max="11" width="15" style="247" customWidth="1"/>
    <col min="12" max="12" width="14" style="247" customWidth="1"/>
    <col min="13" max="13" width="17" style="247" hidden="1" customWidth="1"/>
    <col min="14" max="14" width="16.33203125" style="247" customWidth="1"/>
    <col min="15" max="15" width="13" style="247" customWidth="1"/>
    <col min="16" max="16" width="15" style="247" customWidth="1"/>
    <col min="17" max="17" width="18" style="247" customWidth="1"/>
    <col min="18" max="18" width="14.33203125" style="247" customWidth="1"/>
    <col min="19" max="16384" width="8.33203125" style="247"/>
  </cols>
  <sheetData>
    <row r="2" spans="2:19" ht="18" customHeight="1">
      <c r="B2" s="245" t="s">
        <v>524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</row>
    <row r="3" spans="2:19" ht="18" customHeight="1">
      <c r="B3" s="245" t="s">
        <v>216</v>
      </c>
      <c r="C3" s="704" t="s">
        <v>531</v>
      </c>
      <c r="D3" s="246"/>
      <c r="E3" s="246"/>
      <c r="F3" s="246"/>
      <c r="G3" s="246"/>
      <c r="H3" s="246"/>
      <c r="I3" s="246"/>
      <c r="J3" s="246"/>
      <c r="K3" s="246"/>
      <c r="M3" s="246"/>
      <c r="N3" s="246"/>
      <c r="O3" s="246"/>
      <c r="P3" s="246"/>
      <c r="Q3" s="246"/>
      <c r="R3" s="246"/>
    </row>
    <row r="4" spans="2:19" ht="18" customHeight="1">
      <c r="B4" s="245" t="s">
        <v>96</v>
      </c>
      <c r="C4" s="246" t="s">
        <v>532</v>
      </c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</row>
    <row r="5" spans="2:19" ht="18" customHeight="1">
      <c r="B5" s="705" t="s">
        <v>525</v>
      </c>
      <c r="C5" s="706" t="s">
        <v>80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</row>
    <row r="6" spans="2:19" ht="18" customHeight="1">
      <c r="B6" s="246" t="s">
        <v>217</v>
      </c>
      <c r="C6" s="70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</row>
    <row r="7" spans="2:19" ht="18" customHeight="1">
      <c r="B7" s="246"/>
      <c r="C7" s="70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</row>
    <row r="8" spans="2:19" ht="18" customHeight="1">
      <c r="B8" s="246"/>
      <c r="C8" s="70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</row>
    <row r="9" spans="2:19" ht="18" customHeight="1">
      <c r="B9" s="248" t="s">
        <v>725</v>
      </c>
      <c r="C9" s="246"/>
      <c r="D9" s="246"/>
      <c r="E9" s="246"/>
      <c r="F9" s="246"/>
      <c r="G9" s="245"/>
      <c r="H9" s="245"/>
      <c r="I9" s="245"/>
      <c r="J9" s="245"/>
      <c r="K9" s="246"/>
      <c r="L9" s="245"/>
      <c r="M9" s="245" t="s">
        <v>219</v>
      </c>
      <c r="N9" s="246"/>
      <c r="O9" s="246"/>
      <c r="P9" s="246"/>
      <c r="Q9" s="246"/>
      <c r="R9" s="246"/>
    </row>
    <row r="10" spans="2:19" ht="44.25" customHeight="1">
      <c r="B10" s="249" t="s">
        <v>220</v>
      </c>
      <c r="C10" s="250" t="s">
        <v>221</v>
      </c>
      <c r="D10" s="251" t="s">
        <v>222</v>
      </c>
      <c r="E10" s="252" t="s">
        <v>223</v>
      </c>
      <c r="F10" s="251" t="s">
        <v>88</v>
      </c>
      <c r="G10" s="251" t="s">
        <v>157</v>
      </c>
      <c r="H10" s="251" t="s">
        <v>89</v>
      </c>
      <c r="I10" s="251" t="s">
        <v>224</v>
      </c>
      <c r="J10" s="251" t="s">
        <v>19</v>
      </c>
      <c r="K10" s="252" t="s">
        <v>18</v>
      </c>
      <c r="L10" s="251" t="s">
        <v>17</v>
      </c>
      <c r="M10" s="251" t="s">
        <v>90</v>
      </c>
      <c r="N10" s="251" t="s">
        <v>16</v>
      </c>
      <c r="O10" s="251" t="s">
        <v>14</v>
      </c>
      <c r="P10" s="251" t="s">
        <v>91</v>
      </c>
      <c r="Q10" s="251" t="s">
        <v>12</v>
      </c>
      <c r="R10" s="253" t="s">
        <v>92</v>
      </c>
    </row>
    <row r="11" spans="2:19" ht="18" customHeight="1">
      <c r="B11" s="810" t="s">
        <v>775</v>
      </c>
      <c r="C11" s="255" t="s">
        <v>94</v>
      </c>
      <c r="D11" s="256">
        <v>48018108.775553808</v>
      </c>
      <c r="E11" s="257">
        <v>64311434</v>
      </c>
      <c r="F11" s="257"/>
      <c r="G11" s="258">
        <v>3107985</v>
      </c>
      <c r="H11" s="259"/>
      <c r="I11" s="260">
        <f t="shared" ref="I11" si="0">IFERROR(G11/E11,"-")</f>
        <v>4.832709841301315E-2</v>
      </c>
      <c r="J11" s="260">
        <f t="shared" ref="J11" si="1">IFERROR(K11/G11,"-")</f>
        <v>3.6763369192579755E-2</v>
      </c>
      <c r="K11" s="257">
        <v>114260</v>
      </c>
      <c r="L11" s="258">
        <v>82127</v>
      </c>
      <c r="M11" s="259" t="e">
        <v>#REF!</v>
      </c>
      <c r="N11" s="261">
        <f t="shared" ref="N11:N12" si="2">IFERROR(L11/K11,"-")</f>
        <v>0.71877297391913175</v>
      </c>
      <c r="O11" s="262">
        <f t="shared" ref="O11:O16" si="3">IFERROR(D11/L11,"-")</f>
        <v>584.68114962867037</v>
      </c>
      <c r="P11" s="257">
        <f t="shared" ref="P11" si="4">IFERROR(L11*$R11,"-")</f>
        <v>83358905</v>
      </c>
      <c r="Q11" s="263">
        <f t="shared" ref="Q11:Q12" si="5">IFERROR(P11/D11,"-")</f>
        <v>1.735988924295959</v>
      </c>
      <c r="R11" s="264">
        <v>1015</v>
      </c>
    </row>
    <row r="12" spans="2:19" ht="18" customHeight="1">
      <c r="B12" s="265" t="s">
        <v>776</v>
      </c>
      <c r="C12" s="266" t="s">
        <v>94</v>
      </c>
      <c r="D12" s="267">
        <v>27289493.109999999</v>
      </c>
      <c r="E12" s="268">
        <v>49075489</v>
      </c>
      <c r="F12" s="268"/>
      <c r="G12" s="269">
        <v>1262190</v>
      </c>
      <c r="H12" s="270"/>
      <c r="I12" s="260">
        <f>IFERROR(G12/E12,"-")</f>
        <v>2.5719356561072677E-2</v>
      </c>
      <c r="J12" s="260">
        <f>IFERROR(K12/G12,"-")</f>
        <v>2.9259461729216681E-2</v>
      </c>
      <c r="K12" s="268">
        <v>36931</v>
      </c>
      <c r="L12" s="269">
        <v>25591</v>
      </c>
      <c r="M12" s="270"/>
      <c r="N12" s="271">
        <f t="shared" si="2"/>
        <v>0.69294088976740409</v>
      </c>
      <c r="O12" s="272">
        <f t="shared" si="3"/>
        <v>1066.3707205658238</v>
      </c>
      <c r="P12" s="273">
        <f>IFERROR(L12*$R12,"-")</f>
        <v>84962120</v>
      </c>
      <c r="Q12" s="274">
        <f t="shared" si="5"/>
        <v>3.1133638011351104</v>
      </c>
      <c r="R12" s="275">
        <v>3320</v>
      </c>
    </row>
    <row r="13" spans="2:19" ht="18" customHeight="1">
      <c r="B13" s="276" t="s">
        <v>777</v>
      </c>
      <c r="C13" s="277" t="s">
        <v>94</v>
      </c>
      <c r="D13" s="267">
        <v>4358393.91</v>
      </c>
      <c r="E13" s="278">
        <v>7005060</v>
      </c>
      <c r="F13" s="279"/>
      <c r="G13" s="280">
        <v>193612</v>
      </c>
      <c r="H13" s="281"/>
      <c r="I13" s="260">
        <f>IFERROR(G13/E13,"-")</f>
        <v>2.7638878182342477E-2</v>
      </c>
      <c r="J13" s="260">
        <f t="shared" ref="J13:J25" si="6">IFERROR(K13/G13,"-")</f>
        <v>8.3636344854657763E-2</v>
      </c>
      <c r="K13" s="282">
        <v>16193</v>
      </c>
      <c r="L13" s="283">
        <v>13512</v>
      </c>
      <c r="M13" s="281"/>
      <c r="N13" s="271">
        <f>IFERROR(L13/K13,"-")</f>
        <v>0.83443463224850245</v>
      </c>
      <c r="O13" s="272">
        <f t="shared" si="3"/>
        <v>322.55727575488459</v>
      </c>
      <c r="P13" s="273">
        <f>IFERROR(L13*$R13,"-")</f>
        <v>5310216</v>
      </c>
      <c r="Q13" s="274">
        <f>IFERROR(P13/D13,"-")</f>
        <v>1.2183882663327235</v>
      </c>
      <c r="R13" s="284">
        <v>393</v>
      </c>
    </row>
    <row r="14" spans="2:19" ht="18" customHeight="1">
      <c r="B14" s="276" t="s">
        <v>778</v>
      </c>
      <c r="C14" s="277" t="s">
        <v>93</v>
      </c>
      <c r="D14" s="285">
        <v>303961.74000000005</v>
      </c>
      <c r="E14" s="278">
        <v>451046</v>
      </c>
      <c r="F14" s="286"/>
      <c r="G14" s="269">
        <v>1993</v>
      </c>
      <c r="H14" s="270"/>
      <c r="I14" s="260">
        <f>IFERROR(G14/E14,"-")</f>
        <v>4.4186180566948823E-3</v>
      </c>
      <c r="J14" s="260">
        <f t="shared" si="6"/>
        <v>8.9312594079277469E-2</v>
      </c>
      <c r="K14" s="268">
        <v>178</v>
      </c>
      <c r="L14" s="269">
        <v>142</v>
      </c>
      <c r="M14" s="270"/>
      <c r="N14" s="287">
        <f>IFERROR(L14/K14,"-")</f>
        <v>0.797752808988764</v>
      </c>
      <c r="O14" s="288">
        <f t="shared" si="3"/>
        <v>2140.5756338028173</v>
      </c>
      <c r="P14" s="273">
        <f>IFERROR(L14*$R14,"-")</f>
        <v>25418</v>
      </c>
      <c r="Q14" s="289">
        <f>IFERROR(P14/D14,"-")</f>
        <v>8.3622366420194841E-2</v>
      </c>
      <c r="R14" s="275">
        <v>179</v>
      </c>
    </row>
    <row r="15" spans="2:19" ht="18" customHeight="1">
      <c r="B15" s="276" t="s">
        <v>779</v>
      </c>
      <c r="C15" s="277" t="s">
        <v>93</v>
      </c>
      <c r="D15" s="267">
        <v>5018475.1899999995</v>
      </c>
      <c r="E15" s="278">
        <v>4436886</v>
      </c>
      <c r="F15" s="279"/>
      <c r="G15" s="280">
        <v>127385</v>
      </c>
      <c r="H15" s="270"/>
      <c r="I15" s="260">
        <f>IFERROR(G15/E15,"-")</f>
        <v>2.871045142922311E-2</v>
      </c>
      <c r="J15" s="260">
        <f t="shared" si="6"/>
        <v>9.7656709973701766E-2</v>
      </c>
      <c r="K15" s="282">
        <v>12440</v>
      </c>
      <c r="L15" s="283">
        <v>10372</v>
      </c>
      <c r="M15" s="270"/>
      <c r="N15" s="287">
        <f t="shared" ref="N15:N25" si="7">IFERROR(L15/K15,"-")</f>
        <v>0.83376205787781354</v>
      </c>
      <c r="O15" s="288">
        <f t="shared" si="3"/>
        <v>483.84836000771304</v>
      </c>
      <c r="P15" s="273">
        <f t="shared" ref="P15:P20" si="8">IFERROR(L15*$R15,"-")</f>
        <v>4563680</v>
      </c>
      <c r="Q15" s="289">
        <f>IFERROR(P15/D15,"-")</f>
        <v>0.90937582178223353</v>
      </c>
      <c r="R15" s="284">
        <v>440</v>
      </c>
      <c r="S15" s="1459"/>
    </row>
    <row r="16" spans="2:19" ht="18" customHeight="1">
      <c r="B16" s="276" t="s">
        <v>780</v>
      </c>
      <c r="C16" s="277" t="s">
        <v>93</v>
      </c>
      <c r="D16" s="285">
        <v>1141639.21</v>
      </c>
      <c r="E16" s="268">
        <v>434114</v>
      </c>
      <c r="F16" s="286"/>
      <c r="G16" s="269">
        <v>6419</v>
      </c>
      <c r="H16" s="270"/>
      <c r="I16" s="260">
        <f t="shared" ref="I16:I24" si="9">IFERROR(G16/E16,"-")</f>
        <v>1.4786438585256407E-2</v>
      </c>
      <c r="J16" s="260">
        <f t="shared" si="6"/>
        <v>8.4592615672223093E-2</v>
      </c>
      <c r="K16" s="268">
        <v>543</v>
      </c>
      <c r="L16" s="269">
        <v>364</v>
      </c>
      <c r="M16" s="270"/>
      <c r="N16" s="287">
        <f t="shared" si="7"/>
        <v>0.67034990791896865</v>
      </c>
      <c r="O16" s="288">
        <f t="shared" si="3"/>
        <v>3136.3714560439557</v>
      </c>
      <c r="P16" s="273">
        <f t="shared" si="8"/>
        <v>131768</v>
      </c>
      <c r="Q16" s="289">
        <f>IFERROR(P16/D16,"-")</f>
        <v>0.11542000208629835</v>
      </c>
      <c r="R16" s="275">
        <v>362</v>
      </c>
    </row>
    <row r="17" spans="2:18" ht="18" customHeight="1">
      <c r="B17" s="290" t="s">
        <v>781</v>
      </c>
      <c r="C17" s="277" t="s">
        <v>93</v>
      </c>
      <c r="D17" s="285">
        <v>671167.75305193395</v>
      </c>
      <c r="E17" s="292">
        <v>1040294</v>
      </c>
      <c r="F17" s="293"/>
      <c r="G17" s="294">
        <v>10506</v>
      </c>
      <c r="H17" s="295"/>
      <c r="I17" s="260">
        <f>IFERROR(G17/E17,"-")</f>
        <v>1.0099068148042765E-2</v>
      </c>
      <c r="J17" s="260">
        <f>IFERROR(K17/G17,"-")</f>
        <v>0.11450599657338664</v>
      </c>
      <c r="K17" s="292">
        <v>1203</v>
      </c>
      <c r="L17" s="294">
        <v>1081</v>
      </c>
      <c r="M17" s="295"/>
      <c r="N17" s="287">
        <f t="shared" si="7"/>
        <v>0.8985868661679135</v>
      </c>
      <c r="O17" s="288">
        <f>IFERROR(D17/L17,"-")</f>
        <v>620.87673732833855</v>
      </c>
      <c r="P17" s="273">
        <f t="shared" si="8"/>
        <v>617251</v>
      </c>
      <c r="Q17" s="289">
        <f>IFERROR(P17/D17,"-")</f>
        <v>0.91966724741055617</v>
      </c>
      <c r="R17" s="275">
        <v>571</v>
      </c>
    </row>
    <row r="18" spans="2:18" ht="18" hidden="1" customHeight="1">
      <c r="B18" s="276" t="s">
        <v>782</v>
      </c>
      <c r="C18" s="277" t="s">
        <v>94</v>
      </c>
      <c r="D18" s="285"/>
      <c r="E18" s="278"/>
      <c r="F18" s="279"/>
      <c r="G18" s="280"/>
      <c r="H18" s="281"/>
      <c r="I18" s="260" t="str">
        <f t="shared" si="9"/>
        <v>-</v>
      </c>
      <c r="J18" s="260" t="str">
        <f>IFERROR(K18/G18,"-")</f>
        <v>-</v>
      </c>
      <c r="K18" s="282"/>
      <c r="L18" s="283"/>
      <c r="M18" s="281"/>
      <c r="N18" s="271" t="str">
        <f t="shared" si="7"/>
        <v>-</v>
      </c>
      <c r="O18" s="272" t="str">
        <f t="shared" ref="O18:O20" si="10">IFERROR(D18/L18,"-")</f>
        <v>-</v>
      </c>
      <c r="P18" s="273">
        <f t="shared" si="8"/>
        <v>0</v>
      </c>
      <c r="Q18" s="274" t="str">
        <f t="shared" ref="Q18:Q20" si="11">IFERROR(P18/D18,"-")</f>
        <v>-</v>
      </c>
      <c r="R18" s="284"/>
    </row>
    <row r="19" spans="2:18" ht="18" hidden="1" customHeight="1">
      <c r="B19" s="296" t="s">
        <v>783</v>
      </c>
      <c r="C19" s="297" t="s">
        <v>93</v>
      </c>
      <c r="E19" s="273"/>
      <c r="F19" s="298"/>
      <c r="G19" s="299"/>
      <c r="H19" s="300"/>
      <c r="I19" s="260" t="str">
        <f>IFERROR(G19/E19,"-")</f>
        <v>-</v>
      </c>
      <c r="J19" s="260" t="str">
        <f>IFERROR(K19/G19,"-")</f>
        <v>-</v>
      </c>
      <c r="K19" s="301"/>
      <c r="L19" s="302"/>
      <c r="M19" s="300"/>
      <c r="N19" s="271" t="str">
        <f t="shared" si="7"/>
        <v>-</v>
      </c>
      <c r="O19" s="272" t="str">
        <f t="shared" si="10"/>
        <v>-</v>
      </c>
      <c r="P19" s="273">
        <f t="shared" si="8"/>
        <v>0</v>
      </c>
      <c r="Q19" s="274" t="str">
        <f t="shared" si="11"/>
        <v>-</v>
      </c>
      <c r="R19" s="303"/>
    </row>
    <row r="20" spans="2:18" ht="18" customHeight="1">
      <c r="B20" s="304" t="s">
        <v>784</v>
      </c>
      <c r="C20" s="305" t="s">
        <v>93</v>
      </c>
      <c r="D20" s="306">
        <v>3612584.84</v>
      </c>
      <c r="E20" s="307">
        <v>5450223</v>
      </c>
      <c r="F20" s="307"/>
      <c r="G20" s="308">
        <v>328531</v>
      </c>
      <c r="H20" s="309"/>
      <c r="I20" s="260">
        <f>IFERROR(G20/E20,"-")</f>
        <v>6.0278450991821803E-2</v>
      </c>
      <c r="J20" s="260">
        <f t="shared" si="6"/>
        <v>3.5981383796354072E-2</v>
      </c>
      <c r="K20" s="310">
        <v>11821</v>
      </c>
      <c r="L20" s="311">
        <v>9685</v>
      </c>
      <c r="M20" s="309"/>
      <c r="N20" s="271">
        <f t="shared" si="7"/>
        <v>0.81930462735809151</v>
      </c>
      <c r="O20" s="272">
        <f t="shared" si="10"/>
        <v>373.0082436757873</v>
      </c>
      <c r="P20" s="273">
        <f t="shared" si="8"/>
        <v>8658390</v>
      </c>
      <c r="Q20" s="274">
        <f t="shared" si="11"/>
        <v>2.3967298716782524</v>
      </c>
      <c r="R20" s="312">
        <v>894</v>
      </c>
    </row>
    <row r="21" spans="2:18" ht="18" customHeight="1">
      <c r="B21" s="265" t="s">
        <v>785</v>
      </c>
      <c r="C21" s="313" t="s">
        <v>94</v>
      </c>
      <c r="D21" s="291">
        <f>D22+D23</f>
        <v>791118.23</v>
      </c>
      <c r="E21" s="291">
        <f>E22+E23</f>
        <v>729141</v>
      </c>
      <c r="F21" s="291"/>
      <c r="G21" s="308">
        <f>G22+G23</f>
        <v>33783</v>
      </c>
      <c r="H21" s="314"/>
      <c r="I21" s="260">
        <f t="shared" si="9"/>
        <v>4.6332602336173659E-2</v>
      </c>
      <c r="J21" s="260">
        <f t="shared" si="6"/>
        <v>4.0612142201699078E-2</v>
      </c>
      <c r="K21" s="315">
        <f t="shared" ref="K21:L21" si="12">K22+K23</f>
        <v>1372</v>
      </c>
      <c r="L21" s="316">
        <f t="shared" si="12"/>
        <v>1023</v>
      </c>
      <c r="M21" s="314"/>
      <c r="N21" s="271">
        <f t="shared" si="7"/>
        <v>0.74562682215743437</v>
      </c>
      <c r="O21" s="272">
        <f>IFERROR(D21/L21,"-")</f>
        <v>773.33160312805467</v>
      </c>
      <c r="P21" s="273">
        <f>P22+P23</f>
        <v>787710</v>
      </c>
      <c r="Q21" s="274">
        <f>IFERROR(P21/D21,"-")</f>
        <v>0.99569188286812704</v>
      </c>
      <c r="R21" s="317">
        <f>P21/L21</f>
        <v>770</v>
      </c>
    </row>
    <row r="22" spans="2:18" ht="18" hidden="1" customHeight="1">
      <c r="B22" s="276" t="s">
        <v>785</v>
      </c>
      <c r="C22" s="277" t="s">
        <v>93</v>
      </c>
      <c r="D22" s="285">
        <v>791118.23</v>
      </c>
      <c r="E22" s="268">
        <v>729141</v>
      </c>
      <c r="F22" s="286"/>
      <c r="G22" s="269">
        <v>33783</v>
      </c>
      <c r="H22" s="270"/>
      <c r="I22" s="260">
        <f t="shared" si="9"/>
        <v>4.6332602336173659E-2</v>
      </c>
      <c r="J22" s="260">
        <f t="shared" si="6"/>
        <v>4.0612142201699078E-2</v>
      </c>
      <c r="K22" s="268">
        <v>1372</v>
      </c>
      <c r="L22" s="269">
        <v>1023</v>
      </c>
      <c r="M22" s="270"/>
      <c r="N22" s="271">
        <f t="shared" si="7"/>
        <v>0.74562682215743437</v>
      </c>
      <c r="O22" s="272">
        <f t="shared" ref="O22" si="13">IFERROR(D22/L22,"-")</f>
        <v>773.33160312805467</v>
      </c>
      <c r="P22" s="273">
        <f t="shared" ref="P22:P25" si="14">IFERROR(L22*$R22,"-")</f>
        <v>787710</v>
      </c>
      <c r="Q22" s="274">
        <f t="shared" ref="Q22" si="15">IFERROR(P22/D22,"-")</f>
        <v>0.99569188286812704</v>
      </c>
      <c r="R22" s="275">
        <v>770</v>
      </c>
    </row>
    <row r="23" spans="2:18" ht="18" hidden="1" customHeight="1">
      <c r="B23" s="276" t="s">
        <v>785</v>
      </c>
      <c r="C23" s="277" t="s">
        <v>94</v>
      </c>
      <c r="D23" s="318"/>
      <c r="E23" s="268"/>
      <c r="F23" s="268"/>
      <c r="G23" s="269"/>
      <c r="H23" s="270"/>
      <c r="I23" s="260" t="str">
        <f t="shared" si="9"/>
        <v>-</v>
      </c>
      <c r="J23" s="260" t="str">
        <f t="shared" si="6"/>
        <v>-</v>
      </c>
      <c r="K23" s="282"/>
      <c r="L23" s="319"/>
      <c r="M23" s="270"/>
      <c r="N23" s="271" t="str">
        <f t="shared" si="7"/>
        <v>-</v>
      </c>
      <c r="O23" s="272" t="str">
        <f>IFERROR(D23/L23,"-")</f>
        <v>-</v>
      </c>
      <c r="P23" s="273">
        <f t="shared" si="14"/>
        <v>0</v>
      </c>
      <c r="Q23" s="274" t="str">
        <f>IFERROR(P23/D23,"-")</f>
        <v>-</v>
      </c>
      <c r="R23" s="275"/>
    </row>
    <row r="24" spans="2:18" ht="18" hidden="1" customHeight="1">
      <c r="B24" s="276" t="s">
        <v>786</v>
      </c>
      <c r="C24" s="277" t="s">
        <v>94</v>
      </c>
      <c r="D24" s="318"/>
      <c r="E24" s="268"/>
      <c r="F24" s="286"/>
      <c r="G24" s="269"/>
      <c r="H24" s="270"/>
      <c r="I24" s="260" t="str">
        <f t="shared" si="9"/>
        <v>-</v>
      </c>
      <c r="J24" s="260" t="str">
        <f t="shared" si="6"/>
        <v>-</v>
      </c>
      <c r="K24" s="282"/>
      <c r="L24" s="319"/>
      <c r="M24" s="270"/>
      <c r="N24" s="287" t="str">
        <f t="shared" si="7"/>
        <v>-</v>
      </c>
      <c r="O24" s="288" t="str">
        <f>IFERROR(D24/L24,"-")</f>
        <v>-</v>
      </c>
      <c r="P24" s="268">
        <f t="shared" si="14"/>
        <v>0</v>
      </c>
      <c r="Q24" s="289" t="str">
        <f>IFERROR(P24/D24,"-")</f>
        <v>-</v>
      </c>
      <c r="R24" s="275">
        <v>240</v>
      </c>
    </row>
    <row r="25" spans="2:18" ht="18" customHeight="1">
      <c r="B25" s="320" t="s">
        <v>787</v>
      </c>
      <c r="C25" s="321" t="s">
        <v>94</v>
      </c>
      <c r="D25" s="322">
        <v>3456070.45</v>
      </c>
      <c r="E25" s="323">
        <v>3018940</v>
      </c>
      <c r="F25" s="324"/>
      <c r="G25" s="325">
        <v>130305</v>
      </c>
      <c r="H25" s="326"/>
      <c r="I25" s="327">
        <f>IFERROR(G25/E25,"-")</f>
        <v>4.3162500745294707E-2</v>
      </c>
      <c r="J25" s="327">
        <f t="shared" si="6"/>
        <v>8.1685276850466212E-2</v>
      </c>
      <c r="K25" s="328">
        <v>10644</v>
      </c>
      <c r="L25" s="329">
        <v>8682</v>
      </c>
      <c r="M25" s="326"/>
      <c r="N25" s="330">
        <f t="shared" si="7"/>
        <v>0.8156708004509583</v>
      </c>
      <c r="O25" s="331">
        <f t="shared" ref="O25" si="16">IFERROR(D25/L25,"-")</f>
        <v>398.07307648007372</v>
      </c>
      <c r="P25" s="332">
        <f t="shared" si="14"/>
        <v>2956199.5141518251</v>
      </c>
      <c r="Q25" s="333">
        <f t="shared" ref="Q25" si="17">IFERROR(P25/D25,"-")</f>
        <v>0.85536436739934651</v>
      </c>
      <c r="R25" s="334">
        <v>340.49752524208998</v>
      </c>
    </row>
    <row r="26" spans="2:18" ht="18" customHeight="1">
      <c r="G26" s="335" t="s">
        <v>788</v>
      </c>
      <c r="H26" s="336"/>
      <c r="I26" s="337">
        <f>SUM(G11:G17,G19)/SUM(E11:F17,E19)</f>
        <v>3.715920600199174E-2</v>
      </c>
      <c r="J26" s="337">
        <f>SUM(K11:K17,K19)/SUM(G11:H17,G19)</f>
        <v>3.8586948444721866E-2</v>
      </c>
      <c r="K26" s="338"/>
      <c r="L26" s="338"/>
      <c r="M26" s="338"/>
      <c r="N26" s="338"/>
      <c r="O26" s="339">
        <f>SUM(D11:D17,D19)/SUM(L11:L17,L19)</f>
        <v>651.71477891271593</v>
      </c>
    </row>
    <row r="27" spans="2:18" ht="18" customHeight="1">
      <c r="D27" s="340"/>
      <c r="G27" s="335" t="s">
        <v>789</v>
      </c>
      <c r="H27" s="336"/>
      <c r="I27" s="337">
        <f>SUM(G20,G22)/SUM(E20,E22)</f>
        <v>5.8632894906336643E-2</v>
      </c>
      <c r="J27" s="337">
        <f>SUM(K20,K22)/SUM(G20,G22)</f>
        <v>3.6413166479904169E-2</v>
      </c>
      <c r="K27" s="338"/>
      <c r="L27" s="338"/>
      <c r="M27" s="338"/>
      <c r="N27" s="338"/>
      <c r="O27" s="339">
        <f>SUM(D20,D22)/SUM(L20,L22)</f>
        <v>411.25355528576767</v>
      </c>
    </row>
    <row r="28" spans="2:18" ht="18" customHeight="1">
      <c r="E28" s="341" t="s">
        <v>919</v>
      </c>
      <c r="G28" s="335" t="s">
        <v>790</v>
      </c>
      <c r="H28" s="336"/>
      <c r="I28" s="337">
        <f>SUM(G23:G25,品牌A!M15:M16)/SUM(E23:E25,品牌A!K15:K16)</f>
        <v>5.4018582959425562E-2</v>
      </c>
      <c r="J28" s="337">
        <f>SUM(K23:K25,品牌A!P15:P16)/SUM(G23:G25,品牌A!M15:M16)</f>
        <v>4.472800270307873E-2</v>
      </c>
      <c r="K28" s="338"/>
      <c r="L28" s="338"/>
      <c r="M28" s="338"/>
      <c r="N28" s="338"/>
      <c r="O28" s="707">
        <f>SUM(D23:D25,品牌A!H15:H16)/SUM(L23:L25,品牌A!Q15:Q16)</f>
        <v>392.3442967501332</v>
      </c>
    </row>
    <row r="29" spans="2:18" ht="18" customHeight="1">
      <c r="G29" s="335" t="s">
        <v>791</v>
      </c>
      <c r="H29" s="336"/>
      <c r="I29" s="337">
        <f>SUM(G11:G21,G24:G25)/SUM(E11:E21,E24:E25)</f>
        <v>3.8268543350765849E-2</v>
      </c>
      <c r="J29" s="337">
        <f>SUM(K11:K21,K24:K25)/SUM(G11:G21,G24:G25)</f>
        <v>3.9514991132504243E-2</v>
      </c>
      <c r="K29" s="338"/>
      <c r="L29" s="338"/>
      <c r="M29" s="338"/>
      <c r="N29" s="338"/>
      <c r="O29" s="339">
        <f>SUM(D11:D21,D24:D25)/SUM(L11:L21,L24:L25)</f>
        <v>620.40656452464452</v>
      </c>
    </row>
    <row r="30" spans="2:18" ht="18" customHeight="1">
      <c r="G30" s="733"/>
      <c r="H30" s="336"/>
      <c r="I30" s="732"/>
      <c r="J30" s="732"/>
      <c r="K30" s="338"/>
      <c r="L30" s="338"/>
      <c r="M30" s="338"/>
      <c r="N30" s="338"/>
      <c r="O30" s="734"/>
    </row>
    <row r="31" spans="2:18" ht="18" customHeight="1">
      <c r="B31" s="246"/>
      <c r="C31" s="70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</row>
    <row r="32" spans="2:18" ht="18" customHeight="1">
      <c r="B32" s="248" t="s">
        <v>529</v>
      </c>
      <c r="C32" s="246"/>
      <c r="D32" s="246"/>
      <c r="E32" s="246"/>
      <c r="F32" s="246"/>
      <c r="G32" s="245"/>
      <c r="H32" s="245"/>
      <c r="I32" s="245"/>
      <c r="J32" s="245"/>
      <c r="K32" s="246"/>
      <c r="L32" s="245"/>
      <c r="M32" s="245" t="s">
        <v>219</v>
      </c>
      <c r="N32" s="246"/>
      <c r="O32" s="246"/>
      <c r="P32" s="246"/>
      <c r="Q32" s="246"/>
      <c r="R32" s="246"/>
    </row>
    <row r="33" spans="2:19" ht="44.25" customHeight="1">
      <c r="B33" s="249" t="s">
        <v>85</v>
      </c>
      <c r="C33" s="250" t="s">
        <v>86</v>
      </c>
      <c r="D33" s="251" t="s">
        <v>87</v>
      </c>
      <c r="E33" s="252" t="s">
        <v>23</v>
      </c>
      <c r="F33" s="251" t="s">
        <v>88</v>
      </c>
      <c r="G33" s="251" t="s">
        <v>21</v>
      </c>
      <c r="H33" s="251" t="s">
        <v>89</v>
      </c>
      <c r="I33" s="251" t="s">
        <v>20</v>
      </c>
      <c r="J33" s="251" t="s">
        <v>19</v>
      </c>
      <c r="K33" s="252" t="s">
        <v>18</v>
      </c>
      <c r="L33" s="251" t="s">
        <v>17</v>
      </c>
      <c r="M33" s="251" t="s">
        <v>90</v>
      </c>
      <c r="N33" s="251" t="s">
        <v>16</v>
      </c>
      <c r="O33" s="251" t="s">
        <v>14</v>
      </c>
      <c r="P33" s="251" t="s">
        <v>91</v>
      </c>
      <c r="Q33" s="251" t="s">
        <v>12</v>
      </c>
      <c r="R33" s="253" t="s">
        <v>92</v>
      </c>
    </row>
    <row r="34" spans="2:19" ht="18" customHeight="1">
      <c r="B34" s="810" t="s">
        <v>775</v>
      </c>
      <c r="C34" s="255" t="s">
        <v>93</v>
      </c>
      <c r="D34" s="256">
        <v>19629122.329999991</v>
      </c>
      <c r="E34" s="257">
        <v>25040380</v>
      </c>
      <c r="F34" s="257"/>
      <c r="G34" s="258">
        <v>708660</v>
      </c>
      <c r="H34" s="259"/>
      <c r="I34" s="260">
        <v>2.8300688727567233E-2</v>
      </c>
      <c r="J34" s="260">
        <v>3.495611435667316E-2</v>
      </c>
      <c r="K34" s="257">
        <v>24772</v>
      </c>
      <c r="L34" s="258">
        <v>17443</v>
      </c>
      <c r="M34" s="259" t="e">
        <v>#REF!</v>
      </c>
      <c r="N34" s="261">
        <v>0.70414177296948166</v>
      </c>
      <c r="O34" s="262">
        <v>1125.3294920598516</v>
      </c>
      <c r="P34" s="257">
        <v>17704645</v>
      </c>
      <c r="Q34" s="263">
        <v>0.90195805509557947</v>
      </c>
      <c r="R34" s="264">
        <v>1015</v>
      </c>
    </row>
    <row r="35" spans="2:19" ht="18" customHeight="1">
      <c r="B35" s="265" t="s">
        <v>776</v>
      </c>
      <c r="C35" s="266" t="s">
        <v>93</v>
      </c>
      <c r="D35" s="267">
        <v>6726311.0600000005</v>
      </c>
      <c r="E35" s="268">
        <v>8680203</v>
      </c>
      <c r="F35" s="268"/>
      <c r="G35" s="269">
        <v>82208</v>
      </c>
      <c r="H35" s="270"/>
      <c r="I35" s="260">
        <v>9.4707462486764427E-3</v>
      </c>
      <c r="J35" s="260">
        <v>2.5776080186843131E-2</v>
      </c>
      <c r="K35" s="268">
        <v>2119</v>
      </c>
      <c r="L35" s="269">
        <v>1325</v>
      </c>
      <c r="M35" s="270"/>
      <c r="N35" s="271">
        <v>0.62529495044832473</v>
      </c>
      <c r="O35" s="272">
        <v>5076.4611773584911</v>
      </c>
      <c r="P35" s="273">
        <v>4399000</v>
      </c>
      <c r="Q35" s="274">
        <v>0.65399889490094432</v>
      </c>
      <c r="R35" s="275">
        <v>3320</v>
      </c>
    </row>
    <row r="36" spans="2:19" ht="18" customHeight="1">
      <c r="B36" s="276" t="s">
        <v>777</v>
      </c>
      <c r="C36" s="277" t="s">
        <v>93</v>
      </c>
      <c r="D36" s="267">
        <v>2845177.69</v>
      </c>
      <c r="E36" s="278">
        <v>1684164</v>
      </c>
      <c r="F36" s="279"/>
      <c r="G36" s="280">
        <v>71446</v>
      </c>
      <c r="H36" s="281"/>
      <c r="I36" s="260">
        <v>4.2422234414225692E-2</v>
      </c>
      <c r="J36" s="260">
        <v>0.11708143213056015</v>
      </c>
      <c r="K36" s="282">
        <v>8365</v>
      </c>
      <c r="L36" s="283">
        <v>7296</v>
      </c>
      <c r="M36" s="281"/>
      <c r="N36" s="271">
        <v>0.87220561864913326</v>
      </c>
      <c r="O36" s="272">
        <v>389.96404742324563</v>
      </c>
      <c r="P36" s="273">
        <v>2736000</v>
      </c>
      <c r="Q36" s="274">
        <v>0.96162711018586677</v>
      </c>
      <c r="R36" s="284">
        <v>375</v>
      </c>
    </row>
    <row r="37" spans="2:19" ht="18" hidden="1" customHeight="1">
      <c r="B37" s="276" t="s">
        <v>778</v>
      </c>
      <c r="C37" s="277" t="s">
        <v>93</v>
      </c>
      <c r="D37" s="285"/>
      <c r="E37" s="278"/>
      <c r="F37" s="286"/>
      <c r="G37" s="269"/>
      <c r="H37" s="270"/>
      <c r="I37" s="260" t="s">
        <v>167</v>
      </c>
      <c r="J37" s="260" t="s">
        <v>167</v>
      </c>
      <c r="K37" s="268"/>
      <c r="L37" s="269"/>
      <c r="M37" s="270"/>
      <c r="N37" s="287" t="s">
        <v>167</v>
      </c>
      <c r="O37" s="288" t="s">
        <v>167</v>
      </c>
      <c r="P37" s="273">
        <v>0</v>
      </c>
      <c r="Q37" s="289" t="s">
        <v>167</v>
      </c>
      <c r="R37" s="275"/>
    </row>
    <row r="38" spans="2:19" ht="18" customHeight="1">
      <c r="B38" s="276" t="s">
        <v>779</v>
      </c>
      <c r="C38" s="277" t="s">
        <v>93</v>
      </c>
      <c r="D38" s="267">
        <v>3413978.55</v>
      </c>
      <c r="E38" s="278">
        <v>3184860</v>
      </c>
      <c r="F38" s="279"/>
      <c r="G38" s="280">
        <v>89283</v>
      </c>
      <c r="H38" s="270"/>
      <c r="I38" s="260">
        <v>2.8033571334375767E-2</v>
      </c>
      <c r="J38" s="260">
        <v>9.1282774996359894E-2</v>
      </c>
      <c r="K38" s="282">
        <v>8150</v>
      </c>
      <c r="L38" s="283">
        <v>6726</v>
      </c>
      <c r="M38" s="270"/>
      <c r="N38" s="287">
        <v>0.82527607361963196</v>
      </c>
      <c r="O38" s="288">
        <v>507.57932649420155</v>
      </c>
      <c r="P38" s="273">
        <v>3167946</v>
      </c>
      <c r="Q38" s="289">
        <v>0.92793377392485377</v>
      </c>
      <c r="R38" s="284">
        <v>471</v>
      </c>
      <c r="S38" s="1459" t="s">
        <v>530</v>
      </c>
    </row>
    <row r="39" spans="2:19" ht="18" hidden="1" customHeight="1">
      <c r="B39" s="276" t="s">
        <v>780</v>
      </c>
      <c r="C39" s="277" t="s">
        <v>93</v>
      </c>
      <c r="D39" s="285"/>
      <c r="E39" s="268"/>
      <c r="F39" s="286"/>
      <c r="G39" s="269"/>
      <c r="H39" s="270"/>
      <c r="I39" s="260" t="s">
        <v>167</v>
      </c>
      <c r="J39" s="260" t="s">
        <v>167</v>
      </c>
      <c r="K39" s="268"/>
      <c r="L39" s="269"/>
      <c r="M39" s="270"/>
      <c r="N39" s="287" t="s">
        <v>167</v>
      </c>
      <c r="O39" s="288" t="s">
        <v>167</v>
      </c>
      <c r="P39" s="273">
        <v>0</v>
      </c>
      <c r="Q39" s="289" t="s">
        <v>167</v>
      </c>
      <c r="R39" s="275"/>
    </row>
    <row r="40" spans="2:19" ht="18" hidden="1" customHeight="1">
      <c r="B40" s="290" t="s">
        <v>781</v>
      </c>
      <c r="C40" s="277" t="s">
        <v>93</v>
      </c>
      <c r="D40" s="285"/>
      <c r="E40" s="292"/>
      <c r="F40" s="293"/>
      <c r="G40" s="294"/>
      <c r="H40" s="295"/>
      <c r="I40" s="260" t="s">
        <v>167</v>
      </c>
      <c r="J40" s="260" t="s">
        <v>167</v>
      </c>
      <c r="K40" s="292"/>
      <c r="L40" s="294"/>
      <c r="M40" s="295"/>
      <c r="N40" s="287" t="s">
        <v>167</v>
      </c>
      <c r="O40" s="288" t="s">
        <v>167</v>
      </c>
      <c r="P40" s="273">
        <v>0</v>
      </c>
      <c r="Q40" s="289" t="s">
        <v>167</v>
      </c>
      <c r="R40" s="275"/>
    </row>
    <row r="41" spans="2:19" ht="18" hidden="1" customHeight="1">
      <c r="B41" s="276" t="s">
        <v>782</v>
      </c>
      <c r="C41" s="277" t="s">
        <v>93</v>
      </c>
      <c r="D41" s="285"/>
      <c r="E41" s="278"/>
      <c r="F41" s="279"/>
      <c r="G41" s="280"/>
      <c r="H41" s="281"/>
      <c r="I41" s="260" t="s">
        <v>167</v>
      </c>
      <c r="J41" s="260" t="s">
        <v>167</v>
      </c>
      <c r="K41" s="282"/>
      <c r="L41" s="283"/>
      <c r="M41" s="281"/>
      <c r="N41" s="271" t="s">
        <v>167</v>
      </c>
      <c r="O41" s="272" t="s">
        <v>167</v>
      </c>
      <c r="P41" s="273">
        <v>0</v>
      </c>
      <c r="Q41" s="274" t="s">
        <v>167</v>
      </c>
      <c r="R41" s="284"/>
    </row>
    <row r="42" spans="2:19" ht="18" hidden="1" customHeight="1">
      <c r="B42" s="296" t="s">
        <v>783</v>
      </c>
      <c r="C42" s="297" t="s">
        <v>93</v>
      </c>
      <c r="E42" s="273"/>
      <c r="F42" s="298"/>
      <c r="G42" s="299"/>
      <c r="H42" s="300"/>
      <c r="I42" s="260" t="s">
        <v>167</v>
      </c>
      <c r="J42" s="260" t="s">
        <v>167</v>
      </c>
      <c r="K42" s="301"/>
      <c r="L42" s="302"/>
      <c r="M42" s="300"/>
      <c r="N42" s="271" t="s">
        <v>167</v>
      </c>
      <c r="O42" s="272" t="s">
        <v>167</v>
      </c>
      <c r="P42" s="273">
        <v>0</v>
      </c>
      <c r="Q42" s="274" t="s">
        <v>167</v>
      </c>
      <c r="R42" s="303"/>
    </row>
    <row r="43" spans="2:19" ht="18" customHeight="1">
      <c r="B43" s="304" t="s">
        <v>784</v>
      </c>
      <c r="C43" s="305" t="s">
        <v>93</v>
      </c>
      <c r="D43" s="306">
        <v>2596472.66</v>
      </c>
      <c r="E43" s="307">
        <v>4319581</v>
      </c>
      <c r="F43" s="307"/>
      <c r="G43" s="308">
        <v>165013</v>
      </c>
      <c r="H43" s="309"/>
      <c r="I43" s="260">
        <v>3.8201158862398922E-2</v>
      </c>
      <c r="J43" s="260">
        <v>2.8397762600522382E-2</v>
      </c>
      <c r="K43" s="310">
        <v>4686</v>
      </c>
      <c r="L43" s="311">
        <v>3620</v>
      </c>
      <c r="M43" s="309"/>
      <c r="N43" s="271">
        <v>0.77251387110542036</v>
      </c>
      <c r="O43" s="272">
        <v>717.25764088397796</v>
      </c>
      <c r="P43" s="273">
        <v>2613640</v>
      </c>
      <c r="Q43" s="274">
        <v>1.0066117930931728</v>
      </c>
      <c r="R43" s="312">
        <v>722</v>
      </c>
    </row>
    <row r="44" spans="2:19" ht="18" customHeight="1">
      <c r="B44" s="265" t="s">
        <v>785</v>
      </c>
      <c r="C44" s="313" t="s">
        <v>93</v>
      </c>
      <c r="D44" s="291">
        <v>802217.6</v>
      </c>
      <c r="E44" s="291">
        <v>3474</v>
      </c>
      <c r="F44" s="291"/>
      <c r="G44" s="308">
        <v>657</v>
      </c>
      <c r="H44" s="314"/>
      <c r="I44" s="260">
        <v>0.18911917098445596</v>
      </c>
      <c r="J44" s="260">
        <v>7.7625570776255703E-2</v>
      </c>
      <c r="K44" s="315">
        <v>51</v>
      </c>
      <c r="L44" s="316">
        <v>44</v>
      </c>
      <c r="M44" s="314"/>
      <c r="N44" s="271">
        <v>0.86274509803921573</v>
      </c>
      <c r="O44" s="272">
        <v>18232.218181818182</v>
      </c>
      <c r="P44" s="273">
        <v>143000</v>
      </c>
      <c r="Q44" s="274">
        <v>0.17825587471528923</v>
      </c>
      <c r="R44" s="317">
        <v>3250</v>
      </c>
    </row>
    <row r="45" spans="2:19" ht="18" customHeight="1">
      <c r="B45" s="276" t="s">
        <v>785</v>
      </c>
      <c r="C45" s="277" t="s">
        <v>93</v>
      </c>
      <c r="D45" s="285">
        <v>802217.6</v>
      </c>
      <c r="E45" s="268">
        <v>3474</v>
      </c>
      <c r="F45" s="286"/>
      <c r="G45" s="269">
        <v>657</v>
      </c>
      <c r="H45" s="270"/>
      <c r="I45" s="260">
        <v>0.18911917098445596</v>
      </c>
      <c r="J45" s="260">
        <v>7.7625570776255703E-2</v>
      </c>
      <c r="K45" s="268">
        <v>51</v>
      </c>
      <c r="L45" s="269">
        <v>44</v>
      </c>
      <c r="M45" s="270"/>
      <c r="N45" s="271">
        <v>0.86274509803921573</v>
      </c>
      <c r="O45" s="272">
        <v>18232.218181818182</v>
      </c>
      <c r="P45" s="273">
        <v>143000</v>
      </c>
      <c r="Q45" s="274">
        <v>0.17825587471528923</v>
      </c>
      <c r="R45" s="275">
        <v>3250</v>
      </c>
    </row>
    <row r="46" spans="2:19" ht="18" hidden="1" customHeight="1">
      <c r="B46" s="276" t="s">
        <v>785</v>
      </c>
      <c r="C46" s="277" t="s">
        <v>93</v>
      </c>
      <c r="D46" s="318"/>
      <c r="E46" s="268"/>
      <c r="F46" s="268"/>
      <c r="G46" s="269"/>
      <c r="H46" s="270"/>
      <c r="I46" s="260" t="s">
        <v>167</v>
      </c>
      <c r="J46" s="260" t="s">
        <v>167</v>
      </c>
      <c r="K46" s="282"/>
      <c r="L46" s="319"/>
      <c r="M46" s="270"/>
      <c r="N46" s="271" t="s">
        <v>167</v>
      </c>
      <c r="O46" s="272" t="s">
        <v>167</v>
      </c>
      <c r="P46" s="273">
        <v>0</v>
      </c>
      <c r="Q46" s="274" t="s">
        <v>167</v>
      </c>
      <c r="R46" s="275"/>
    </row>
    <row r="47" spans="2:19" ht="18" customHeight="1">
      <c r="B47" s="276" t="s">
        <v>786</v>
      </c>
      <c r="C47" s="277" t="s">
        <v>93</v>
      </c>
      <c r="D47" s="318">
        <v>149557.33000000002</v>
      </c>
      <c r="E47" s="268">
        <v>462082</v>
      </c>
      <c r="F47" s="286"/>
      <c r="G47" s="269">
        <v>31848</v>
      </c>
      <c r="H47" s="270"/>
      <c r="I47" s="260">
        <v>6.8922831878324625E-2</v>
      </c>
      <c r="J47" s="260">
        <v>4.7035920622959054E-2</v>
      </c>
      <c r="K47" s="282">
        <v>1498</v>
      </c>
      <c r="L47" s="319">
        <v>1050</v>
      </c>
      <c r="M47" s="270"/>
      <c r="N47" s="287">
        <v>0.7009345794392523</v>
      </c>
      <c r="O47" s="288">
        <v>142.4355523809524</v>
      </c>
      <c r="P47" s="268">
        <v>252000</v>
      </c>
      <c r="Q47" s="289">
        <v>1.6849725787428806</v>
      </c>
      <c r="R47" s="275">
        <v>240</v>
      </c>
    </row>
    <row r="48" spans="2:19" ht="18" customHeight="1">
      <c r="B48" s="320" t="s">
        <v>787</v>
      </c>
      <c r="C48" s="321" t="s">
        <v>93</v>
      </c>
      <c r="D48" s="322">
        <v>1805831.73</v>
      </c>
      <c r="E48" s="323">
        <v>164003</v>
      </c>
      <c r="F48" s="324"/>
      <c r="G48" s="325">
        <v>8406</v>
      </c>
      <c r="H48" s="326"/>
      <c r="I48" s="327">
        <v>5.1255159966585979E-2</v>
      </c>
      <c r="J48" s="327">
        <v>7.922912205567452E-2</v>
      </c>
      <c r="K48" s="328">
        <v>666</v>
      </c>
      <c r="L48" s="329">
        <v>539</v>
      </c>
      <c r="M48" s="326"/>
      <c r="N48" s="330">
        <v>0.80930930930930933</v>
      </c>
      <c r="O48" s="331">
        <v>3350.3371614100183</v>
      </c>
      <c r="P48" s="332">
        <v>107810.78</v>
      </c>
      <c r="Q48" s="333">
        <v>5.9701454021964716E-2</v>
      </c>
      <c r="R48" s="334">
        <v>200.02</v>
      </c>
    </row>
    <row r="49" spans="2:18" ht="18" customHeight="1">
      <c r="G49" s="335" t="s">
        <v>788</v>
      </c>
      <c r="H49" s="336"/>
      <c r="I49" s="337">
        <v>2.4659411535339036E-2</v>
      </c>
      <c r="J49" s="337">
        <v>4.5613847038189485E-2</v>
      </c>
      <c r="K49" s="338"/>
      <c r="L49" s="338"/>
      <c r="M49" s="338"/>
      <c r="N49" s="338"/>
      <c r="O49" s="339">
        <v>994.65049191826768</v>
      </c>
    </row>
    <row r="50" spans="2:18" ht="18" customHeight="1">
      <c r="D50" s="340"/>
      <c r="G50" s="335" t="s">
        <v>789</v>
      </c>
      <c r="H50" s="336"/>
      <c r="I50" s="337">
        <v>3.8322436332639764E-2</v>
      </c>
      <c r="J50" s="337">
        <v>2.8592986056618579E-2</v>
      </c>
      <c r="K50" s="338"/>
      <c r="L50" s="338"/>
      <c r="M50" s="338"/>
      <c r="N50" s="338"/>
      <c r="O50" s="339">
        <v>927.59013646288213</v>
      </c>
    </row>
    <row r="51" spans="2:18" ht="18" customHeight="1">
      <c r="E51" s="341" t="s">
        <v>919</v>
      </c>
      <c r="G51" s="335" t="s">
        <v>790</v>
      </c>
      <c r="H51" s="336"/>
      <c r="I51" s="337">
        <v>3.4655115216585868E-2</v>
      </c>
      <c r="J51" s="337">
        <v>3.3835637605127034E-2</v>
      </c>
      <c r="K51" s="338"/>
      <c r="L51" s="338"/>
      <c r="M51" s="338"/>
      <c r="N51" s="338"/>
      <c r="O51" s="707">
        <v>1027.8511570624889</v>
      </c>
    </row>
    <row r="52" spans="2:18" ht="18" customHeight="1">
      <c r="G52" s="335" t="s">
        <v>791</v>
      </c>
      <c r="H52" s="336"/>
      <c r="I52" s="337">
        <v>2.6585997066015703E-2</v>
      </c>
      <c r="J52" s="337">
        <v>4.3460982565327107E-2</v>
      </c>
      <c r="K52" s="338"/>
      <c r="L52" s="338"/>
      <c r="M52" s="338"/>
      <c r="N52" s="338"/>
      <c r="O52" s="339">
        <v>998.04613069421418</v>
      </c>
    </row>
    <row r="53" spans="2:18" ht="18" customHeight="1">
      <c r="B53" s="246"/>
      <c r="C53" s="70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</row>
    <row r="54" spans="2:18" ht="18" customHeight="1">
      <c r="B54" s="246"/>
      <c r="C54" s="70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</row>
    <row r="55" spans="2:18" ht="18" customHeight="1">
      <c r="B55" s="248" t="s">
        <v>218</v>
      </c>
      <c r="C55" s="246"/>
      <c r="D55" s="246"/>
      <c r="E55" s="246"/>
      <c r="F55" s="246"/>
      <c r="G55" s="245"/>
      <c r="H55" s="245"/>
      <c r="I55" s="245"/>
      <c r="J55" s="245"/>
      <c r="K55" s="246"/>
      <c r="L55" s="245"/>
      <c r="M55" s="245" t="s">
        <v>219</v>
      </c>
      <c r="N55" s="246"/>
      <c r="O55" s="246"/>
      <c r="P55" s="246"/>
      <c r="Q55" s="246"/>
      <c r="R55" s="246"/>
    </row>
    <row r="56" spans="2:18" ht="33" customHeight="1">
      <c r="B56" s="249" t="s">
        <v>220</v>
      </c>
      <c r="C56" s="250" t="s">
        <v>221</v>
      </c>
      <c r="D56" s="251" t="s">
        <v>222</v>
      </c>
      <c r="E56" s="252" t="s">
        <v>223</v>
      </c>
      <c r="F56" s="251" t="s">
        <v>88</v>
      </c>
      <c r="G56" s="251" t="s">
        <v>157</v>
      </c>
      <c r="H56" s="251" t="s">
        <v>89</v>
      </c>
      <c r="I56" s="251" t="s">
        <v>224</v>
      </c>
      <c r="J56" s="251" t="s">
        <v>19</v>
      </c>
      <c r="K56" s="252" t="s">
        <v>18</v>
      </c>
      <c r="L56" s="251" t="s">
        <v>17</v>
      </c>
      <c r="M56" s="251" t="s">
        <v>90</v>
      </c>
      <c r="N56" s="251" t="s">
        <v>16</v>
      </c>
      <c r="O56" s="251" t="s">
        <v>14</v>
      </c>
      <c r="P56" s="251" t="s">
        <v>91</v>
      </c>
      <c r="Q56" s="251" t="s">
        <v>12</v>
      </c>
      <c r="R56" s="253" t="s">
        <v>92</v>
      </c>
    </row>
    <row r="57" spans="2:18" ht="18" customHeight="1">
      <c r="B57" s="254" t="s">
        <v>775</v>
      </c>
      <c r="C57" s="255" t="s">
        <v>94</v>
      </c>
      <c r="D57" s="256">
        <v>64239420.978890374</v>
      </c>
      <c r="E57" s="257">
        <v>62160897</v>
      </c>
      <c r="F57" s="257"/>
      <c r="G57" s="258">
        <v>8533356</v>
      </c>
      <c r="H57" s="259"/>
      <c r="I57" s="260">
        <f t="shared" ref="I57" si="18">IFERROR(G57/E57,"-")</f>
        <v>0.13727852093254059</v>
      </c>
      <c r="J57" s="260">
        <f t="shared" ref="J57" si="19">IFERROR(K57/G57,"-")</f>
        <v>9.342256434631345E-2</v>
      </c>
      <c r="K57" s="257">
        <v>797208</v>
      </c>
      <c r="L57" s="258">
        <v>568739</v>
      </c>
      <c r="M57" s="259" t="e">
        <v>#REF!</v>
      </c>
      <c r="N57" s="261">
        <f t="shared" ref="N57:N58" si="20">IFERROR(L57/K57,"-")</f>
        <v>0.71341356333604278</v>
      </c>
      <c r="O57" s="262">
        <f t="shared" ref="O57:O62" si="21">IFERROR(D57/L57,"-")</f>
        <v>112.950617029763</v>
      </c>
      <c r="P57" s="257">
        <f t="shared" ref="P57:P59" si="22">IFERROR(L57*$R57,"-")</f>
        <v>577270085</v>
      </c>
      <c r="Q57" s="263">
        <f t="shared" ref="Q57:Q58" si="23">IFERROR(P57/D57,"-")</f>
        <v>8.9862280232833349</v>
      </c>
      <c r="R57" s="264">
        <v>1015</v>
      </c>
    </row>
    <row r="58" spans="2:18" ht="18" customHeight="1">
      <c r="B58" s="265" t="s">
        <v>776</v>
      </c>
      <c r="C58" s="266" t="s">
        <v>94</v>
      </c>
      <c r="D58" s="267">
        <v>9494316.9900000002</v>
      </c>
      <c r="E58" s="268">
        <v>12202380</v>
      </c>
      <c r="F58" s="268"/>
      <c r="G58" s="269">
        <v>711742</v>
      </c>
      <c r="H58" s="270"/>
      <c r="I58" s="260">
        <f>IFERROR(G58/E58,"-")</f>
        <v>5.8328129430488151E-2</v>
      </c>
      <c r="J58" s="260">
        <f>IFERROR(K58/G58,"-")</f>
        <v>4.4143804918074243E-2</v>
      </c>
      <c r="K58" s="268">
        <v>31419</v>
      </c>
      <c r="L58" s="269">
        <v>22296</v>
      </c>
      <c r="M58" s="270"/>
      <c r="N58" s="271">
        <f t="shared" si="20"/>
        <v>0.7096342977179414</v>
      </c>
      <c r="O58" s="272">
        <f t="shared" si="21"/>
        <v>425.83050726587732</v>
      </c>
      <c r="P58" s="273">
        <f t="shared" si="22"/>
        <v>49051200</v>
      </c>
      <c r="Q58" s="274">
        <f t="shared" si="23"/>
        <v>5.1663747957503157</v>
      </c>
      <c r="R58" s="275">
        <v>2200</v>
      </c>
    </row>
    <row r="59" spans="2:18" ht="18" customHeight="1">
      <c r="B59" s="276" t="s">
        <v>777</v>
      </c>
      <c r="C59" s="277" t="s">
        <v>94</v>
      </c>
      <c r="D59" s="267">
        <v>4862600.4000000004</v>
      </c>
      <c r="E59" s="278">
        <v>3394839</v>
      </c>
      <c r="F59" s="279"/>
      <c r="G59" s="280">
        <v>385092</v>
      </c>
      <c r="H59" s="281"/>
      <c r="I59" s="260">
        <f>IFERROR(G59/E59,"-")</f>
        <v>0.11343453990012486</v>
      </c>
      <c r="J59" s="260">
        <f t="shared" ref="J59:J71" si="24">IFERROR(K59/G59,"-")</f>
        <v>0.1605746159359322</v>
      </c>
      <c r="K59" s="282">
        <v>61836</v>
      </c>
      <c r="L59" s="283">
        <v>48498</v>
      </c>
      <c r="M59" s="281"/>
      <c r="N59" s="271">
        <f>IFERROR(L59/K59,"-")</f>
        <v>0.7843004075295944</v>
      </c>
      <c r="O59" s="272">
        <f t="shared" si="21"/>
        <v>100.26393665718174</v>
      </c>
      <c r="P59" s="273">
        <f t="shared" si="22"/>
        <v>19108212</v>
      </c>
      <c r="Q59" s="274">
        <f>IFERROR(P59/D59,"-")</f>
        <v>3.9296282705031649</v>
      </c>
      <c r="R59" s="284">
        <v>394</v>
      </c>
    </row>
    <row r="60" spans="2:18" ht="18" customHeight="1">
      <c r="B60" s="276" t="s">
        <v>778</v>
      </c>
      <c r="C60" s="277" t="s">
        <v>93</v>
      </c>
      <c r="D60" s="285">
        <v>1066017.97</v>
      </c>
      <c r="E60" s="278">
        <v>931363</v>
      </c>
      <c r="F60" s="286"/>
      <c r="G60" s="269">
        <v>52389</v>
      </c>
      <c r="H60" s="270"/>
      <c r="I60" s="260">
        <f>IFERROR(G60/E60,"-")</f>
        <v>5.6249818813931839E-2</v>
      </c>
      <c r="J60" s="260">
        <f t="shared" si="24"/>
        <v>0.12911107293515814</v>
      </c>
      <c r="K60" s="268">
        <v>6764</v>
      </c>
      <c r="L60" s="269">
        <v>5589</v>
      </c>
      <c r="M60" s="270"/>
      <c r="N60" s="287">
        <f>IFERROR(L60/K60,"-")</f>
        <v>0.82628622117090478</v>
      </c>
      <c r="O60" s="288">
        <f t="shared" si="21"/>
        <v>190.73500984075864</v>
      </c>
      <c r="P60" s="273">
        <f>IFERROR(L60*$R60,"-")</f>
        <v>1341360</v>
      </c>
      <c r="Q60" s="289">
        <f>IFERROR(P60/D60,"-")</f>
        <v>1.2582902331374395</v>
      </c>
      <c r="R60" s="275">
        <v>240</v>
      </c>
    </row>
    <row r="61" spans="2:18" ht="18" customHeight="1">
      <c r="B61" s="276" t="s">
        <v>779</v>
      </c>
      <c r="C61" s="277" t="s">
        <v>93</v>
      </c>
      <c r="D61" s="285">
        <v>3187282.5414257599</v>
      </c>
      <c r="E61" s="268">
        <v>1737481</v>
      </c>
      <c r="F61" s="286"/>
      <c r="G61" s="269">
        <v>99508</v>
      </c>
      <c r="H61" s="270"/>
      <c r="I61" s="260">
        <f>IFERROR(G61/E61,"-")</f>
        <v>5.7271417644279274E-2</v>
      </c>
      <c r="J61" s="260">
        <f t="shared" si="24"/>
        <v>0.16989588776781767</v>
      </c>
      <c r="K61" s="268">
        <v>16906</v>
      </c>
      <c r="L61" s="269">
        <v>13037</v>
      </c>
      <c r="M61" s="270"/>
      <c r="N61" s="287">
        <f t="shared" ref="N61:N71" si="25">IFERROR(L61/K61,"-")</f>
        <v>0.77114633857801962</v>
      </c>
      <c r="O61" s="288">
        <f t="shared" si="21"/>
        <v>244.47975312002453</v>
      </c>
      <c r="P61" s="273">
        <f t="shared" ref="P61:P66" si="26">IFERROR(L61*$R61,"-")</f>
        <v>5345170</v>
      </c>
      <c r="Q61" s="289">
        <f>IFERROR(P61/D61,"-")</f>
        <v>1.6770304893048349</v>
      </c>
      <c r="R61" s="275">
        <v>410</v>
      </c>
    </row>
    <row r="62" spans="2:18" ht="18" customHeight="1">
      <c r="B62" s="276" t="s">
        <v>780</v>
      </c>
      <c r="C62" s="277" t="s">
        <v>93</v>
      </c>
      <c r="D62" s="285">
        <v>1462140.19</v>
      </c>
      <c r="E62" s="268">
        <v>965883</v>
      </c>
      <c r="F62" s="286"/>
      <c r="G62" s="269">
        <v>37354</v>
      </c>
      <c r="H62" s="270"/>
      <c r="I62" s="260">
        <f t="shared" ref="I62:I71" si="27">IFERROR(G62/E62,"-")</f>
        <v>3.8673421107939573E-2</v>
      </c>
      <c r="J62" s="260">
        <f t="shared" si="24"/>
        <v>0.18241687637200835</v>
      </c>
      <c r="K62" s="268">
        <v>6814</v>
      </c>
      <c r="L62" s="269">
        <v>4551</v>
      </c>
      <c r="M62" s="270"/>
      <c r="N62" s="287">
        <f t="shared" si="25"/>
        <v>0.66788963897857356</v>
      </c>
      <c r="O62" s="288">
        <f t="shared" si="21"/>
        <v>321.27888156449131</v>
      </c>
      <c r="P62" s="273">
        <f t="shared" si="26"/>
        <v>4701183</v>
      </c>
      <c r="Q62" s="289">
        <f>IFERROR(P62/D62,"-")</f>
        <v>3.2152751371946078</v>
      </c>
      <c r="R62" s="275">
        <v>1033</v>
      </c>
    </row>
    <row r="63" spans="2:18" ht="18" customHeight="1">
      <c r="B63" s="290" t="s">
        <v>781</v>
      </c>
      <c r="C63" s="277" t="s">
        <v>93</v>
      </c>
      <c r="D63" s="285">
        <v>240112.75</v>
      </c>
      <c r="E63" s="292">
        <v>81054</v>
      </c>
      <c r="F63" s="293"/>
      <c r="G63" s="294">
        <v>5326</v>
      </c>
      <c r="H63" s="295"/>
      <c r="I63" s="260">
        <f t="shared" si="27"/>
        <v>6.5709280232931128E-2</v>
      </c>
      <c r="J63" s="260">
        <f t="shared" si="24"/>
        <v>0.16090874953060458</v>
      </c>
      <c r="K63" s="292">
        <v>857</v>
      </c>
      <c r="L63" s="294">
        <v>650</v>
      </c>
      <c r="M63" s="295"/>
      <c r="N63" s="287">
        <f t="shared" si="25"/>
        <v>0.75845974329054844</v>
      </c>
      <c r="O63" s="288">
        <f>IFERROR(D63/L63,"-")</f>
        <v>369.40423076923076</v>
      </c>
      <c r="P63" s="273">
        <f t="shared" si="26"/>
        <v>366600</v>
      </c>
      <c r="Q63" s="289">
        <f>IFERROR(P63/D63,"-")</f>
        <v>1.5267827301965431</v>
      </c>
      <c r="R63" s="275">
        <v>564</v>
      </c>
    </row>
    <row r="64" spans="2:18" ht="18" hidden="1" customHeight="1">
      <c r="B64" s="276" t="s">
        <v>782</v>
      </c>
      <c r="C64" s="277" t="s">
        <v>94</v>
      </c>
      <c r="D64" s="285"/>
      <c r="E64" s="278"/>
      <c r="F64" s="279"/>
      <c r="G64" s="280"/>
      <c r="H64" s="281"/>
      <c r="I64" s="260" t="str">
        <f t="shared" si="27"/>
        <v>-</v>
      </c>
      <c r="J64" s="260" t="str">
        <f t="shared" si="24"/>
        <v>-</v>
      </c>
      <c r="K64" s="282"/>
      <c r="L64" s="283"/>
      <c r="M64" s="281"/>
      <c r="N64" s="271" t="str">
        <f t="shared" si="25"/>
        <v>-</v>
      </c>
      <c r="O64" s="272" t="str">
        <f t="shared" ref="O64:O66" si="28">IFERROR(D64/L64,"-")</f>
        <v>-</v>
      </c>
      <c r="P64" s="273">
        <f t="shared" si="26"/>
        <v>0</v>
      </c>
      <c r="Q64" s="274" t="str">
        <f t="shared" ref="Q64:Q68" si="29">IFERROR(P64/D64,"-")</f>
        <v>-</v>
      </c>
      <c r="R64" s="284"/>
    </row>
    <row r="65" spans="2:18" ht="18" hidden="1" customHeight="1">
      <c r="B65" s="296" t="s">
        <v>783</v>
      </c>
      <c r="C65" s="297" t="s">
        <v>93</v>
      </c>
      <c r="E65" s="273"/>
      <c r="F65" s="298"/>
      <c r="G65" s="299"/>
      <c r="H65" s="300"/>
      <c r="I65" s="260" t="str">
        <f t="shared" si="27"/>
        <v>-</v>
      </c>
      <c r="J65" s="260" t="str">
        <f t="shared" si="24"/>
        <v>-</v>
      </c>
      <c r="K65" s="301"/>
      <c r="L65" s="302"/>
      <c r="M65" s="300"/>
      <c r="N65" s="271" t="str">
        <f t="shared" si="25"/>
        <v>-</v>
      </c>
      <c r="O65" s="272" t="str">
        <f t="shared" si="28"/>
        <v>-</v>
      </c>
      <c r="P65" s="273">
        <f t="shared" si="26"/>
        <v>0</v>
      </c>
      <c r="Q65" s="274" t="str">
        <f t="shared" si="29"/>
        <v>-</v>
      </c>
      <c r="R65" s="303"/>
    </row>
    <row r="66" spans="2:18" ht="18" customHeight="1">
      <c r="B66" s="304" t="s">
        <v>784</v>
      </c>
      <c r="C66" s="305" t="s">
        <v>93</v>
      </c>
      <c r="D66" s="306">
        <v>5893379.46</v>
      </c>
      <c r="E66" s="307">
        <v>4941767</v>
      </c>
      <c r="F66" s="307"/>
      <c r="G66" s="308">
        <v>347810</v>
      </c>
      <c r="H66" s="309"/>
      <c r="I66" s="260">
        <f t="shared" si="27"/>
        <v>7.0381707595683893E-2</v>
      </c>
      <c r="J66" s="260">
        <f t="shared" si="24"/>
        <v>7.7338201891837502E-2</v>
      </c>
      <c r="K66" s="310">
        <v>26899</v>
      </c>
      <c r="L66" s="311">
        <v>21896</v>
      </c>
      <c r="M66" s="309"/>
      <c r="N66" s="271">
        <f t="shared" si="25"/>
        <v>0.81400795568608497</v>
      </c>
      <c r="O66" s="272">
        <f t="shared" si="28"/>
        <v>269.15324534161488</v>
      </c>
      <c r="P66" s="273">
        <f t="shared" si="26"/>
        <v>15458576</v>
      </c>
      <c r="Q66" s="274">
        <f t="shared" si="29"/>
        <v>2.6230410081213402</v>
      </c>
      <c r="R66" s="312">
        <v>706</v>
      </c>
    </row>
    <row r="67" spans="2:18" ht="18" customHeight="1">
      <c r="B67" s="265" t="s">
        <v>785</v>
      </c>
      <c r="C67" s="313" t="s">
        <v>94</v>
      </c>
      <c r="D67" s="291">
        <f>D68+D69</f>
        <v>1788409.81</v>
      </c>
      <c r="E67" s="291">
        <f>E68+E69</f>
        <v>1791779</v>
      </c>
      <c r="F67" s="291"/>
      <c r="G67" s="308">
        <f>G68+G69</f>
        <v>158763</v>
      </c>
      <c r="H67" s="314"/>
      <c r="I67" s="260">
        <f t="shared" si="27"/>
        <v>8.8606351564562369E-2</v>
      </c>
      <c r="J67" s="260">
        <f t="shared" si="24"/>
        <v>0.11289154273980713</v>
      </c>
      <c r="K67" s="315">
        <f t="shared" ref="K67:L67" si="30">K68+K69</f>
        <v>17923</v>
      </c>
      <c r="L67" s="316">
        <f t="shared" si="30"/>
        <v>13404</v>
      </c>
      <c r="M67" s="314"/>
      <c r="N67" s="271">
        <f t="shared" si="25"/>
        <v>0.74786587066897281</v>
      </c>
      <c r="O67" s="272">
        <f>IFERROR(D67/L67,"-")</f>
        <v>133.4235907191883</v>
      </c>
      <c r="P67" s="273">
        <f>P68+P69</f>
        <v>7857963.7199999997</v>
      </c>
      <c r="Q67" s="274">
        <f>IFERROR(P67/D67,"-")</f>
        <v>4.3938272291181404</v>
      </c>
      <c r="R67" s="317">
        <f>P67/L67</f>
        <v>586.24020590868395</v>
      </c>
    </row>
    <row r="68" spans="2:18" ht="18" hidden="1" customHeight="1">
      <c r="B68" s="276" t="s">
        <v>785</v>
      </c>
      <c r="C68" s="277" t="s">
        <v>93</v>
      </c>
      <c r="D68" s="285">
        <v>1528148.24</v>
      </c>
      <c r="E68" s="268">
        <v>1182261</v>
      </c>
      <c r="F68" s="286"/>
      <c r="G68" s="269">
        <v>90636</v>
      </c>
      <c r="H68" s="270"/>
      <c r="I68" s="260">
        <f t="shared" si="27"/>
        <v>7.6663274860627226E-2</v>
      </c>
      <c r="J68" s="260">
        <f t="shared" si="24"/>
        <v>6.9751533606955296E-2</v>
      </c>
      <c r="K68" s="268">
        <v>6322</v>
      </c>
      <c r="L68" s="269">
        <v>4746</v>
      </c>
      <c r="M68" s="270"/>
      <c r="N68" s="271">
        <f t="shared" si="25"/>
        <v>0.7507118000632711</v>
      </c>
      <c r="O68" s="272">
        <f t="shared" ref="O68" si="31">IFERROR(D68/L68,"-")</f>
        <v>321.98656552886644</v>
      </c>
      <c r="P68" s="273">
        <f t="shared" ref="P68:P71" si="32">IFERROR(L68*$R68,"-")</f>
        <v>3474072</v>
      </c>
      <c r="Q68" s="274">
        <f t="shared" si="29"/>
        <v>2.2733867756180515</v>
      </c>
      <c r="R68" s="275">
        <v>732</v>
      </c>
    </row>
    <row r="69" spans="2:18" ht="18" hidden="1" customHeight="1">
      <c r="B69" s="276" t="s">
        <v>785</v>
      </c>
      <c r="C69" s="277" t="s">
        <v>94</v>
      </c>
      <c r="D69" s="318">
        <v>260261.57</v>
      </c>
      <c r="E69" s="268">
        <v>609518</v>
      </c>
      <c r="F69" s="268"/>
      <c r="G69" s="269">
        <v>68127</v>
      </c>
      <c r="H69" s="270"/>
      <c r="I69" s="260">
        <f t="shared" si="27"/>
        <v>0.11177192470115731</v>
      </c>
      <c r="J69" s="260">
        <f t="shared" si="24"/>
        <v>0.17028490906688978</v>
      </c>
      <c r="K69" s="282">
        <v>11601</v>
      </c>
      <c r="L69" s="319">
        <v>8658</v>
      </c>
      <c r="M69" s="270"/>
      <c r="N69" s="271">
        <f t="shared" si="25"/>
        <v>0.7463149728471683</v>
      </c>
      <c r="O69" s="272">
        <f>IFERROR(D69/L69,"-")</f>
        <v>30.060241395241395</v>
      </c>
      <c r="P69" s="273">
        <f t="shared" si="32"/>
        <v>4383891.72</v>
      </c>
      <c r="Q69" s="274">
        <f>IFERROR(P69/D69,"-")</f>
        <v>16.844176110979426</v>
      </c>
      <c r="R69" s="275">
        <v>506.34</v>
      </c>
    </row>
    <row r="70" spans="2:18" ht="18" hidden="1" customHeight="1">
      <c r="B70" s="276" t="s">
        <v>786</v>
      </c>
      <c r="C70" s="277" t="s">
        <v>94</v>
      </c>
      <c r="D70" s="318"/>
      <c r="E70" s="268"/>
      <c r="F70" s="286"/>
      <c r="G70" s="269"/>
      <c r="H70" s="270"/>
      <c r="I70" s="260" t="str">
        <f t="shared" si="27"/>
        <v>-</v>
      </c>
      <c r="J70" s="260" t="str">
        <f t="shared" si="24"/>
        <v>-</v>
      </c>
      <c r="K70" s="282"/>
      <c r="L70" s="319"/>
      <c r="M70" s="270"/>
      <c r="N70" s="287" t="str">
        <f t="shared" si="25"/>
        <v>-</v>
      </c>
      <c r="O70" s="288" t="str">
        <f>IFERROR(D70/L70,"-")</f>
        <v>-</v>
      </c>
      <c r="P70" s="268">
        <f t="shared" si="32"/>
        <v>0</v>
      </c>
      <c r="Q70" s="289" t="str">
        <f>IFERROR(P70/D70,"-")</f>
        <v>-</v>
      </c>
      <c r="R70" s="275"/>
    </row>
    <row r="71" spans="2:18" ht="18" customHeight="1">
      <c r="B71" s="320" t="s">
        <v>787</v>
      </c>
      <c r="C71" s="321" t="s">
        <v>94</v>
      </c>
      <c r="D71" s="322">
        <v>2067704.9000000001</v>
      </c>
      <c r="E71" s="323">
        <v>1809153</v>
      </c>
      <c r="F71" s="324"/>
      <c r="G71" s="325">
        <v>179626</v>
      </c>
      <c r="H71" s="326"/>
      <c r="I71" s="327">
        <f t="shared" si="27"/>
        <v>9.928734606746914E-2</v>
      </c>
      <c r="J71" s="327">
        <f t="shared" si="24"/>
        <v>0.18058076225045372</v>
      </c>
      <c r="K71" s="328">
        <v>32437</v>
      </c>
      <c r="L71" s="329">
        <v>25697</v>
      </c>
      <c r="M71" s="326"/>
      <c r="N71" s="330">
        <f t="shared" si="25"/>
        <v>0.79221259672596112</v>
      </c>
      <c r="O71" s="331">
        <f t="shared" ref="O71" si="33">IFERROR(D71/L71,"-")</f>
        <v>80.464836362221277</v>
      </c>
      <c r="P71" s="332">
        <f t="shared" si="32"/>
        <v>12835225.871300228</v>
      </c>
      <c r="Q71" s="333">
        <f t="shared" ref="Q71" si="34">IFERROR(P71/D71,"-")</f>
        <v>6.2074747084558473</v>
      </c>
      <c r="R71" s="334">
        <v>499.483436638527</v>
      </c>
    </row>
    <row r="72" spans="2:18" ht="18" customHeight="1">
      <c r="G72" s="335" t="s">
        <v>788</v>
      </c>
      <c r="H72" s="336"/>
      <c r="I72" s="337">
        <f>SUM(G57:G63,G65)/SUM(E57:F63,E65)</f>
        <v>0.12058791050586423</v>
      </c>
      <c r="J72" s="337">
        <f>SUM(K57:K63,K65)/SUM(G57:H63,G65)</f>
        <v>9.3824515125905783E-2</v>
      </c>
      <c r="K72" s="338"/>
      <c r="L72" s="338"/>
      <c r="M72" s="338"/>
      <c r="N72" s="338"/>
      <c r="O72" s="339">
        <f>SUM(D57:D63,D65)/SUM(L57:L63,L65)</f>
        <v>127.46003952652578</v>
      </c>
    </row>
    <row r="73" spans="2:18" ht="18" customHeight="1">
      <c r="D73" s="340"/>
      <c r="G73" s="335" t="s">
        <v>789</v>
      </c>
      <c r="H73" s="336"/>
      <c r="I73" s="337">
        <f>SUM(G66,G68)/SUM(E66,E68)</f>
        <v>7.1594381998253437E-2</v>
      </c>
      <c r="J73" s="337">
        <f>SUM(K66,K68)/SUM(G66,G68)</f>
        <v>7.5769878160594467E-2</v>
      </c>
      <c r="K73" s="338"/>
      <c r="L73" s="338"/>
      <c r="M73" s="338"/>
      <c r="N73" s="338"/>
      <c r="O73" s="339">
        <f>SUM(D66,D68)/SUM(L66,L68)</f>
        <v>278.56496133923878</v>
      </c>
    </row>
    <row r="74" spans="2:18" ht="18" customHeight="1">
      <c r="E74" s="341" t="s">
        <v>919</v>
      </c>
      <c r="G74" s="335" t="s">
        <v>790</v>
      </c>
      <c r="H74" s="336"/>
      <c r="I74" s="337">
        <v>0.158686225652971</v>
      </c>
      <c r="J74" s="337">
        <v>0.11999412781843809</v>
      </c>
      <c r="K74" s="338"/>
      <c r="L74" s="338"/>
      <c r="M74" s="338"/>
      <c r="N74" s="338"/>
      <c r="O74" s="707">
        <v>63.204205489962099</v>
      </c>
    </row>
    <row r="75" spans="2:18" ht="18" customHeight="1">
      <c r="G75" s="335" t="s">
        <v>791</v>
      </c>
      <c r="H75" s="336"/>
      <c r="I75" s="337">
        <f>SUM(G57:G67,G70:G71)/SUM(E57:E67,E70:E71)</f>
        <v>0.11676697928013186</v>
      </c>
      <c r="J75" s="337">
        <f>SUM(K57:K67,K70:K71)/SUM(G57:G67,G70:G71)</f>
        <v>9.5049589162404288E-2</v>
      </c>
      <c r="K75" s="338"/>
      <c r="L75" s="338"/>
      <c r="M75" s="338"/>
      <c r="N75" s="338"/>
      <c r="O75" s="339">
        <f>SUM(D57:D67,D70:D71)/SUM(L57:L67,L70:L71)</f>
        <v>130.18633904320126</v>
      </c>
    </row>
    <row r="76" spans="2:18" ht="18" customHeight="1">
      <c r="B76" s="246"/>
      <c r="C76" s="70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</row>
    <row r="77" spans="2:18" ht="18" customHeight="1">
      <c r="B77" s="246"/>
      <c r="C77" s="70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</row>
    <row r="78" spans="2:18" ht="18" customHeight="1">
      <c r="B78" s="246"/>
      <c r="C78" s="70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</row>
    <row r="79" spans="2:18" ht="18" customHeight="1">
      <c r="B79" s="246"/>
      <c r="C79" s="70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</row>
    <row r="80" spans="2:18" ht="18" customHeight="1">
      <c r="B80" s="248" t="s">
        <v>225</v>
      </c>
      <c r="C80" s="246"/>
      <c r="D80" s="246"/>
      <c r="E80" s="246"/>
      <c r="F80" s="246"/>
      <c r="G80" s="245"/>
      <c r="H80" s="245"/>
      <c r="I80" s="245"/>
      <c r="J80" s="245"/>
      <c r="K80" s="246"/>
      <c r="L80" s="245"/>
      <c r="M80" s="245" t="s">
        <v>219</v>
      </c>
      <c r="N80" s="246"/>
      <c r="O80" s="246"/>
      <c r="P80" s="246"/>
      <c r="Q80" s="246"/>
      <c r="R80" s="246"/>
    </row>
    <row r="81" spans="2:18" ht="33" customHeight="1">
      <c r="B81" s="249" t="s">
        <v>85</v>
      </c>
      <c r="C81" s="250" t="s">
        <v>221</v>
      </c>
      <c r="D81" s="251" t="s">
        <v>222</v>
      </c>
      <c r="E81" s="252" t="s">
        <v>23</v>
      </c>
      <c r="F81" s="251" t="s">
        <v>88</v>
      </c>
      <c r="G81" s="251" t="s">
        <v>21</v>
      </c>
      <c r="H81" s="251" t="s">
        <v>89</v>
      </c>
      <c r="I81" s="251" t="s">
        <v>20</v>
      </c>
      <c r="J81" s="251" t="s">
        <v>19</v>
      </c>
      <c r="K81" s="252" t="s">
        <v>18</v>
      </c>
      <c r="L81" s="251" t="s">
        <v>17</v>
      </c>
      <c r="M81" s="251" t="s">
        <v>90</v>
      </c>
      <c r="N81" s="251" t="s">
        <v>16</v>
      </c>
      <c r="O81" s="251" t="s">
        <v>14</v>
      </c>
      <c r="P81" s="251" t="s">
        <v>91</v>
      </c>
      <c r="Q81" s="251" t="s">
        <v>12</v>
      </c>
      <c r="R81" s="253" t="s">
        <v>92</v>
      </c>
    </row>
    <row r="82" spans="2:18" ht="18" customHeight="1">
      <c r="B82" s="254" t="s">
        <v>775</v>
      </c>
      <c r="C82" s="255" t="s">
        <v>93</v>
      </c>
      <c r="D82" s="256">
        <v>54279836.569061719</v>
      </c>
      <c r="E82" s="257">
        <v>51262369</v>
      </c>
      <c r="F82" s="257"/>
      <c r="G82" s="258">
        <v>6252363</v>
      </c>
      <c r="H82" s="259"/>
      <c r="I82" s="260">
        <f t="shared" ref="I82:I96" si="35">IFERROR(G82/E82,"-")</f>
        <v>0.12196789032516231</v>
      </c>
      <c r="J82" s="260">
        <f t="shared" ref="J82:J96" si="36">IFERROR(K82/G82,"-")</f>
        <v>8.5627625907197011E-2</v>
      </c>
      <c r="K82" s="257">
        <v>535375</v>
      </c>
      <c r="L82" s="258">
        <v>376594</v>
      </c>
      <c r="M82" s="259" t="e">
        <v>#REF!</v>
      </c>
      <c r="N82" s="261">
        <f t="shared" ref="N82:N96" si="37">IFERROR(L82/K82,"-")</f>
        <v>0.70342096661218767</v>
      </c>
      <c r="O82" s="262">
        <f t="shared" ref="O82:O87" si="38">IFERROR(D82/L82,"-")</f>
        <v>144.13356710160468</v>
      </c>
      <c r="P82" s="257">
        <f t="shared" ref="P82:P91" si="39">IFERROR(L82*$R82,"-")</f>
        <v>382242910</v>
      </c>
      <c r="Q82" s="263">
        <f t="shared" ref="Q82:Q96" si="40">IFERROR(P82/D82,"-")</f>
        <v>7.0420792353282406</v>
      </c>
      <c r="R82" s="264">
        <v>1015</v>
      </c>
    </row>
    <row r="83" spans="2:18" ht="18" customHeight="1">
      <c r="B83" s="265" t="s">
        <v>776</v>
      </c>
      <c r="C83" s="266" t="s">
        <v>93</v>
      </c>
      <c r="D83" s="267">
        <v>9466453.3300000001</v>
      </c>
      <c r="E83" s="268">
        <v>11656866</v>
      </c>
      <c r="F83" s="268"/>
      <c r="G83" s="269">
        <v>572106</v>
      </c>
      <c r="H83" s="270"/>
      <c r="I83" s="260">
        <f>IFERROR(G83/E83,"-")</f>
        <v>4.9078886211782823E-2</v>
      </c>
      <c r="J83" s="260">
        <f>IFERROR(K83/G83,"-")</f>
        <v>4.3014756006753994E-2</v>
      </c>
      <c r="K83" s="268">
        <v>24609</v>
      </c>
      <c r="L83" s="269">
        <v>17264</v>
      </c>
      <c r="M83" s="270"/>
      <c r="N83" s="271">
        <f t="shared" si="37"/>
        <v>0.70153195985208661</v>
      </c>
      <c r="O83" s="272">
        <f t="shared" si="38"/>
        <v>548.33487778035214</v>
      </c>
      <c r="P83" s="273">
        <f t="shared" si="39"/>
        <v>37980800</v>
      </c>
      <c r="Q83" s="274">
        <f t="shared" si="40"/>
        <v>4.0121467540156353</v>
      </c>
      <c r="R83" s="275">
        <v>2200</v>
      </c>
    </row>
    <row r="84" spans="2:18" ht="18" customHeight="1">
      <c r="B84" s="276" t="s">
        <v>777</v>
      </c>
      <c r="C84" s="277" t="s">
        <v>93</v>
      </c>
      <c r="D84" s="267">
        <v>4147364.95</v>
      </c>
      <c r="E84" s="278">
        <v>3010761</v>
      </c>
      <c r="F84" s="279"/>
      <c r="G84" s="280">
        <v>313713</v>
      </c>
      <c r="H84" s="281"/>
      <c r="I84" s="260">
        <f t="shared" si="35"/>
        <v>0.10419724448403576</v>
      </c>
      <c r="J84" s="260">
        <f t="shared" si="36"/>
        <v>0.15266501547592864</v>
      </c>
      <c r="K84" s="282">
        <v>47893</v>
      </c>
      <c r="L84" s="283">
        <v>37367</v>
      </c>
      <c r="M84" s="281"/>
      <c r="N84" s="271">
        <f>IFERROR(L84/K84,"-")</f>
        <v>0.78021840352452343</v>
      </c>
      <c r="O84" s="272">
        <f t="shared" si="38"/>
        <v>110.99004335376135</v>
      </c>
      <c r="P84" s="273">
        <f t="shared" si="39"/>
        <v>14722598</v>
      </c>
      <c r="Q84" s="274">
        <f>IFERROR(P84/D84,"-")</f>
        <v>3.5498679709872167</v>
      </c>
      <c r="R84" s="284">
        <v>394</v>
      </c>
    </row>
    <row r="85" spans="2:18" ht="18" customHeight="1">
      <c r="B85" s="276" t="s">
        <v>778</v>
      </c>
      <c r="C85" s="277" t="s">
        <v>93</v>
      </c>
      <c r="D85" s="285">
        <v>734089.36666666658</v>
      </c>
      <c r="E85" s="278">
        <v>808742</v>
      </c>
      <c r="F85" s="286"/>
      <c r="G85" s="269">
        <v>39007</v>
      </c>
      <c r="H85" s="270"/>
      <c r="I85" s="260">
        <f t="shared" si="35"/>
        <v>4.8231698118806739E-2</v>
      </c>
      <c r="J85" s="260">
        <f t="shared" si="36"/>
        <v>0.13195067551977849</v>
      </c>
      <c r="K85" s="268">
        <v>5147</v>
      </c>
      <c r="L85" s="269">
        <v>4277</v>
      </c>
      <c r="M85" s="270"/>
      <c r="N85" s="287">
        <f>IFERROR(L85/K85,"-")</f>
        <v>0.83096949679424903</v>
      </c>
      <c r="O85" s="288">
        <f t="shared" si="38"/>
        <v>171.63651313225779</v>
      </c>
      <c r="P85" s="273">
        <f>IFERROR(L85*$R85,"-")</f>
        <v>1026480</v>
      </c>
      <c r="Q85" s="289">
        <f>IFERROR(P85/D85,"-")</f>
        <v>1.3983038668180321</v>
      </c>
      <c r="R85" s="275">
        <v>240</v>
      </c>
    </row>
    <row r="86" spans="2:18" ht="18" customHeight="1">
      <c r="B86" s="276" t="s">
        <v>779</v>
      </c>
      <c r="C86" s="277" t="s">
        <v>93</v>
      </c>
      <c r="D86" s="285">
        <v>2608864.003459713</v>
      </c>
      <c r="E86" s="268">
        <v>1440828</v>
      </c>
      <c r="F86" s="286"/>
      <c r="G86" s="269">
        <v>77307</v>
      </c>
      <c r="H86" s="270"/>
      <c r="I86" s="260">
        <f t="shared" si="35"/>
        <v>5.3654565291623983E-2</v>
      </c>
      <c r="J86" s="260">
        <f t="shared" si="36"/>
        <v>0.16228802048973573</v>
      </c>
      <c r="K86" s="268">
        <v>12546</v>
      </c>
      <c r="L86" s="269">
        <v>9576</v>
      </c>
      <c r="M86" s="270"/>
      <c r="N86" s="287">
        <f t="shared" si="37"/>
        <v>0.76327116212338597</v>
      </c>
      <c r="O86" s="288">
        <f t="shared" si="38"/>
        <v>272.43776143063002</v>
      </c>
      <c r="P86" s="273">
        <f t="shared" si="39"/>
        <v>3926160</v>
      </c>
      <c r="Q86" s="289">
        <f>IFERROR(P86/D86,"-")</f>
        <v>1.5049308797980159</v>
      </c>
      <c r="R86" s="275">
        <v>410</v>
      </c>
    </row>
    <row r="87" spans="2:18" ht="18" customHeight="1">
      <c r="B87" s="276" t="s">
        <v>780</v>
      </c>
      <c r="C87" s="277" t="s">
        <v>93</v>
      </c>
      <c r="D87" s="285">
        <v>1279200.77</v>
      </c>
      <c r="E87" s="268">
        <v>920691</v>
      </c>
      <c r="F87" s="286"/>
      <c r="G87" s="269">
        <v>30207</v>
      </c>
      <c r="H87" s="270"/>
      <c r="I87" s="260">
        <f t="shared" si="35"/>
        <v>3.2809053200259369E-2</v>
      </c>
      <c r="J87" s="260">
        <f t="shared" si="36"/>
        <v>0.1731055715562618</v>
      </c>
      <c r="K87" s="268">
        <v>5229</v>
      </c>
      <c r="L87" s="269">
        <v>3556</v>
      </c>
      <c r="M87" s="270"/>
      <c r="N87" s="287">
        <f t="shared" si="37"/>
        <v>0.68005354752342706</v>
      </c>
      <c r="O87" s="288">
        <f t="shared" si="38"/>
        <v>359.73025028121486</v>
      </c>
      <c r="P87" s="273">
        <f t="shared" si="39"/>
        <v>3673348</v>
      </c>
      <c r="Q87" s="289">
        <f>IFERROR(P87/D87,"-")</f>
        <v>2.8715961451461602</v>
      </c>
      <c r="R87" s="275">
        <v>1033</v>
      </c>
    </row>
    <row r="88" spans="2:18" ht="18" customHeight="1">
      <c r="B88" s="290" t="s">
        <v>781</v>
      </c>
      <c r="C88" s="277" t="s">
        <v>93</v>
      </c>
      <c r="D88" s="285">
        <v>115005.17</v>
      </c>
      <c r="E88" s="292">
        <v>43396</v>
      </c>
      <c r="F88" s="293"/>
      <c r="G88" s="294">
        <v>3279</v>
      </c>
      <c r="H88" s="295"/>
      <c r="I88" s="260">
        <f t="shared" si="35"/>
        <v>7.5559959443266655E-2</v>
      </c>
      <c r="J88" s="260">
        <f t="shared" si="36"/>
        <v>0.14425129612686793</v>
      </c>
      <c r="K88" s="292">
        <v>473</v>
      </c>
      <c r="L88" s="294">
        <v>351</v>
      </c>
      <c r="M88" s="295"/>
      <c r="N88" s="287">
        <f t="shared" si="37"/>
        <v>0.74207188160676529</v>
      </c>
      <c r="O88" s="288">
        <f>IFERROR(D88/L88,"-")</f>
        <v>327.650056980057</v>
      </c>
      <c r="P88" s="273">
        <f t="shared" si="39"/>
        <v>197964</v>
      </c>
      <c r="Q88" s="289">
        <f>IFERROR(P88/D88,"-")</f>
        <v>1.7213487011062198</v>
      </c>
      <c r="R88" s="275">
        <v>564</v>
      </c>
    </row>
    <row r="89" spans="2:18" ht="18" hidden="1" customHeight="1">
      <c r="B89" s="276" t="s">
        <v>782</v>
      </c>
      <c r="C89" s="277" t="s">
        <v>94</v>
      </c>
      <c r="D89" s="285"/>
      <c r="E89" s="278"/>
      <c r="F89" s="279"/>
      <c r="G89" s="280"/>
      <c r="H89" s="281"/>
      <c r="I89" s="260" t="str">
        <f t="shared" si="35"/>
        <v>-</v>
      </c>
      <c r="J89" s="260" t="str">
        <f t="shared" si="36"/>
        <v>-</v>
      </c>
      <c r="K89" s="282"/>
      <c r="L89" s="283"/>
      <c r="M89" s="281"/>
      <c r="N89" s="271" t="str">
        <f t="shared" si="37"/>
        <v>-</v>
      </c>
      <c r="O89" s="272" t="str">
        <f t="shared" ref="O89:O91" si="41">IFERROR(D89/L89,"-")</f>
        <v>-</v>
      </c>
      <c r="P89" s="273">
        <f t="shared" si="39"/>
        <v>0</v>
      </c>
      <c r="Q89" s="274" t="str">
        <f t="shared" si="40"/>
        <v>-</v>
      </c>
      <c r="R89" s="284"/>
    </row>
    <row r="90" spans="2:18" ht="18" hidden="1" customHeight="1">
      <c r="B90" s="296" t="s">
        <v>783</v>
      </c>
      <c r="C90" s="297" t="s">
        <v>93</v>
      </c>
      <c r="E90" s="273"/>
      <c r="F90" s="298"/>
      <c r="G90" s="299"/>
      <c r="H90" s="300"/>
      <c r="I90" s="260" t="str">
        <f t="shared" si="35"/>
        <v>-</v>
      </c>
      <c r="J90" s="260" t="str">
        <f t="shared" si="36"/>
        <v>-</v>
      </c>
      <c r="K90" s="301"/>
      <c r="L90" s="302"/>
      <c r="M90" s="300"/>
      <c r="N90" s="271" t="str">
        <f t="shared" si="37"/>
        <v>-</v>
      </c>
      <c r="O90" s="272" t="str">
        <f t="shared" si="41"/>
        <v>-</v>
      </c>
      <c r="P90" s="273">
        <f t="shared" si="39"/>
        <v>0</v>
      </c>
      <c r="Q90" s="274" t="str">
        <f t="shared" si="40"/>
        <v>-</v>
      </c>
      <c r="R90" s="303"/>
    </row>
    <row r="91" spans="2:18" ht="18" customHeight="1">
      <c r="B91" s="304" t="s">
        <v>784</v>
      </c>
      <c r="C91" s="305" t="s">
        <v>93</v>
      </c>
      <c r="D91" s="306">
        <v>5223233.04</v>
      </c>
      <c r="E91" s="307">
        <v>4076719</v>
      </c>
      <c r="F91" s="307"/>
      <c r="G91" s="308">
        <v>256972</v>
      </c>
      <c r="H91" s="309"/>
      <c r="I91" s="260">
        <f t="shared" si="35"/>
        <v>6.3034023193651562E-2</v>
      </c>
      <c r="J91" s="260">
        <f t="shared" si="36"/>
        <v>7.2844512242578957E-2</v>
      </c>
      <c r="K91" s="310">
        <v>18719</v>
      </c>
      <c r="L91" s="311">
        <v>15024</v>
      </c>
      <c r="M91" s="309"/>
      <c r="N91" s="271">
        <f t="shared" si="37"/>
        <v>0.80260697686842242</v>
      </c>
      <c r="O91" s="272">
        <f t="shared" si="41"/>
        <v>347.65928115015976</v>
      </c>
      <c r="P91" s="273">
        <f t="shared" si="39"/>
        <v>10606944</v>
      </c>
      <c r="Q91" s="274">
        <f t="shared" si="40"/>
        <v>2.030723867530138</v>
      </c>
      <c r="R91" s="312">
        <v>706</v>
      </c>
    </row>
    <row r="92" spans="2:18" ht="18" customHeight="1">
      <c r="B92" s="265" t="s">
        <v>785</v>
      </c>
      <c r="C92" s="313" t="s">
        <v>94</v>
      </c>
      <c r="D92" s="291">
        <f>D93+D94</f>
        <v>1509897.2300000002</v>
      </c>
      <c r="E92" s="291">
        <f>E93+E94</f>
        <v>1519377</v>
      </c>
      <c r="F92" s="291"/>
      <c r="G92" s="308">
        <f>G93+G94</f>
        <v>116257</v>
      </c>
      <c r="H92" s="314"/>
      <c r="I92" s="260">
        <f t="shared" si="35"/>
        <v>7.6516230007430672E-2</v>
      </c>
      <c r="J92" s="260">
        <f t="shared" si="36"/>
        <v>0.11933905055179474</v>
      </c>
      <c r="K92" s="315">
        <f t="shared" ref="K92:L92" si="42">K93+K94</f>
        <v>13874</v>
      </c>
      <c r="L92" s="316">
        <f t="shared" si="42"/>
        <v>10303</v>
      </c>
      <c r="M92" s="314"/>
      <c r="N92" s="271">
        <f t="shared" si="37"/>
        <v>0.74261208014992075</v>
      </c>
      <c r="O92" s="272">
        <f>IFERROR(D92/L92,"-")</f>
        <v>146.54927982141126</v>
      </c>
      <c r="P92" s="273">
        <f>P93+P94</f>
        <v>5822266.7999999998</v>
      </c>
      <c r="Q92" s="274">
        <f t="shared" si="40"/>
        <v>3.8560682702888323</v>
      </c>
      <c r="R92" s="317">
        <f>P92/L92</f>
        <v>565.10402795302332</v>
      </c>
    </row>
    <row r="93" spans="2:18" ht="18" hidden="1" customHeight="1">
      <c r="B93" s="276" t="s">
        <v>785</v>
      </c>
      <c r="C93" s="277" t="s">
        <v>93</v>
      </c>
      <c r="D93" s="285">
        <v>1249635.6600000001</v>
      </c>
      <c r="E93" s="268">
        <v>912508</v>
      </c>
      <c r="F93" s="286"/>
      <c r="G93" s="269">
        <v>56393</v>
      </c>
      <c r="H93" s="270"/>
      <c r="I93" s="260">
        <f t="shared" si="35"/>
        <v>6.1800006136932498E-2</v>
      </c>
      <c r="J93" s="260">
        <f t="shared" si="36"/>
        <v>6.5380455021013251E-2</v>
      </c>
      <c r="K93" s="268">
        <v>3687</v>
      </c>
      <c r="L93" s="269">
        <v>2683</v>
      </c>
      <c r="M93" s="270"/>
      <c r="N93" s="271">
        <f t="shared" si="37"/>
        <v>0.7276918904258205</v>
      </c>
      <c r="O93" s="272">
        <f t="shared" ref="O93:O96" si="43">IFERROR(D93/L93,"-")</f>
        <v>465.76058889303027</v>
      </c>
      <c r="P93" s="273">
        <f t="shared" ref="P93:P96" si="44">IFERROR(L93*$R93,"-")</f>
        <v>1963956</v>
      </c>
      <c r="Q93" s="274">
        <f t="shared" si="40"/>
        <v>1.5716228840652642</v>
      </c>
      <c r="R93" s="275">
        <v>732</v>
      </c>
    </row>
    <row r="94" spans="2:18" ht="18" hidden="1" customHeight="1">
      <c r="B94" s="276" t="s">
        <v>785</v>
      </c>
      <c r="C94" s="277" t="s">
        <v>94</v>
      </c>
      <c r="D94" s="318">
        <v>260261.57</v>
      </c>
      <c r="E94" s="268">
        <v>606869</v>
      </c>
      <c r="F94" s="268"/>
      <c r="G94" s="269">
        <v>59864</v>
      </c>
      <c r="H94" s="270"/>
      <c r="I94" s="260">
        <f t="shared" si="35"/>
        <v>9.8644023669029066E-2</v>
      </c>
      <c r="J94" s="260">
        <f t="shared" si="36"/>
        <v>0.17016904984631831</v>
      </c>
      <c r="K94" s="282">
        <v>10187</v>
      </c>
      <c r="L94" s="319">
        <v>7620</v>
      </c>
      <c r="M94" s="270"/>
      <c r="N94" s="271">
        <f t="shared" si="37"/>
        <v>0.74801217237655837</v>
      </c>
      <c r="O94" s="272">
        <f>IFERROR(D94/L94,"-")</f>
        <v>34.15506167979003</v>
      </c>
      <c r="P94" s="273">
        <f t="shared" si="44"/>
        <v>3858310.8</v>
      </c>
      <c r="Q94" s="274">
        <f>IFERROR(P94/D94,"-")</f>
        <v>14.824742661776764</v>
      </c>
      <c r="R94" s="275">
        <v>506.34</v>
      </c>
    </row>
    <row r="95" spans="2:18" ht="18" hidden="1" customHeight="1">
      <c r="B95" s="276" t="s">
        <v>786</v>
      </c>
      <c r="C95" s="277" t="s">
        <v>94</v>
      </c>
      <c r="D95" s="318"/>
      <c r="E95" s="268"/>
      <c r="F95" s="286"/>
      <c r="G95" s="269"/>
      <c r="H95" s="270"/>
      <c r="I95" s="260" t="str">
        <f t="shared" si="35"/>
        <v>-</v>
      </c>
      <c r="J95" s="260" t="str">
        <f t="shared" si="36"/>
        <v>-</v>
      </c>
      <c r="K95" s="282"/>
      <c r="L95" s="319"/>
      <c r="M95" s="270"/>
      <c r="N95" s="287" t="str">
        <f t="shared" si="37"/>
        <v>-</v>
      </c>
      <c r="O95" s="288" t="str">
        <f>IFERROR(D95/L95,"-")</f>
        <v>-</v>
      </c>
      <c r="P95" s="268">
        <f t="shared" si="44"/>
        <v>0</v>
      </c>
      <c r="Q95" s="289" t="str">
        <f>IFERROR(P95/D95,"-")</f>
        <v>-</v>
      </c>
      <c r="R95" s="275"/>
    </row>
    <row r="96" spans="2:18" ht="18" customHeight="1">
      <c r="B96" s="320" t="s">
        <v>787</v>
      </c>
      <c r="C96" s="321" t="s">
        <v>93</v>
      </c>
      <c r="D96" s="322">
        <v>1961208.5999999999</v>
      </c>
      <c r="E96" s="323">
        <v>1634287</v>
      </c>
      <c r="F96" s="324"/>
      <c r="G96" s="325">
        <v>153429</v>
      </c>
      <c r="H96" s="326"/>
      <c r="I96" s="327">
        <f t="shared" si="35"/>
        <v>9.3881307261209329E-2</v>
      </c>
      <c r="J96" s="327">
        <f t="shared" si="36"/>
        <v>0.17834307725397416</v>
      </c>
      <c r="K96" s="328">
        <v>27363</v>
      </c>
      <c r="L96" s="329">
        <v>21503</v>
      </c>
      <c r="M96" s="326"/>
      <c r="N96" s="330">
        <f t="shared" si="37"/>
        <v>0.78584219566567992</v>
      </c>
      <c r="O96" s="331">
        <f t="shared" si="43"/>
        <v>91.206278193740403</v>
      </c>
      <c r="P96" s="332">
        <f t="shared" si="44"/>
        <v>10568909.399386209</v>
      </c>
      <c r="Q96" s="333">
        <f t="shared" si="40"/>
        <v>5.3889776943595953</v>
      </c>
      <c r="R96" s="334">
        <v>491.50859877162299</v>
      </c>
    </row>
    <row r="97" spans="2:18" ht="18" customHeight="1">
      <c r="G97" s="335" t="s">
        <v>788</v>
      </c>
      <c r="H97" s="336"/>
      <c r="I97" s="337">
        <f>SUM(G82:G88,G90)/SUM(E82:F88,E90)</f>
        <v>0.10540348511814961</v>
      </c>
      <c r="J97" s="337">
        <f>SUM(K82:K88,K90)/SUM(G82:H88,G90)</f>
        <v>8.6618216126219852E-2</v>
      </c>
      <c r="K97" s="338"/>
      <c r="L97" s="338"/>
      <c r="M97" s="338"/>
      <c r="N97" s="338"/>
      <c r="O97" s="339">
        <f>SUM(D82:D88,D90)/SUM(L82:L88,L90)</f>
        <v>161.76668298314661</v>
      </c>
    </row>
    <row r="98" spans="2:18" ht="18" customHeight="1">
      <c r="D98" s="340"/>
      <c r="G98" s="335" t="s">
        <v>789</v>
      </c>
      <c r="H98" s="336"/>
      <c r="I98" s="337">
        <f>SUM(G91,G93)/SUM(E91,E93)</f>
        <v>6.2808326820968458E-2</v>
      </c>
      <c r="J98" s="337">
        <f>SUM(K91,K93)/SUM(G91,G93)</f>
        <v>7.1501284444657184E-2</v>
      </c>
      <c r="K98" s="338"/>
      <c r="L98" s="338"/>
      <c r="M98" s="338"/>
      <c r="N98" s="338"/>
      <c r="O98" s="339">
        <f>SUM(D91,D93)/SUM(L91,L93)</f>
        <v>365.55422714180833</v>
      </c>
    </row>
    <row r="99" spans="2:18" ht="18" customHeight="1">
      <c r="E99" s="341" t="s">
        <v>919</v>
      </c>
      <c r="G99" s="335" t="s">
        <v>790</v>
      </c>
      <c r="H99" s="336"/>
      <c r="I99" s="337">
        <v>0.14117026348778999</v>
      </c>
      <c r="J99" s="337">
        <v>0.110722581763375</v>
      </c>
      <c r="K99" s="338"/>
      <c r="L99" s="338"/>
      <c r="M99" s="338"/>
      <c r="N99" s="338"/>
      <c r="O99" s="707">
        <v>79.851859343805302</v>
      </c>
    </row>
    <row r="100" spans="2:18" ht="18" customHeight="1">
      <c r="G100" s="335" t="s">
        <v>791</v>
      </c>
      <c r="H100" s="336"/>
      <c r="I100" s="337">
        <f>SUM(G82:G92,G95:G96)/SUM(E82:E92,E95:E96)</f>
        <v>0.10232063681955998</v>
      </c>
      <c r="J100" s="337">
        <f>SUM(K82:K92,K95:K96)/SUM(G82:G92,G95:G96)</f>
        <v>8.8452954966575556E-2</v>
      </c>
      <c r="K100" s="338"/>
      <c r="L100" s="338"/>
      <c r="M100" s="338"/>
      <c r="N100" s="338"/>
      <c r="O100" s="339">
        <f>SUM(D82:D92,D95:D96)/SUM(L82:L92,L95:L96)</f>
        <v>164.02318007560902</v>
      </c>
    </row>
    <row r="101" spans="2:18" ht="18" customHeight="1">
      <c r="G101" s="337"/>
      <c r="H101" s="336"/>
      <c r="I101" s="337"/>
      <c r="J101" s="337"/>
      <c r="K101" s="338"/>
      <c r="L101" s="338"/>
      <c r="M101" s="338"/>
      <c r="N101" s="338"/>
      <c r="O101" s="339"/>
    </row>
    <row r="102" spans="2:18" ht="18" customHeight="1">
      <c r="G102" s="337"/>
      <c r="H102" s="336"/>
      <c r="I102" s="337"/>
      <c r="J102" s="337"/>
      <c r="K102" s="338"/>
      <c r="L102" s="338"/>
      <c r="M102" s="338"/>
      <c r="N102" s="338"/>
      <c r="O102" s="339"/>
    </row>
    <row r="103" spans="2:18" ht="18" customHeight="1">
      <c r="G103" s="337"/>
      <c r="H103" s="336"/>
      <c r="I103" s="337"/>
      <c r="J103" s="337"/>
      <c r="K103" s="338"/>
      <c r="L103" s="338"/>
      <c r="M103" s="338"/>
      <c r="N103" s="338"/>
      <c r="O103" s="339"/>
    </row>
    <row r="104" spans="2:18" ht="18" customHeight="1">
      <c r="G104" s="337"/>
      <c r="H104" s="336"/>
      <c r="I104" s="337"/>
      <c r="J104" s="337"/>
      <c r="K104" s="338"/>
      <c r="L104" s="338"/>
      <c r="M104" s="338"/>
      <c r="N104" s="338"/>
      <c r="O104" s="339"/>
    </row>
    <row r="105" spans="2:18" ht="18" customHeight="1">
      <c r="B105" s="248" t="s">
        <v>226</v>
      </c>
      <c r="C105" s="246"/>
      <c r="D105" s="246"/>
      <c r="E105" s="246"/>
      <c r="F105" s="246"/>
      <c r="G105" s="337"/>
      <c r="H105" s="245"/>
      <c r="I105" s="245"/>
      <c r="J105" s="245"/>
      <c r="K105" s="246"/>
      <c r="L105" s="245"/>
      <c r="M105" s="245" t="s">
        <v>219</v>
      </c>
      <c r="N105" s="246"/>
      <c r="O105" s="246"/>
      <c r="P105" s="246"/>
      <c r="Q105" s="246"/>
      <c r="R105" s="246"/>
    </row>
    <row r="106" spans="2:18" ht="33" customHeight="1">
      <c r="B106" s="249" t="s">
        <v>85</v>
      </c>
      <c r="C106" s="250" t="s">
        <v>86</v>
      </c>
      <c r="D106" s="251" t="s">
        <v>87</v>
      </c>
      <c r="E106" s="252" t="s">
        <v>23</v>
      </c>
      <c r="F106" s="251" t="s">
        <v>88</v>
      </c>
      <c r="G106" s="251" t="s">
        <v>21</v>
      </c>
      <c r="H106" s="251" t="s">
        <v>89</v>
      </c>
      <c r="I106" s="251" t="s">
        <v>20</v>
      </c>
      <c r="J106" s="251" t="s">
        <v>19</v>
      </c>
      <c r="K106" s="252" t="s">
        <v>18</v>
      </c>
      <c r="L106" s="251" t="s">
        <v>17</v>
      </c>
      <c r="M106" s="251" t="s">
        <v>90</v>
      </c>
      <c r="N106" s="251" t="s">
        <v>16</v>
      </c>
      <c r="O106" s="251" t="s">
        <v>14</v>
      </c>
      <c r="P106" s="251" t="s">
        <v>91</v>
      </c>
      <c r="Q106" s="251" t="s">
        <v>12</v>
      </c>
      <c r="R106" s="253" t="s">
        <v>92</v>
      </c>
    </row>
    <row r="107" spans="2:18" ht="18" customHeight="1">
      <c r="B107" s="254" t="s">
        <v>775</v>
      </c>
      <c r="C107" s="255" t="s">
        <v>93</v>
      </c>
      <c r="D107" s="256">
        <v>48848965.099061713</v>
      </c>
      <c r="E107" s="257">
        <v>45187291</v>
      </c>
      <c r="F107" s="257"/>
      <c r="G107" s="258">
        <v>5019581</v>
      </c>
      <c r="H107" s="259"/>
      <c r="I107" s="260">
        <f t="shared" ref="I107:I121" si="45">IFERROR(G107/E107,"-")</f>
        <v>0.11108391073941565</v>
      </c>
      <c r="J107" s="260">
        <f t="shared" ref="J107:J121" si="46">IFERROR(K107/G107,"-")</f>
        <v>8.1599838711637479E-2</v>
      </c>
      <c r="K107" s="257">
        <v>409597</v>
      </c>
      <c r="L107" s="258">
        <v>287162</v>
      </c>
      <c r="M107" s="259" t="e">
        <v>#REF!</v>
      </c>
      <c r="N107" s="261">
        <f t="shared" ref="N107:N121" si="47">IFERROR(L107/K107,"-")</f>
        <v>0.70108423645680995</v>
      </c>
      <c r="O107" s="262">
        <f t="shared" ref="O107:O121" si="48">IFERROR(D107/L107,"-")</f>
        <v>170.10943334794197</v>
      </c>
      <c r="P107" s="257">
        <f t="shared" ref="P107:P121" si="49">IFERROR(L107*$R107,"-")</f>
        <v>291469430</v>
      </c>
      <c r="Q107" s="263">
        <f t="shared" ref="Q107:Q121" si="50">IFERROR(P107/D107,"-")</f>
        <v>5.9667472874588805</v>
      </c>
      <c r="R107" s="264">
        <v>1015</v>
      </c>
    </row>
    <row r="108" spans="2:18" ht="18" customHeight="1">
      <c r="B108" s="265" t="s">
        <v>776</v>
      </c>
      <c r="C108" s="266" t="s">
        <v>93</v>
      </c>
      <c r="D108" s="267">
        <v>9073897.2100000009</v>
      </c>
      <c r="E108" s="268">
        <v>10391023</v>
      </c>
      <c r="F108" s="268"/>
      <c r="G108" s="269">
        <v>447025</v>
      </c>
      <c r="H108" s="270"/>
      <c r="I108" s="260">
        <f t="shared" si="45"/>
        <v>4.3020307047727642E-2</v>
      </c>
      <c r="J108" s="260">
        <f t="shared" si="46"/>
        <v>4.2838767406744589E-2</v>
      </c>
      <c r="K108" s="268">
        <v>19150</v>
      </c>
      <c r="L108" s="269">
        <v>13359</v>
      </c>
      <c r="M108" s="270"/>
      <c r="N108" s="271">
        <f t="shared" si="47"/>
        <v>0.69759791122715409</v>
      </c>
      <c r="O108" s="272">
        <f t="shared" si="48"/>
        <v>679.23476382962804</v>
      </c>
      <c r="P108" s="273">
        <f t="shared" si="49"/>
        <v>29389800</v>
      </c>
      <c r="Q108" s="274">
        <f t="shared" si="50"/>
        <v>3.2389390489910559</v>
      </c>
      <c r="R108" s="275">
        <v>2200</v>
      </c>
    </row>
    <row r="109" spans="2:18" ht="18" customHeight="1">
      <c r="B109" s="276" t="s">
        <v>777</v>
      </c>
      <c r="C109" s="277" t="s">
        <v>93</v>
      </c>
      <c r="D109" s="267">
        <v>3717346.9899999998</v>
      </c>
      <c r="E109" s="278">
        <v>2744665</v>
      </c>
      <c r="F109" s="279"/>
      <c r="G109" s="280">
        <v>262715</v>
      </c>
      <c r="H109" s="281"/>
      <c r="I109" s="260">
        <f t="shared" si="45"/>
        <v>9.5718421009485674E-2</v>
      </c>
      <c r="J109" s="260">
        <f t="shared" si="46"/>
        <v>0.14843842186399711</v>
      </c>
      <c r="K109" s="282">
        <v>38997</v>
      </c>
      <c r="L109" s="283">
        <v>30317</v>
      </c>
      <c r="M109" s="281"/>
      <c r="N109" s="271">
        <f t="shared" si="47"/>
        <v>0.7774187758032669</v>
      </c>
      <c r="O109" s="272">
        <f t="shared" si="48"/>
        <v>122.61592472870007</v>
      </c>
      <c r="P109" s="273">
        <f t="shared" si="49"/>
        <v>11944898</v>
      </c>
      <c r="Q109" s="274">
        <f t="shared" si="50"/>
        <v>3.2132857202012235</v>
      </c>
      <c r="R109" s="284">
        <v>394</v>
      </c>
    </row>
    <row r="110" spans="2:18" ht="18" customHeight="1">
      <c r="B110" s="276" t="s">
        <v>778</v>
      </c>
      <c r="C110" s="277" t="s">
        <v>93</v>
      </c>
      <c r="D110" s="285">
        <v>512516.27333333332</v>
      </c>
      <c r="E110" s="278">
        <v>637742</v>
      </c>
      <c r="F110" s="286"/>
      <c r="G110" s="269">
        <v>24854</v>
      </c>
      <c r="H110" s="270"/>
      <c r="I110" s="260">
        <f t="shared" si="45"/>
        <v>3.8971872638151481E-2</v>
      </c>
      <c r="J110" s="260">
        <f t="shared" si="46"/>
        <v>0.15265148467047557</v>
      </c>
      <c r="K110" s="268">
        <v>3794</v>
      </c>
      <c r="L110" s="269">
        <v>3176</v>
      </c>
      <c r="M110" s="270"/>
      <c r="N110" s="287">
        <f t="shared" si="47"/>
        <v>0.83711122825513973</v>
      </c>
      <c r="O110" s="288">
        <f t="shared" si="48"/>
        <v>161.37162258606213</v>
      </c>
      <c r="P110" s="273">
        <f t="shared" si="49"/>
        <v>762240</v>
      </c>
      <c r="Q110" s="289">
        <f t="shared" si="50"/>
        <v>1.4872503365454113</v>
      </c>
      <c r="R110" s="275">
        <v>240</v>
      </c>
    </row>
    <row r="111" spans="2:18" ht="18" customHeight="1">
      <c r="B111" s="276" t="s">
        <v>779</v>
      </c>
      <c r="C111" s="277" t="s">
        <v>93</v>
      </c>
      <c r="D111" s="285">
        <v>2177047.577937162</v>
      </c>
      <c r="E111" s="268">
        <v>1196337</v>
      </c>
      <c r="F111" s="286"/>
      <c r="G111" s="269">
        <v>56483</v>
      </c>
      <c r="H111" s="270"/>
      <c r="I111" s="260">
        <f t="shared" si="45"/>
        <v>4.7213285219800109E-2</v>
      </c>
      <c r="J111" s="260">
        <f t="shared" si="46"/>
        <v>0.17382221199298903</v>
      </c>
      <c r="K111" s="268">
        <v>9818</v>
      </c>
      <c r="L111" s="269">
        <v>7482</v>
      </c>
      <c r="M111" s="270"/>
      <c r="N111" s="287">
        <f t="shared" si="47"/>
        <v>0.76206966795681397</v>
      </c>
      <c r="O111" s="288">
        <f t="shared" si="48"/>
        <v>290.97134161148915</v>
      </c>
      <c r="P111" s="273">
        <f t="shared" si="49"/>
        <v>3067620</v>
      </c>
      <c r="Q111" s="289">
        <f t="shared" si="50"/>
        <v>1.4090734768905191</v>
      </c>
      <c r="R111" s="275">
        <v>410</v>
      </c>
    </row>
    <row r="112" spans="2:18" ht="18" customHeight="1">
      <c r="B112" s="276" t="s">
        <v>780</v>
      </c>
      <c r="C112" s="277" t="s">
        <v>93</v>
      </c>
      <c r="D112" s="285">
        <v>1216448.74</v>
      </c>
      <c r="E112" s="268">
        <v>852037</v>
      </c>
      <c r="F112" s="286"/>
      <c r="G112" s="269">
        <v>25240</v>
      </c>
      <c r="H112" s="270"/>
      <c r="I112" s="260">
        <f t="shared" si="45"/>
        <v>2.9623126695202204E-2</v>
      </c>
      <c r="J112" s="260">
        <f t="shared" si="46"/>
        <v>0.1640649762282092</v>
      </c>
      <c r="K112" s="268">
        <v>4141</v>
      </c>
      <c r="L112" s="269">
        <v>2840</v>
      </c>
      <c r="M112" s="270"/>
      <c r="N112" s="287">
        <f t="shared" si="47"/>
        <v>0.68582468002897856</v>
      </c>
      <c r="O112" s="288">
        <f t="shared" si="48"/>
        <v>428.32702112676054</v>
      </c>
      <c r="P112" s="273">
        <f t="shared" si="49"/>
        <v>2933720</v>
      </c>
      <c r="Q112" s="289">
        <f t="shared" si="50"/>
        <v>2.4117086923037956</v>
      </c>
      <c r="R112" s="275">
        <v>1033</v>
      </c>
    </row>
    <row r="113" spans="2:18" ht="18" customHeight="1">
      <c r="B113" s="290" t="s">
        <v>781</v>
      </c>
      <c r="C113" s="277" t="s">
        <v>93</v>
      </c>
      <c r="D113" s="285">
        <v>79125.56</v>
      </c>
      <c r="E113" s="292">
        <v>21026</v>
      </c>
      <c r="F113" s="293"/>
      <c r="G113" s="294">
        <v>1697</v>
      </c>
      <c r="H113" s="295"/>
      <c r="I113" s="260">
        <f t="shared" si="45"/>
        <v>8.0709597641015887E-2</v>
      </c>
      <c r="J113" s="260">
        <f t="shared" si="46"/>
        <v>0.13494401885680612</v>
      </c>
      <c r="K113" s="292">
        <v>229</v>
      </c>
      <c r="L113" s="294">
        <v>167</v>
      </c>
      <c r="M113" s="295"/>
      <c r="N113" s="287">
        <f t="shared" si="47"/>
        <v>0.72925764192139741</v>
      </c>
      <c r="O113" s="288">
        <f>IFERROR(D113/L113,"-")</f>
        <v>473.80574850299399</v>
      </c>
      <c r="P113" s="273">
        <f t="shared" si="49"/>
        <v>94188</v>
      </c>
      <c r="Q113" s="289">
        <f t="shared" si="50"/>
        <v>1.1903612435728734</v>
      </c>
      <c r="R113" s="275">
        <v>564</v>
      </c>
    </row>
    <row r="114" spans="2:18" ht="18" hidden="1" customHeight="1">
      <c r="B114" s="276" t="s">
        <v>782</v>
      </c>
      <c r="C114" s="277" t="s">
        <v>94</v>
      </c>
      <c r="D114" s="285"/>
      <c r="E114" s="278"/>
      <c r="F114" s="279"/>
      <c r="G114" s="280"/>
      <c r="H114" s="281"/>
      <c r="I114" s="260" t="str">
        <f t="shared" si="45"/>
        <v>-</v>
      </c>
      <c r="J114" s="260" t="str">
        <f t="shared" si="46"/>
        <v>-</v>
      </c>
      <c r="K114" s="282"/>
      <c r="L114" s="283"/>
      <c r="M114" s="281"/>
      <c r="N114" s="271" t="str">
        <f t="shared" si="47"/>
        <v>-</v>
      </c>
      <c r="O114" s="272" t="str">
        <f t="shared" si="48"/>
        <v>-</v>
      </c>
      <c r="P114" s="273">
        <f t="shared" si="49"/>
        <v>0</v>
      </c>
      <c r="Q114" s="274" t="str">
        <f t="shared" si="50"/>
        <v>-</v>
      </c>
      <c r="R114" s="284"/>
    </row>
    <row r="115" spans="2:18" ht="18" hidden="1" customHeight="1">
      <c r="B115" s="296" t="s">
        <v>783</v>
      </c>
      <c r="C115" s="297" t="s">
        <v>93</v>
      </c>
      <c r="E115" s="273"/>
      <c r="F115" s="298"/>
      <c r="G115" s="299"/>
      <c r="H115" s="300"/>
      <c r="I115" s="260" t="str">
        <f t="shared" si="45"/>
        <v>-</v>
      </c>
      <c r="J115" s="260" t="str">
        <f t="shared" si="46"/>
        <v>-</v>
      </c>
      <c r="K115" s="301"/>
      <c r="L115" s="302"/>
      <c r="M115" s="300"/>
      <c r="N115" s="271" t="str">
        <f t="shared" si="47"/>
        <v>-</v>
      </c>
      <c r="O115" s="272" t="str">
        <f t="shared" si="48"/>
        <v>-</v>
      </c>
      <c r="P115" s="273">
        <f t="shared" si="49"/>
        <v>0</v>
      </c>
      <c r="Q115" s="274" t="str">
        <f t="shared" si="50"/>
        <v>-</v>
      </c>
      <c r="R115" s="303"/>
    </row>
    <row r="116" spans="2:18" ht="18" customHeight="1">
      <c r="B116" s="304" t="s">
        <v>784</v>
      </c>
      <c r="C116" s="305" t="s">
        <v>93</v>
      </c>
      <c r="D116" s="306">
        <v>3889772.92</v>
      </c>
      <c r="E116" s="307">
        <v>3203410</v>
      </c>
      <c r="F116" s="307"/>
      <c r="G116" s="308">
        <v>197371</v>
      </c>
      <c r="H116" s="309"/>
      <c r="I116" s="260">
        <f t="shared" si="45"/>
        <v>6.1612781379842108E-2</v>
      </c>
      <c r="J116" s="260">
        <f t="shared" si="46"/>
        <v>6.9224962127161532E-2</v>
      </c>
      <c r="K116" s="310">
        <v>13663</v>
      </c>
      <c r="L116" s="311">
        <v>10988</v>
      </c>
      <c r="M116" s="309"/>
      <c r="N116" s="271">
        <f t="shared" si="47"/>
        <v>0.80421576520529903</v>
      </c>
      <c r="O116" s="272">
        <f t="shared" si="48"/>
        <v>354.00190389515836</v>
      </c>
      <c r="P116" s="273">
        <f t="shared" si="49"/>
        <v>7757528</v>
      </c>
      <c r="Q116" s="274">
        <f t="shared" si="50"/>
        <v>1.9943395564592497</v>
      </c>
      <c r="R116" s="312">
        <v>706</v>
      </c>
    </row>
    <row r="117" spans="2:18" ht="18" customHeight="1">
      <c r="B117" s="265" t="s">
        <v>785</v>
      </c>
      <c r="C117" s="313" t="s">
        <v>94</v>
      </c>
      <c r="D117" s="291">
        <f>D118+D119</f>
        <v>1350945.37</v>
      </c>
      <c r="E117" s="291">
        <f>E118+E119</f>
        <v>1252842</v>
      </c>
      <c r="F117" s="291"/>
      <c r="G117" s="308">
        <f>G118+G119</f>
        <v>91098</v>
      </c>
      <c r="H117" s="314"/>
      <c r="I117" s="260">
        <f t="shared" si="45"/>
        <v>7.271307954235251E-2</v>
      </c>
      <c r="J117" s="260">
        <f t="shared" si="46"/>
        <v>0.12303233879997365</v>
      </c>
      <c r="K117" s="315">
        <f t="shared" ref="K117:L117" si="51">K118+K119</f>
        <v>11208</v>
      </c>
      <c r="L117" s="316">
        <f t="shared" si="51"/>
        <v>8303</v>
      </c>
      <c r="M117" s="314"/>
      <c r="N117" s="271">
        <f t="shared" si="47"/>
        <v>0.74081013561741615</v>
      </c>
      <c r="O117" s="272">
        <f>IFERROR(D117/L117,"-")</f>
        <v>162.7056931229676</v>
      </c>
      <c r="P117" s="273">
        <f>P118+P119</f>
        <v>4598143.38</v>
      </c>
      <c r="Q117" s="274">
        <f t="shared" si="50"/>
        <v>3.4036486464289815</v>
      </c>
      <c r="R117" s="317">
        <f>P117/L117</f>
        <v>553.79301216427791</v>
      </c>
    </row>
    <row r="118" spans="2:18" ht="18" hidden="1" customHeight="1">
      <c r="B118" s="276" t="s">
        <v>785</v>
      </c>
      <c r="C118" s="277" t="s">
        <v>93</v>
      </c>
      <c r="D118" s="285">
        <v>1090683.8</v>
      </c>
      <c r="E118" s="268">
        <v>670119</v>
      </c>
      <c r="F118" s="286"/>
      <c r="G118" s="269">
        <v>37182</v>
      </c>
      <c r="H118" s="270"/>
      <c r="I118" s="260">
        <f t="shared" si="45"/>
        <v>5.5485667471001421E-2</v>
      </c>
      <c r="J118" s="260">
        <f t="shared" si="46"/>
        <v>6.5596256253025662E-2</v>
      </c>
      <c r="K118" s="268">
        <v>2439</v>
      </c>
      <c r="L118" s="269">
        <v>1746</v>
      </c>
      <c r="M118" s="270"/>
      <c r="N118" s="271">
        <f t="shared" si="47"/>
        <v>0.71586715867158668</v>
      </c>
      <c r="O118" s="272">
        <f t="shared" si="48"/>
        <v>624.67571592210766</v>
      </c>
      <c r="P118" s="273">
        <f t="shared" si="49"/>
        <v>1278072</v>
      </c>
      <c r="Q118" s="274">
        <f t="shared" si="50"/>
        <v>1.1718079978816958</v>
      </c>
      <c r="R118" s="275">
        <v>732</v>
      </c>
    </row>
    <row r="119" spans="2:18" ht="18" hidden="1" customHeight="1">
      <c r="B119" s="276" t="s">
        <v>785</v>
      </c>
      <c r="C119" s="277" t="s">
        <v>94</v>
      </c>
      <c r="D119" s="318">
        <v>260261.57</v>
      </c>
      <c r="E119" s="268">
        <v>582723</v>
      </c>
      <c r="F119" s="268"/>
      <c r="G119" s="269">
        <v>53916</v>
      </c>
      <c r="H119" s="270"/>
      <c r="I119" s="260">
        <f t="shared" si="45"/>
        <v>9.2524235357107923E-2</v>
      </c>
      <c r="J119" s="260">
        <f t="shared" si="46"/>
        <v>0.16264188738036947</v>
      </c>
      <c r="K119" s="282">
        <v>8769</v>
      </c>
      <c r="L119" s="319">
        <v>6557</v>
      </c>
      <c r="M119" s="270"/>
      <c r="N119" s="271">
        <f t="shared" si="47"/>
        <v>0.74774774774774777</v>
      </c>
      <c r="O119" s="272">
        <f t="shared" si="48"/>
        <v>39.692171724874179</v>
      </c>
      <c r="P119" s="273">
        <f t="shared" si="49"/>
        <v>3320071.38</v>
      </c>
      <c r="Q119" s="274">
        <f t="shared" si="50"/>
        <v>12.756671605416043</v>
      </c>
      <c r="R119" s="275">
        <v>506.34</v>
      </c>
    </row>
    <row r="120" spans="2:18" ht="18" hidden="1" customHeight="1">
      <c r="B120" s="276" t="s">
        <v>786</v>
      </c>
      <c r="C120" s="277" t="s">
        <v>94</v>
      </c>
      <c r="D120" s="318"/>
      <c r="E120" s="268"/>
      <c r="F120" s="286"/>
      <c r="G120" s="269"/>
      <c r="H120" s="270"/>
      <c r="I120" s="260" t="str">
        <f t="shared" si="45"/>
        <v>-</v>
      </c>
      <c r="J120" s="260" t="str">
        <f t="shared" si="46"/>
        <v>-</v>
      </c>
      <c r="K120" s="282"/>
      <c r="L120" s="319"/>
      <c r="M120" s="270"/>
      <c r="N120" s="287" t="str">
        <f t="shared" si="47"/>
        <v>-</v>
      </c>
      <c r="O120" s="288" t="str">
        <f t="shared" si="48"/>
        <v>-</v>
      </c>
      <c r="P120" s="268">
        <f t="shared" si="49"/>
        <v>0</v>
      </c>
      <c r="Q120" s="289" t="str">
        <f t="shared" si="50"/>
        <v>-</v>
      </c>
      <c r="R120" s="275"/>
    </row>
    <row r="121" spans="2:18" ht="18" customHeight="1">
      <c r="B121" s="320" t="s">
        <v>787</v>
      </c>
      <c r="C121" s="321" t="s">
        <v>93</v>
      </c>
      <c r="D121" s="322">
        <v>1850380.610000001</v>
      </c>
      <c r="E121" s="323">
        <v>1537557</v>
      </c>
      <c r="F121" s="324"/>
      <c r="G121" s="325">
        <v>131403</v>
      </c>
      <c r="H121" s="326"/>
      <c r="I121" s="327">
        <f t="shared" si="45"/>
        <v>8.5462197499019552E-2</v>
      </c>
      <c r="J121" s="327">
        <f t="shared" si="46"/>
        <v>0.17033096656849539</v>
      </c>
      <c r="K121" s="328">
        <v>22382</v>
      </c>
      <c r="L121" s="329">
        <v>17479</v>
      </c>
      <c r="M121" s="326"/>
      <c r="N121" s="330">
        <f t="shared" si="47"/>
        <v>0.78094004110445892</v>
      </c>
      <c r="O121" s="331">
        <f t="shared" si="48"/>
        <v>105.86307054179306</v>
      </c>
      <c r="P121" s="332">
        <f t="shared" si="49"/>
        <v>8304622.4800000004</v>
      </c>
      <c r="Q121" s="333">
        <f t="shared" si="50"/>
        <v>4.4880617723290968</v>
      </c>
      <c r="R121" s="334">
        <v>475.12</v>
      </c>
    </row>
    <row r="122" spans="2:18" ht="18" customHeight="1">
      <c r="G122" s="335" t="s">
        <v>788</v>
      </c>
      <c r="H122" s="336"/>
      <c r="I122" s="337">
        <f>SUM(G107:G113,G115)/SUM(E107:F113,E115)</f>
        <v>9.5651047455730914E-2</v>
      </c>
      <c r="J122" s="337">
        <f>SUM(K107:K113,K115)/SUM(G107:H113,G115)</f>
        <v>8.3206525975166146E-2</v>
      </c>
      <c r="K122" s="338"/>
      <c r="L122" s="338"/>
      <c r="M122" s="338"/>
      <c r="N122" s="338"/>
      <c r="O122" s="339">
        <f>SUM(D107:D113,D115)/SUM(L107:L113,L115)</f>
        <v>190.49281849601374</v>
      </c>
    </row>
    <row r="123" spans="2:18" ht="18" customHeight="1">
      <c r="D123" s="340"/>
      <c r="G123" s="335" t="s">
        <v>789</v>
      </c>
      <c r="H123" s="336"/>
      <c r="I123" s="337">
        <f>SUM(G116,G118)/SUM(E116,E118)</f>
        <v>6.0552793073189851E-2</v>
      </c>
      <c r="J123" s="337">
        <f>SUM(K116,K118)/SUM(G116,G118)</f>
        <v>6.8649729485446787E-2</v>
      </c>
      <c r="K123" s="338"/>
      <c r="L123" s="338"/>
      <c r="M123" s="338"/>
      <c r="N123" s="338"/>
      <c r="O123" s="339">
        <f>SUM(D116,D118)/SUM(L116,L118)</f>
        <v>391.11486728443538</v>
      </c>
    </row>
    <row r="124" spans="2:18" ht="18" customHeight="1">
      <c r="E124" s="341" t="s">
        <v>919</v>
      </c>
      <c r="G124" s="335" t="s">
        <v>790</v>
      </c>
      <c r="H124" s="336"/>
      <c r="I124" s="337">
        <v>0.12801668887745513</v>
      </c>
      <c r="J124" s="337">
        <v>0.10415914757257215</v>
      </c>
      <c r="K124" s="338"/>
      <c r="L124" s="338"/>
      <c r="M124" s="338"/>
      <c r="N124" s="338"/>
      <c r="O124" s="339">
        <v>96.044540688941723</v>
      </c>
    </row>
    <row r="125" spans="2:18" ht="18" customHeight="1">
      <c r="G125" s="335" t="s">
        <v>791</v>
      </c>
      <c r="H125" s="336"/>
      <c r="I125" s="337">
        <f>SUM(G107:G117,G120:G121)/SUM(E107:E117,E120:E121)</f>
        <v>9.3361684401377237E-2</v>
      </c>
      <c r="J125" s="337">
        <f>SUM(K107:K117,K120:K121)/SUM(G107:G117,G120:G121)</f>
        <v>8.5174879867524672E-2</v>
      </c>
      <c r="K125" s="338"/>
      <c r="L125" s="338"/>
      <c r="M125" s="338"/>
      <c r="N125" s="338"/>
      <c r="O125" s="339">
        <f>SUM(D107:D117,D120:D121)/SUM(L107:L117,L120:L121)</f>
        <v>190.72015681764043</v>
      </c>
    </row>
    <row r="126" spans="2:18" ht="18" customHeight="1">
      <c r="B126" s="246"/>
      <c r="C126" s="70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</row>
    <row r="127" spans="2:18" ht="18" customHeight="1">
      <c r="B127" s="246"/>
      <c r="C127" s="70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</row>
    <row r="128" spans="2:18" ht="18" customHeight="1">
      <c r="B128" s="246"/>
      <c r="C128" s="70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</row>
    <row r="129" spans="2:18" ht="18" customHeight="1">
      <c r="B129" s="246"/>
      <c r="C129" s="70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</row>
    <row r="130" spans="2:18" ht="18" customHeight="1">
      <c r="B130" s="248" t="s">
        <v>227</v>
      </c>
      <c r="C130" s="246"/>
      <c r="D130" s="246"/>
      <c r="E130" s="246"/>
      <c r="F130" s="246"/>
      <c r="G130" s="245"/>
      <c r="H130" s="245"/>
      <c r="I130" s="245"/>
      <c r="J130" s="245"/>
      <c r="K130" s="246"/>
      <c r="L130" s="245"/>
      <c r="M130" s="245" t="s">
        <v>219</v>
      </c>
      <c r="N130" s="246"/>
      <c r="O130" s="246"/>
      <c r="P130" s="246"/>
      <c r="Q130" s="246"/>
      <c r="R130" s="246"/>
    </row>
    <row r="131" spans="2:18" ht="49.5">
      <c r="B131" s="249" t="s">
        <v>85</v>
      </c>
      <c r="C131" s="250" t="s">
        <v>86</v>
      </c>
      <c r="D131" s="251" t="s">
        <v>87</v>
      </c>
      <c r="E131" s="252" t="s">
        <v>23</v>
      </c>
      <c r="F131" s="251" t="s">
        <v>88</v>
      </c>
      <c r="G131" s="251" t="s">
        <v>21</v>
      </c>
      <c r="H131" s="251" t="s">
        <v>89</v>
      </c>
      <c r="I131" s="251" t="s">
        <v>20</v>
      </c>
      <c r="J131" s="251" t="s">
        <v>19</v>
      </c>
      <c r="K131" s="252" t="s">
        <v>18</v>
      </c>
      <c r="L131" s="251" t="s">
        <v>17</v>
      </c>
      <c r="M131" s="251" t="s">
        <v>90</v>
      </c>
      <c r="N131" s="251" t="s">
        <v>16</v>
      </c>
      <c r="O131" s="251" t="s">
        <v>14</v>
      </c>
      <c r="P131" s="251" t="s">
        <v>91</v>
      </c>
      <c r="Q131" s="251" t="s">
        <v>12</v>
      </c>
      <c r="R131" s="253" t="s">
        <v>92</v>
      </c>
    </row>
    <row r="132" spans="2:18" ht="18" customHeight="1">
      <c r="B132" s="254" t="s">
        <v>775</v>
      </c>
      <c r="C132" s="255" t="s">
        <v>93</v>
      </c>
      <c r="D132" s="256">
        <v>32055566.351857144</v>
      </c>
      <c r="E132" s="257">
        <v>29135347</v>
      </c>
      <c r="F132" s="257"/>
      <c r="G132" s="258">
        <v>2506745</v>
      </c>
      <c r="H132" s="259"/>
      <c r="I132" s="260">
        <f t="shared" ref="I132:I146" si="52">IFERROR(G132/E132,"-")</f>
        <v>8.6037931863313655E-2</v>
      </c>
      <c r="J132" s="260">
        <f t="shared" ref="J132:J146" si="53">IFERROR(K132/G132,"-")</f>
        <v>5.1368208573269319E-2</v>
      </c>
      <c r="K132" s="257">
        <v>128767</v>
      </c>
      <c r="L132" s="258">
        <v>92342</v>
      </c>
      <c r="M132" s="259" t="e">
        <v>#REF!</v>
      </c>
      <c r="N132" s="261">
        <f t="shared" ref="N132:N146" si="54">IFERROR(L132/K132,"-")</f>
        <v>0.71712472916197478</v>
      </c>
      <c r="O132" s="262">
        <f t="shared" ref="O132:O146" si="55">IFERROR(D132/L132,"-")</f>
        <v>347.13961525478271</v>
      </c>
      <c r="P132" s="257">
        <f t="shared" ref="P132:P146" si="56">IFERROR(L132*$R132,"-")</f>
        <v>93727130</v>
      </c>
      <c r="Q132" s="263">
        <f t="shared" ref="Q132:Q146" si="57">IFERROR(P132/D132,"-")</f>
        <v>2.9238956183524083</v>
      </c>
      <c r="R132" s="264">
        <v>1015</v>
      </c>
    </row>
    <row r="133" spans="2:18" ht="18" customHeight="1">
      <c r="B133" s="265" t="s">
        <v>776</v>
      </c>
      <c r="C133" s="266" t="s">
        <v>93</v>
      </c>
      <c r="D133" s="267">
        <v>7567927</v>
      </c>
      <c r="E133" s="268">
        <v>9266944</v>
      </c>
      <c r="F133" s="268"/>
      <c r="G133" s="269">
        <v>284547</v>
      </c>
      <c r="H133" s="270"/>
      <c r="I133" s="260">
        <f t="shared" si="52"/>
        <v>3.070559183264731E-2</v>
      </c>
      <c r="J133" s="260">
        <f t="shared" si="53"/>
        <v>3.0339451830453317E-2</v>
      </c>
      <c r="K133" s="268">
        <v>8633</v>
      </c>
      <c r="L133" s="269">
        <v>5991</v>
      </c>
      <c r="M133" s="270"/>
      <c r="N133" s="271">
        <f t="shared" si="54"/>
        <v>0.69396501795436116</v>
      </c>
      <c r="O133" s="272">
        <f t="shared" si="55"/>
        <v>1263.2159906526456</v>
      </c>
      <c r="P133" s="273">
        <f t="shared" si="56"/>
        <v>13180200</v>
      </c>
      <c r="Q133" s="274">
        <f t="shared" si="57"/>
        <v>1.7415865665723256</v>
      </c>
      <c r="R133" s="275">
        <v>2200</v>
      </c>
    </row>
    <row r="134" spans="2:18" ht="18" customHeight="1">
      <c r="B134" s="276" t="s">
        <v>777</v>
      </c>
      <c r="C134" s="277" t="s">
        <v>93</v>
      </c>
      <c r="D134" s="285">
        <v>1729769</v>
      </c>
      <c r="E134" s="278">
        <v>1729769</v>
      </c>
      <c r="F134" s="279"/>
      <c r="G134" s="280">
        <v>132680</v>
      </c>
      <c r="H134" s="281"/>
      <c r="I134" s="260">
        <f t="shared" si="52"/>
        <v>7.6703883582143043E-2</v>
      </c>
      <c r="J134" s="260">
        <f t="shared" si="53"/>
        <v>6.9807054567380164E-2</v>
      </c>
      <c r="K134" s="282">
        <v>9262</v>
      </c>
      <c r="L134" s="283">
        <v>7284</v>
      </c>
      <c r="M134" s="281"/>
      <c r="N134" s="271">
        <f t="shared" si="54"/>
        <v>0.78643921399265815</v>
      </c>
      <c r="O134" s="272">
        <f t="shared" si="55"/>
        <v>237.47515101592532</v>
      </c>
      <c r="P134" s="273">
        <f t="shared" si="56"/>
        <v>2869896</v>
      </c>
      <c r="Q134" s="274">
        <f t="shared" si="57"/>
        <v>1.6591209577695056</v>
      </c>
      <c r="R134" s="284">
        <v>394</v>
      </c>
    </row>
    <row r="135" spans="2:18" ht="18" customHeight="1">
      <c r="B135" s="276" t="s">
        <v>778</v>
      </c>
      <c r="C135" s="277" t="s">
        <v>93</v>
      </c>
      <c r="D135" s="285">
        <v>356411.07333333336</v>
      </c>
      <c r="E135" s="278">
        <v>462089</v>
      </c>
      <c r="F135" s="286"/>
      <c r="G135" s="269">
        <v>12136</v>
      </c>
      <c r="H135" s="270"/>
      <c r="I135" s="260">
        <f t="shared" si="52"/>
        <v>2.6263338880605253E-2</v>
      </c>
      <c r="J135" s="260">
        <f t="shared" si="53"/>
        <v>0.10860250494396836</v>
      </c>
      <c r="K135" s="268">
        <v>1318</v>
      </c>
      <c r="L135" s="269">
        <v>1057</v>
      </c>
      <c r="M135" s="270"/>
      <c r="N135" s="287">
        <f t="shared" si="54"/>
        <v>0.80197268588770865</v>
      </c>
      <c r="O135" s="288">
        <f t="shared" si="55"/>
        <v>337.1911762850836</v>
      </c>
      <c r="P135" s="273">
        <f t="shared" si="56"/>
        <v>253680</v>
      </c>
      <c r="Q135" s="289">
        <f t="shared" si="57"/>
        <v>0.71176239735611646</v>
      </c>
      <c r="R135" s="275">
        <v>240</v>
      </c>
    </row>
    <row r="136" spans="2:18" ht="18" customHeight="1">
      <c r="B136" s="276" t="s">
        <v>779</v>
      </c>
      <c r="C136" s="277" t="s">
        <v>93</v>
      </c>
      <c r="D136" s="285">
        <v>1501080.908439782</v>
      </c>
      <c r="E136" s="268">
        <v>873413</v>
      </c>
      <c r="F136" s="286"/>
      <c r="G136" s="269">
        <v>30929</v>
      </c>
      <c r="H136" s="270"/>
      <c r="I136" s="260">
        <f t="shared" si="52"/>
        <v>3.5411655196338959E-2</v>
      </c>
      <c r="J136" s="260">
        <f t="shared" si="53"/>
        <v>8.9430631446215519E-2</v>
      </c>
      <c r="K136" s="268">
        <v>2766</v>
      </c>
      <c r="L136" s="269">
        <v>2268</v>
      </c>
      <c r="M136" s="270"/>
      <c r="N136" s="287">
        <f t="shared" si="54"/>
        <v>0.81995661605206072</v>
      </c>
      <c r="O136" s="288">
        <f t="shared" si="55"/>
        <v>661.85225239849296</v>
      </c>
      <c r="P136" s="273">
        <f t="shared" si="56"/>
        <v>929880</v>
      </c>
      <c r="Q136" s="289">
        <f t="shared" si="57"/>
        <v>0.61947360383559458</v>
      </c>
      <c r="R136" s="275">
        <v>410</v>
      </c>
    </row>
    <row r="137" spans="2:18" ht="18" customHeight="1">
      <c r="B137" s="276" t="s">
        <v>780</v>
      </c>
      <c r="C137" s="277" t="s">
        <v>93</v>
      </c>
      <c r="D137" s="285">
        <v>930727.14</v>
      </c>
      <c r="E137" s="268">
        <v>631052</v>
      </c>
      <c r="F137" s="286"/>
      <c r="G137" s="269">
        <v>14263</v>
      </c>
      <c r="H137" s="270"/>
      <c r="I137" s="260">
        <f t="shared" si="52"/>
        <v>2.2601940886012563E-2</v>
      </c>
      <c r="J137" s="260">
        <f t="shared" si="53"/>
        <v>7.8034074177942933E-2</v>
      </c>
      <c r="K137" s="268">
        <v>1113</v>
      </c>
      <c r="L137" s="269">
        <v>714</v>
      </c>
      <c r="M137" s="270"/>
      <c r="N137" s="287">
        <f t="shared" si="54"/>
        <v>0.64150943396226412</v>
      </c>
      <c r="O137" s="288">
        <f t="shared" si="55"/>
        <v>1303.5394117647058</v>
      </c>
      <c r="P137" s="273">
        <f t="shared" si="56"/>
        <v>737562</v>
      </c>
      <c r="Q137" s="289">
        <f t="shared" si="57"/>
        <v>0.79245781959253925</v>
      </c>
      <c r="R137" s="275">
        <v>1033</v>
      </c>
    </row>
    <row r="138" spans="2:18" ht="18" customHeight="1">
      <c r="B138" s="290" t="s">
        <v>781</v>
      </c>
      <c r="C138" s="277" t="s">
        <v>93</v>
      </c>
      <c r="D138" s="291">
        <v>22474.46</v>
      </c>
      <c r="E138" s="292">
        <v>7587</v>
      </c>
      <c r="F138" s="293"/>
      <c r="G138" s="294">
        <v>345</v>
      </c>
      <c r="H138" s="295"/>
      <c r="I138" s="260">
        <f t="shared" si="52"/>
        <v>4.5472518782127325E-2</v>
      </c>
      <c r="J138" s="260">
        <f t="shared" si="53"/>
        <v>8.9855072463768115E-2</v>
      </c>
      <c r="K138" s="292">
        <v>31</v>
      </c>
      <c r="L138" s="294">
        <v>25</v>
      </c>
      <c r="M138" s="295"/>
      <c r="N138" s="287">
        <f t="shared" si="54"/>
        <v>0.80645161290322576</v>
      </c>
      <c r="O138" s="288">
        <f t="shared" si="55"/>
        <v>898.97839999999997</v>
      </c>
      <c r="P138" s="273">
        <f t="shared" si="56"/>
        <v>14100</v>
      </c>
      <c r="Q138" s="289">
        <f t="shared" si="57"/>
        <v>0.62737881132627882</v>
      </c>
      <c r="R138" s="275">
        <v>564</v>
      </c>
    </row>
    <row r="139" spans="2:18" ht="18" hidden="1" customHeight="1">
      <c r="B139" s="276" t="s">
        <v>782</v>
      </c>
      <c r="C139" s="277" t="s">
        <v>94</v>
      </c>
      <c r="D139" s="285"/>
      <c r="E139" s="278"/>
      <c r="F139" s="279"/>
      <c r="G139" s="280"/>
      <c r="H139" s="281"/>
      <c r="I139" s="260" t="str">
        <f t="shared" si="52"/>
        <v>-</v>
      </c>
      <c r="J139" s="260" t="str">
        <f t="shared" si="53"/>
        <v>-</v>
      </c>
      <c r="K139" s="282"/>
      <c r="L139" s="283"/>
      <c r="M139" s="281"/>
      <c r="N139" s="271" t="str">
        <f t="shared" si="54"/>
        <v>-</v>
      </c>
      <c r="O139" s="272" t="str">
        <f t="shared" si="55"/>
        <v>-</v>
      </c>
      <c r="P139" s="273">
        <f t="shared" si="56"/>
        <v>0</v>
      </c>
      <c r="Q139" s="274" t="str">
        <f t="shared" si="57"/>
        <v>-</v>
      </c>
      <c r="R139" s="284"/>
    </row>
    <row r="140" spans="2:18" ht="18" hidden="1" customHeight="1">
      <c r="B140" s="296" t="s">
        <v>783</v>
      </c>
      <c r="C140" s="297" t="s">
        <v>93</v>
      </c>
      <c r="E140" s="273"/>
      <c r="F140" s="298"/>
      <c r="G140" s="299"/>
      <c r="H140" s="300"/>
      <c r="I140" s="260" t="str">
        <f t="shared" si="52"/>
        <v>-</v>
      </c>
      <c r="J140" s="260" t="str">
        <f t="shared" si="53"/>
        <v>-</v>
      </c>
      <c r="K140" s="301"/>
      <c r="L140" s="302"/>
      <c r="M140" s="300"/>
      <c r="N140" s="271" t="str">
        <f t="shared" si="54"/>
        <v>-</v>
      </c>
      <c r="O140" s="272" t="str">
        <f t="shared" si="55"/>
        <v>-</v>
      </c>
      <c r="P140" s="273">
        <f t="shared" si="56"/>
        <v>0</v>
      </c>
      <c r="Q140" s="274" t="str">
        <f t="shared" si="57"/>
        <v>-</v>
      </c>
      <c r="R140" s="303"/>
    </row>
    <row r="141" spans="2:18" ht="18" customHeight="1">
      <c r="B141" s="304" t="s">
        <v>784</v>
      </c>
      <c r="C141" s="305" t="s">
        <v>93</v>
      </c>
      <c r="D141" s="306">
        <v>5465908.3300000001</v>
      </c>
      <c r="E141" s="307">
        <v>2045627</v>
      </c>
      <c r="F141" s="307"/>
      <c r="G141" s="308">
        <v>124451</v>
      </c>
      <c r="H141" s="309"/>
      <c r="I141" s="260">
        <f t="shared" si="52"/>
        <v>6.0837581826989964E-2</v>
      </c>
      <c r="J141" s="260">
        <f t="shared" si="53"/>
        <v>6.1678893701135384E-2</v>
      </c>
      <c r="K141" s="310">
        <v>7676</v>
      </c>
      <c r="L141" s="311">
        <v>6012</v>
      </c>
      <c r="M141" s="309"/>
      <c r="N141" s="271">
        <f t="shared" si="54"/>
        <v>0.78322042730588848</v>
      </c>
      <c r="O141" s="272">
        <f t="shared" si="55"/>
        <v>909.16638888888895</v>
      </c>
      <c r="P141" s="273">
        <f t="shared" si="56"/>
        <v>4028040</v>
      </c>
      <c r="Q141" s="274">
        <f t="shared" si="57"/>
        <v>0.73693881360794788</v>
      </c>
      <c r="R141" s="312">
        <v>670</v>
      </c>
    </row>
    <row r="142" spans="2:18" ht="18" customHeight="1">
      <c r="B142" s="265" t="s">
        <v>785</v>
      </c>
      <c r="C142" s="313" t="s">
        <v>94</v>
      </c>
      <c r="D142" s="291">
        <v>647719.01</v>
      </c>
      <c r="E142" s="291">
        <v>763805</v>
      </c>
      <c r="F142" s="291">
        <v>0</v>
      </c>
      <c r="G142" s="308">
        <v>48193</v>
      </c>
      <c r="H142" s="314"/>
      <c r="I142" s="260">
        <f t="shared" si="52"/>
        <v>6.3095947264026814E-2</v>
      </c>
      <c r="J142" s="260">
        <f t="shared" si="53"/>
        <v>8.3414603780632035E-2</v>
      </c>
      <c r="K142" s="315">
        <v>4020</v>
      </c>
      <c r="L142" s="316">
        <v>2869</v>
      </c>
      <c r="M142" s="314"/>
      <c r="N142" s="271">
        <f t="shared" si="54"/>
        <v>0.71368159203980097</v>
      </c>
      <c r="O142" s="272">
        <f t="shared" si="55"/>
        <v>225.7647298710352</v>
      </c>
      <c r="P142" s="273">
        <f t="shared" si="56"/>
        <v>1571838.0000000002</v>
      </c>
      <c r="Q142" s="274">
        <f t="shared" si="57"/>
        <v>2.4267282196951423</v>
      </c>
      <c r="R142" s="317">
        <f>1571838/2869</f>
        <v>547.86964098989199</v>
      </c>
    </row>
    <row r="143" spans="2:18" ht="18" customHeight="1">
      <c r="B143" s="276" t="s">
        <v>785</v>
      </c>
      <c r="C143" s="277" t="s">
        <v>93</v>
      </c>
      <c r="D143" s="285">
        <v>387457.44</v>
      </c>
      <c r="E143" s="268">
        <v>266099</v>
      </c>
      <c r="F143" s="286"/>
      <c r="G143" s="269">
        <v>16022</v>
      </c>
      <c r="H143" s="270"/>
      <c r="I143" s="260">
        <f t="shared" si="52"/>
        <v>6.0210673471151714E-2</v>
      </c>
      <c r="J143" s="260">
        <f t="shared" si="53"/>
        <v>5.0617900386967916E-2</v>
      </c>
      <c r="K143" s="268">
        <v>811</v>
      </c>
      <c r="L143" s="269">
        <v>528</v>
      </c>
      <c r="M143" s="270"/>
      <c r="N143" s="271">
        <f t="shared" si="54"/>
        <v>0.65104808877928488</v>
      </c>
      <c r="O143" s="272">
        <f t="shared" si="55"/>
        <v>733.82090909090914</v>
      </c>
      <c r="P143" s="273">
        <f t="shared" si="56"/>
        <v>386496</v>
      </c>
      <c r="Q143" s="274">
        <f t="shared" si="57"/>
        <v>0.99751859197748272</v>
      </c>
      <c r="R143" s="275">
        <v>732</v>
      </c>
    </row>
    <row r="144" spans="2:18" ht="18" customHeight="1">
      <c r="B144" s="276" t="s">
        <v>785</v>
      </c>
      <c r="C144" s="277" t="s">
        <v>94</v>
      </c>
      <c r="D144" s="318">
        <v>260261.57</v>
      </c>
      <c r="E144" s="268">
        <v>497706</v>
      </c>
      <c r="F144" s="268"/>
      <c r="G144" s="269">
        <v>32171</v>
      </c>
      <c r="H144" s="270"/>
      <c r="I144" s="260">
        <f t="shared" si="52"/>
        <v>6.4638561721176754E-2</v>
      </c>
      <c r="J144" s="260">
        <f t="shared" si="53"/>
        <v>9.9748220446986419E-2</v>
      </c>
      <c r="K144" s="282">
        <v>3209</v>
      </c>
      <c r="L144" s="319">
        <v>2341</v>
      </c>
      <c r="M144" s="270"/>
      <c r="N144" s="271">
        <f t="shared" si="54"/>
        <v>0.72951075101277651</v>
      </c>
      <c r="O144" s="272">
        <f t="shared" si="55"/>
        <v>111.17538231524989</v>
      </c>
      <c r="P144" s="273">
        <f t="shared" si="56"/>
        <v>1185341.94</v>
      </c>
      <c r="Q144" s="274">
        <f t="shared" si="57"/>
        <v>4.554425534280762</v>
      </c>
      <c r="R144" s="275">
        <v>506.34</v>
      </c>
    </row>
    <row r="145" spans="2:18" ht="18" hidden="1" customHeight="1">
      <c r="B145" s="276" t="s">
        <v>786</v>
      </c>
      <c r="C145" s="277" t="s">
        <v>94</v>
      </c>
      <c r="D145" s="318"/>
      <c r="E145" s="268"/>
      <c r="F145" s="286"/>
      <c r="G145" s="269"/>
      <c r="H145" s="270"/>
      <c r="I145" s="260" t="str">
        <f t="shared" si="52"/>
        <v>-</v>
      </c>
      <c r="J145" s="260" t="str">
        <f t="shared" si="53"/>
        <v>-</v>
      </c>
      <c r="K145" s="282"/>
      <c r="L145" s="319"/>
      <c r="M145" s="270"/>
      <c r="N145" s="287" t="str">
        <f t="shared" si="54"/>
        <v>-</v>
      </c>
      <c r="O145" s="288" t="str">
        <f t="shared" si="55"/>
        <v>-</v>
      </c>
      <c r="P145" s="268">
        <f t="shared" si="56"/>
        <v>0</v>
      </c>
      <c r="Q145" s="289" t="str">
        <f t="shared" si="57"/>
        <v>-</v>
      </c>
      <c r="R145" s="275"/>
    </row>
    <row r="146" spans="2:18" ht="18" customHeight="1">
      <c r="B146" s="320" t="s">
        <v>787</v>
      </c>
      <c r="C146" s="321" t="s">
        <v>93</v>
      </c>
      <c r="D146" s="322">
        <v>1387294.79</v>
      </c>
      <c r="E146" s="323">
        <v>1028223</v>
      </c>
      <c r="F146" s="324"/>
      <c r="G146" s="325">
        <v>82022</v>
      </c>
      <c r="H146" s="326"/>
      <c r="I146" s="327">
        <f t="shared" si="52"/>
        <v>7.9770633413179831E-2</v>
      </c>
      <c r="J146" s="327">
        <f t="shared" si="53"/>
        <v>0.10072907268781546</v>
      </c>
      <c r="K146" s="328">
        <v>8262</v>
      </c>
      <c r="L146" s="329">
        <v>6638</v>
      </c>
      <c r="M146" s="326"/>
      <c r="N146" s="330">
        <f t="shared" si="54"/>
        <v>0.80343742435245702</v>
      </c>
      <c r="O146" s="331">
        <f t="shared" si="55"/>
        <v>208.99288791804761</v>
      </c>
      <c r="P146" s="332">
        <f t="shared" si="56"/>
        <v>1283059.02</v>
      </c>
      <c r="Q146" s="333">
        <f t="shared" si="57"/>
        <v>0.92486400817521985</v>
      </c>
      <c r="R146" s="334">
        <v>193.29</v>
      </c>
    </row>
    <row r="147" spans="2:18" ht="18" customHeight="1">
      <c r="G147" s="335" t="s">
        <v>788</v>
      </c>
      <c r="H147" s="336"/>
      <c r="I147" s="337">
        <f>SUM(G132:G138,G140)/SUM(E132:F138,E140)</f>
        <v>7.0812491490267665E-2</v>
      </c>
      <c r="J147" s="337">
        <f>SUM(K132:K138,K140)/SUM(G132:H138,G140)</f>
        <v>5.0941678167588697E-2</v>
      </c>
      <c r="K147" s="338"/>
      <c r="L147" s="338"/>
      <c r="M147" s="338"/>
      <c r="N147" s="338"/>
      <c r="O147" s="339">
        <f>SUM(D132:D138,D140)/SUM(L132:L138,L140)</f>
        <v>402.65821731776936</v>
      </c>
    </row>
    <row r="148" spans="2:18" ht="18" customHeight="1">
      <c r="D148" s="340"/>
      <c r="G148" s="335" t="s">
        <v>789</v>
      </c>
      <c r="H148" s="336"/>
      <c r="I148" s="337">
        <f>SUM(G141,G143)/SUM(E141,E143)</f>
        <v>6.0765419431195566E-2</v>
      </c>
      <c r="J148" s="337">
        <f>SUM(K141,K143)/SUM(G141,G143)</f>
        <v>6.0417304393015028E-2</v>
      </c>
      <c r="K148" s="338"/>
      <c r="L148" s="338"/>
      <c r="M148" s="338"/>
      <c r="N148" s="338"/>
      <c r="O148" s="339">
        <f>SUM(D141,D143)/SUM(L141,L143)</f>
        <v>895.01005657492362</v>
      </c>
    </row>
    <row r="149" spans="2:18" ht="18" customHeight="1">
      <c r="E149" s="341" t="s">
        <v>919</v>
      </c>
      <c r="G149" s="335" t="s">
        <v>790</v>
      </c>
      <c r="H149" s="336"/>
      <c r="I149" s="337">
        <v>9.9284336622418368E-2</v>
      </c>
      <c r="J149" s="337">
        <v>7.0519826342134981E-2</v>
      </c>
      <c r="K149" s="338"/>
      <c r="L149" s="338"/>
      <c r="M149" s="338"/>
      <c r="N149" s="338"/>
      <c r="O149" s="339">
        <v>192.44430637234015</v>
      </c>
    </row>
    <row r="150" spans="2:18" ht="18" customHeight="1">
      <c r="G150" s="335" t="s">
        <v>791</v>
      </c>
      <c r="H150" s="336"/>
      <c r="I150" s="337">
        <f>SUM(G132:G142,G145:G146)/SUM(E132:E142,E145:E146)</f>
        <v>7.0440561192774073E-2</v>
      </c>
      <c r="J150" s="337">
        <f>SUM(K132:K142,K145:K146)/SUM(G132:G142,G145:G146)</f>
        <v>5.3099964743808611E-2</v>
      </c>
      <c r="K150" s="338"/>
      <c r="L150" s="338"/>
      <c r="M150" s="338"/>
      <c r="N150" s="338"/>
      <c r="O150" s="339">
        <f>SUM(D132:D142,D145:D146)/SUM(L132:L142,L145:L146)</f>
        <v>412.65877047627998</v>
      </c>
    </row>
    <row r="151" spans="2:18" ht="18" customHeight="1">
      <c r="B151" s="246"/>
      <c r="C151" s="70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</row>
    <row r="152" spans="2:18" ht="18" customHeight="1">
      <c r="B152" s="246"/>
      <c r="C152" s="70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</row>
    <row r="153" spans="2:18" ht="18" customHeight="1">
      <c r="B153" s="246"/>
      <c r="C153" s="70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</row>
    <row r="154" spans="2:18" ht="18" customHeight="1">
      <c r="B154" s="246"/>
      <c r="C154" s="70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</row>
    <row r="155" spans="2:18" ht="18" customHeight="1">
      <c r="B155" s="246"/>
      <c r="C155" s="70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</row>
    <row r="156" spans="2:18" ht="18" customHeight="1">
      <c r="B156" s="248" t="s">
        <v>228</v>
      </c>
      <c r="C156" s="246"/>
      <c r="D156" s="246"/>
      <c r="E156" s="246"/>
      <c r="F156" s="246"/>
      <c r="G156" s="245"/>
      <c r="H156" s="245"/>
      <c r="I156" s="245"/>
      <c r="J156" s="245"/>
      <c r="K156" s="246"/>
      <c r="L156" s="245"/>
      <c r="M156" s="245" t="s">
        <v>219</v>
      </c>
      <c r="N156" s="246"/>
      <c r="O156" s="246"/>
      <c r="P156" s="246"/>
      <c r="Q156" s="246"/>
      <c r="R156" s="246"/>
    </row>
    <row r="157" spans="2:18" ht="55" customHeight="1">
      <c r="B157" s="249" t="s">
        <v>85</v>
      </c>
      <c r="C157" s="250" t="s">
        <v>86</v>
      </c>
      <c r="D157" s="251" t="s">
        <v>87</v>
      </c>
      <c r="E157" s="252" t="s">
        <v>23</v>
      </c>
      <c r="F157" s="251" t="s">
        <v>88</v>
      </c>
      <c r="G157" s="251" t="s">
        <v>21</v>
      </c>
      <c r="H157" s="251" t="s">
        <v>89</v>
      </c>
      <c r="I157" s="251" t="s">
        <v>20</v>
      </c>
      <c r="J157" s="251" t="s">
        <v>19</v>
      </c>
      <c r="K157" s="252" t="s">
        <v>18</v>
      </c>
      <c r="L157" s="251" t="s">
        <v>17</v>
      </c>
      <c r="M157" s="251" t="s">
        <v>90</v>
      </c>
      <c r="N157" s="251" t="s">
        <v>16</v>
      </c>
      <c r="O157" s="251" t="s">
        <v>14</v>
      </c>
      <c r="P157" s="251" t="s">
        <v>91</v>
      </c>
      <c r="Q157" s="251" t="s">
        <v>12</v>
      </c>
      <c r="R157" s="253" t="s">
        <v>92</v>
      </c>
    </row>
    <row r="158" spans="2:18" ht="25" customHeight="1">
      <c r="B158" s="254" t="s">
        <v>775</v>
      </c>
      <c r="C158" s="255" t="s">
        <v>93</v>
      </c>
      <c r="D158" s="256">
        <v>16459937.299000001</v>
      </c>
      <c r="E158" s="257">
        <v>13387615</v>
      </c>
      <c r="F158" s="257"/>
      <c r="G158" s="258">
        <v>642510</v>
      </c>
      <c r="H158" s="259"/>
      <c r="I158" s="260">
        <f t="shared" ref="I158:I171" si="58">IFERROR(G158/E158,"-")</f>
        <v>4.7992865047284373E-2</v>
      </c>
      <c r="J158" s="260">
        <f t="shared" ref="J158:J171" si="59">IFERROR(K158/G158,"-")</f>
        <v>5.0210891659273789E-2</v>
      </c>
      <c r="K158" s="257">
        <v>32261</v>
      </c>
      <c r="L158" s="258">
        <v>23314</v>
      </c>
      <c r="M158" s="259" t="e">
        <v>#REF!</v>
      </c>
      <c r="N158" s="261">
        <f t="shared" ref="N158:N171" si="60">IFERROR(L158/K158,"-")</f>
        <v>0.72266823719041562</v>
      </c>
      <c r="O158" s="262">
        <f t="shared" ref="O158:O171" si="61">IFERROR(D158/L158,"-")</f>
        <v>706.01086467358675</v>
      </c>
      <c r="P158" s="257">
        <f t="shared" ref="P158:P171" si="62">IFERROR(L158*$R158,"-")</f>
        <v>23663710</v>
      </c>
      <c r="Q158" s="263">
        <f t="shared" ref="Q158:Q171" si="63">IFERROR(P158/D158,"-")</f>
        <v>1.437654929672038</v>
      </c>
      <c r="R158" s="264">
        <v>1015</v>
      </c>
    </row>
    <row r="159" spans="2:18" ht="18" customHeight="1">
      <c r="B159" s="265" t="s">
        <v>776</v>
      </c>
      <c r="C159" s="266" t="s">
        <v>93</v>
      </c>
      <c r="D159" s="267">
        <v>5917896.6299999999</v>
      </c>
      <c r="E159" s="268">
        <v>6957141</v>
      </c>
      <c r="F159" s="268"/>
      <c r="G159" s="269">
        <v>118779</v>
      </c>
      <c r="H159" s="270"/>
      <c r="I159" s="260">
        <f t="shared" si="58"/>
        <v>1.7072961436314142E-2</v>
      </c>
      <c r="J159" s="260">
        <f t="shared" si="59"/>
        <v>3.3145589708618528E-2</v>
      </c>
      <c r="K159" s="268">
        <v>3937</v>
      </c>
      <c r="L159" s="269">
        <v>2700</v>
      </c>
      <c r="M159" s="270"/>
      <c r="N159" s="271">
        <f t="shared" si="60"/>
        <v>0.68580137160274324</v>
      </c>
      <c r="O159" s="272">
        <f t="shared" si="61"/>
        <v>2191.8135666666667</v>
      </c>
      <c r="P159" s="273">
        <f t="shared" si="62"/>
        <v>5940000</v>
      </c>
      <c r="Q159" s="274">
        <f t="shared" si="63"/>
        <v>1.0037350044081457</v>
      </c>
      <c r="R159" s="275">
        <v>2200</v>
      </c>
    </row>
    <row r="160" spans="2:18" ht="18" customHeight="1">
      <c r="B160" s="276" t="s">
        <v>777</v>
      </c>
      <c r="C160" s="277" t="s">
        <v>93</v>
      </c>
      <c r="D160" s="285">
        <v>1228689.1299999999</v>
      </c>
      <c r="E160" s="278">
        <v>1022234</v>
      </c>
      <c r="F160" s="279"/>
      <c r="G160" s="280">
        <v>47077</v>
      </c>
      <c r="H160" s="281"/>
      <c r="I160" s="260">
        <f t="shared" si="58"/>
        <v>4.6053056345220368E-2</v>
      </c>
      <c r="J160" s="260">
        <f t="shared" si="59"/>
        <v>5.8627355184060155E-2</v>
      </c>
      <c r="K160" s="282">
        <v>2760</v>
      </c>
      <c r="L160" s="283">
        <v>2148</v>
      </c>
      <c r="M160" s="281"/>
      <c r="N160" s="271">
        <f t="shared" si="60"/>
        <v>0.77826086956521734</v>
      </c>
      <c r="O160" s="272">
        <f t="shared" si="61"/>
        <v>572.01542364990689</v>
      </c>
      <c r="P160" s="273">
        <f t="shared" si="62"/>
        <v>846312</v>
      </c>
      <c r="Q160" s="274">
        <f t="shared" si="63"/>
        <v>0.68879261591579322</v>
      </c>
      <c r="R160" s="284">
        <v>394</v>
      </c>
    </row>
    <row r="161" spans="2:19" ht="18" customHeight="1">
      <c r="B161" s="276" t="s">
        <v>778</v>
      </c>
      <c r="C161" s="277" t="s">
        <v>93</v>
      </c>
      <c r="D161" s="285">
        <v>801940.22</v>
      </c>
      <c r="E161" s="278">
        <v>334689</v>
      </c>
      <c r="F161" s="286"/>
      <c r="G161" s="269">
        <v>7118</v>
      </c>
      <c r="H161" s="270"/>
      <c r="I161" s="260">
        <f t="shared" si="58"/>
        <v>2.126750505693345E-2</v>
      </c>
      <c r="J161" s="260">
        <f t="shared" si="59"/>
        <v>0.11787018825512785</v>
      </c>
      <c r="K161" s="268">
        <v>839</v>
      </c>
      <c r="L161" s="269">
        <v>673</v>
      </c>
      <c r="M161" s="270"/>
      <c r="N161" s="287">
        <f t="shared" si="60"/>
        <v>0.80214541120381411</v>
      </c>
      <c r="O161" s="288">
        <f t="shared" si="61"/>
        <v>1191.5902228826151</v>
      </c>
      <c r="P161" s="273">
        <f t="shared" si="62"/>
        <v>161520</v>
      </c>
      <c r="Q161" s="289">
        <f t="shared" si="63"/>
        <v>0.20141152167177748</v>
      </c>
      <c r="R161" s="275">
        <v>240</v>
      </c>
    </row>
    <row r="162" spans="2:19" ht="18" customHeight="1">
      <c r="B162" s="276" t="s">
        <v>779</v>
      </c>
      <c r="C162" s="277" t="s">
        <v>93</v>
      </c>
      <c r="D162" s="285">
        <v>813674.52738698246</v>
      </c>
      <c r="E162" s="268">
        <v>472593</v>
      </c>
      <c r="F162" s="286"/>
      <c r="G162" s="269">
        <v>11861</v>
      </c>
      <c r="H162" s="270"/>
      <c r="I162" s="260">
        <f t="shared" si="58"/>
        <v>2.5097705636774138E-2</v>
      </c>
      <c r="J162" s="260">
        <f t="shared" si="59"/>
        <v>8.6417671359919068E-2</v>
      </c>
      <c r="K162" s="268">
        <v>1025</v>
      </c>
      <c r="L162" s="269">
        <v>854</v>
      </c>
      <c r="M162" s="270"/>
      <c r="N162" s="287">
        <f t="shared" si="60"/>
        <v>0.83317073170731704</v>
      </c>
      <c r="O162" s="288">
        <f t="shared" si="61"/>
        <v>952.78047703393736</v>
      </c>
      <c r="P162" s="273">
        <f t="shared" si="62"/>
        <v>350140</v>
      </c>
      <c r="Q162" s="289">
        <f t="shared" si="63"/>
        <v>0.43031948059678399</v>
      </c>
      <c r="R162" s="275">
        <v>410</v>
      </c>
    </row>
    <row r="163" spans="2:19" ht="18" customHeight="1">
      <c r="B163" s="276" t="s">
        <v>780</v>
      </c>
      <c r="C163" s="277" t="s">
        <v>93</v>
      </c>
      <c r="D163" s="285">
        <v>665524.97</v>
      </c>
      <c r="E163" s="268">
        <v>483134</v>
      </c>
      <c r="F163" s="286"/>
      <c r="G163" s="269">
        <v>6831</v>
      </c>
      <c r="H163" s="270"/>
      <c r="I163" s="260">
        <f t="shared" si="58"/>
        <v>1.4138934539899903E-2</v>
      </c>
      <c r="J163" s="260">
        <f t="shared" si="59"/>
        <v>5.9142146098667837E-2</v>
      </c>
      <c r="K163" s="268">
        <v>404</v>
      </c>
      <c r="L163" s="269">
        <v>265</v>
      </c>
      <c r="M163" s="270"/>
      <c r="N163" s="287">
        <f t="shared" si="60"/>
        <v>0.65594059405940597</v>
      </c>
      <c r="O163" s="288">
        <f t="shared" si="61"/>
        <v>2511.4149811320754</v>
      </c>
      <c r="P163" s="273">
        <f t="shared" si="62"/>
        <v>273745</v>
      </c>
      <c r="Q163" s="289">
        <f t="shared" si="63"/>
        <v>0.41132190727569545</v>
      </c>
      <c r="R163" s="275">
        <v>1033</v>
      </c>
    </row>
    <row r="164" spans="2:19" ht="18" hidden="1" customHeight="1">
      <c r="B164" s="290" t="s">
        <v>781</v>
      </c>
      <c r="C164" s="277" t="s">
        <v>93</v>
      </c>
      <c r="D164" s="291"/>
      <c r="E164" s="292"/>
      <c r="F164" s="293"/>
      <c r="G164" s="294"/>
      <c r="H164" s="295"/>
      <c r="I164" s="260" t="str">
        <f t="shared" si="58"/>
        <v>-</v>
      </c>
      <c r="J164" s="260" t="str">
        <f t="shared" si="59"/>
        <v>-</v>
      </c>
      <c r="K164" s="292"/>
      <c r="L164" s="294"/>
      <c r="M164" s="295"/>
      <c r="N164" s="287" t="str">
        <f t="shared" si="60"/>
        <v>-</v>
      </c>
      <c r="O164" s="288" t="str">
        <f t="shared" si="61"/>
        <v>-</v>
      </c>
      <c r="P164" s="273">
        <f t="shared" si="62"/>
        <v>0</v>
      </c>
      <c r="Q164" s="289" t="str">
        <f t="shared" si="63"/>
        <v>-</v>
      </c>
      <c r="R164" s="275"/>
    </row>
    <row r="165" spans="2:19" ht="18" hidden="1" customHeight="1">
      <c r="B165" s="276" t="s">
        <v>782</v>
      </c>
      <c r="C165" s="277" t="s">
        <v>94</v>
      </c>
      <c r="D165" s="285"/>
      <c r="E165" s="278"/>
      <c r="F165" s="279"/>
      <c r="G165" s="280"/>
      <c r="H165" s="281"/>
      <c r="I165" s="260" t="str">
        <f t="shared" si="58"/>
        <v>-</v>
      </c>
      <c r="J165" s="260" t="str">
        <f t="shared" si="59"/>
        <v>-</v>
      </c>
      <c r="K165" s="282"/>
      <c r="L165" s="283"/>
      <c r="M165" s="281"/>
      <c r="N165" s="271" t="str">
        <f t="shared" si="60"/>
        <v>-</v>
      </c>
      <c r="O165" s="272" t="str">
        <f t="shared" si="61"/>
        <v>-</v>
      </c>
      <c r="P165" s="273">
        <f t="shared" si="62"/>
        <v>0</v>
      </c>
      <c r="Q165" s="274" t="str">
        <f t="shared" si="63"/>
        <v>-</v>
      </c>
      <c r="R165" s="284"/>
    </row>
    <row r="166" spans="2:19" ht="18" hidden="1" customHeight="1">
      <c r="B166" s="296" t="s">
        <v>783</v>
      </c>
      <c r="C166" s="297" t="s">
        <v>93</v>
      </c>
      <c r="E166" s="273"/>
      <c r="F166" s="298"/>
      <c r="G166" s="299"/>
      <c r="H166" s="300"/>
      <c r="I166" s="260" t="str">
        <f t="shared" si="58"/>
        <v>-</v>
      </c>
      <c r="J166" s="260" t="str">
        <f t="shared" si="59"/>
        <v>-</v>
      </c>
      <c r="K166" s="301"/>
      <c r="L166" s="302"/>
      <c r="M166" s="300"/>
      <c r="N166" s="271" t="str">
        <f t="shared" si="60"/>
        <v>-</v>
      </c>
      <c r="O166" s="272" t="str">
        <f t="shared" si="61"/>
        <v>-</v>
      </c>
      <c r="P166" s="273">
        <f t="shared" si="62"/>
        <v>0</v>
      </c>
      <c r="Q166" s="274" t="str">
        <f t="shared" si="63"/>
        <v>-</v>
      </c>
      <c r="R166" s="303"/>
    </row>
    <row r="167" spans="2:19" ht="18" customHeight="1">
      <c r="B167" s="304" t="s">
        <v>784</v>
      </c>
      <c r="C167" s="305" t="s">
        <v>93</v>
      </c>
      <c r="D167" s="306">
        <v>3069828.27</v>
      </c>
      <c r="E167" s="307">
        <v>1269720</v>
      </c>
      <c r="F167" s="307"/>
      <c r="G167" s="308">
        <v>69303</v>
      </c>
      <c r="H167" s="309"/>
      <c r="I167" s="260">
        <f t="shared" si="58"/>
        <v>5.4581325016539083E-2</v>
      </c>
      <c r="J167" s="260">
        <f t="shared" si="59"/>
        <v>6.2190669956567537E-2</v>
      </c>
      <c r="K167" s="310">
        <v>4310</v>
      </c>
      <c r="L167" s="311">
        <v>3266</v>
      </c>
      <c r="M167" s="309"/>
      <c r="N167" s="271">
        <f t="shared" si="60"/>
        <v>0.75777262180974481</v>
      </c>
      <c r="O167" s="272">
        <f t="shared" si="61"/>
        <v>939.93517146356396</v>
      </c>
      <c r="P167" s="273">
        <f t="shared" si="62"/>
        <v>2188220</v>
      </c>
      <c r="Q167" s="274">
        <f t="shared" si="63"/>
        <v>0.71281511783067919</v>
      </c>
      <c r="R167" s="312">
        <v>670</v>
      </c>
    </row>
    <row r="168" spans="2:19" ht="18" customHeight="1">
      <c r="B168" s="276" t="s">
        <v>785</v>
      </c>
      <c r="C168" s="277" t="s">
        <v>93</v>
      </c>
      <c r="D168" s="285">
        <v>242868</v>
      </c>
      <c r="E168" s="268">
        <v>78483</v>
      </c>
      <c r="F168" s="286"/>
      <c r="G168" s="269">
        <v>7526</v>
      </c>
      <c r="H168" s="270"/>
      <c r="I168" s="260">
        <f t="shared" si="58"/>
        <v>9.589337818381051E-2</v>
      </c>
      <c r="J168" s="260">
        <f t="shared" si="59"/>
        <v>4.1190539463194259E-2</v>
      </c>
      <c r="K168" s="268">
        <v>310</v>
      </c>
      <c r="L168" s="269">
        <v>180</v>
      </c>
      <c r="M168" s="270"/>
      <c r="N168" s="271">
        <f t="shared" si="60"/>
        <v>0.58064516129032262</v>
      </c>
      <c r="O168" s="272">
        <f t="shared" si="61"/>
        <v>1349.2666666666667</v>
      </c>
      <c r="P168" s="273">
        <f t="shared" si="62"/>
        <v>131760</v>
      </c>
      <c r="Q168" s="274">
        <f t="shared" si="63"/>
        <v>0.54251692277286423</v>
      </c>
      <c r="R168" s="275">
        <v>732</v>
      </c>
    </row>
    <row r="169" spans="2:19" ht="18" hidden="1" customHeight="1">
      <c r="B169" s="276" t="s">
        <v>785</v>
      </c>
      <c r="C169" s="277" t="s">
        <v>93</v>
      </c>
      <c r="D169" s="318"/>
      <c r="E169" s="268"/>
      <c r="F169" s="268"/>
      <c r="G169" s="269"/>
      <c r="H169" s="270"/>
      <c r="I169" s="260" t="str">
        <f t="shared" si="58"/>
        <v>-</v>
      </c>
      <c r="J169" s="260" t="str">
        <f t="shared" si="59"/>
        <v>-</v>
      </c>
      <c r="K169" s="282"/>
      <c r="L169" s="319"/>
      <c r="M169" s="270"/>
      <c r="N169" s="271" t="str">
        <f t="shared" si="60"/>
        <v>-</v>
      </c>
      <c r="O169" s="272" t="str">
        <f t="shared" si="61"/>
        <v>-</v>
      </c>
      <c r="P169" s="273">
        <f t="shared" si="62"/>
        <v>0</v>
      </c>
      <c r="Q169" s="274" t="str">
        <f t="shared" si="63"/>
        <v>-</v>
      </c>
      <c r="R169" s="275"/>
      <c r="S169" s="708" t="s">
        <v>792</v>
      </c>
    </row>
    <row r="170" spans="2:19" ht="18" hidden="1" customHeight="1">
      <c r="B170" s="276" t="s">
        <v>786</v>
      </c>
      <c r="C170" s="277" t="s">
        <v>94</v>
      </c>
      <c r="D170" s="318"/>
      <c r="E170" s="268"/>
      <c r="F170" s="286"/>
      <c r="G170" s="269"/>
      <c r="H170" s="270"/>
      <c r="I170" s="260" t="str">
        <f t="shared" si="58"/>
        <v>-</v>
      </c>
      <c r="J170" s="260" t="str">
        <f t="shared" si="59"/>
        <v>-</v>
      </c>
      <c r="K170" s="282"/>
      <c r="L170" s="319"/>
      <c r="M170" s="270"/>
      <c r="N170" s="287" t="str">
        <f t="shared" si="60"/>
        <v>-</v>
      </c>
      <c r="O170" s="288" t="str">
        <f t="shared" si="61"/>
        <v>-</v>
      </c>
      <c r="P170" s="268">
        <f t="shared" si="62"/>
        <v>0</v>
      </c>
      <c r="Q170" s="289" t="str">
        <f t="shared" si="63"/>
        <v>-</v>
      </c>
      <c r="R170" s="275"/>
    </row>
    <row r="171" spans="2:19" ht="18" customHeight="1">
      <c r="B171" s="320" t="s">
        <v>787</v>
      </c>
      <c r="C171" s="321" t="s">
        <v>93</v>
      </c>
      <c r="D171" s="322">
        <v>670811</v>
      </c>
      <c r="E171" s="323">
        <v>545164</v>
      </c>
      <c r="F171" s="324"/>
      <c r="G171" s="325">
        <v>34332</v>
      </c>
      <c r="H171" s="326"/>
      <c r="I171" s="327">
        <f t="shared" si="58"/>
        <v>6.2975544973622621E-2</v>
      </c>
      <c r="J171" s="327">
        <f t="shared" si="59"/>
        <v>9.393568682278923E-2</v>
      </c>
      <c r="K171" s="328">
        <v>3225</v>
      </c>
      <c r="L171" s="329">
        <v>2594</v>
      </c>
      <c r="M171" s="326"/>
      <c r="N171" s="330">
        <f t="shared" si="60"/>
        <v>0.80434108527131787</v>
      </c>
      <c r="O171" s="331">
        <f t="shared" si="61"/>
        <v>258.60100231303005</v>
      </c>
      <c r="P171" s="332">
        <f t="shared" si="62"/>
        <v>453950</v>
      </c>
      <c r="Q171" s="333">
        <f t="shared" si="63"/>
        <v>0.67671818142517037</v>
      </c>
      <c r="R171" s="334">
        <v>175</v>
      </c>
    </row>
    <row r="172" spans="2:19" ht="18" customHeight="1">
      <c r="G172" s="335" t="s">
        <v>788</v>
      </c>
      <c r="H172" s="336"/>
      <c r="I172" s="337">
        <f>SUM(G158:G164,G166)/SUM(E158:F164,E166)</f>
        <v>3.6816924232191454E-2</v>
      </c>
      <c r="J172" s="337">
        <f>SUM(K158:K164,K166)/SUM(G158:H164,G166)</f>
        <v>4.9421225257020099E-2</v>
      </c>
      <c r="K172" s="338"/>
      <c r="L172" s="338"/>
      <c r="M172" s="338"/>
      <c r="N172" s="338"/>
      <c r="O172" s="339">
        <f>SUM(D158:D164,D167)/SUM(L158:L164,L166)</f>
        <v>966.73202398300657</v>
      </c>
    </row>
    <row r="173" spans="2:19" ht="18" customHeight="1">
      <c r="G173" s="335" t="s">
        <v>793</v>
      </c>
      <c r="H173" s="336"/>
      <c r="I173" s="337" t="str">
        <f>I165</f>
        <v>-</v>
      </c>
      <c r="J173" s="337" t="str">
        <f>J165</f>
        <v>-</v>
      </c>
      <c r="K173" s="338"/>
      <c r="L173" s="338"/>
      <c r="M173" s="338"/>
      <c r="N173" s="338"/>
      <c r="O173" s="339" t="str">
        <f>O165</f>
        <v>-</v>
      </c>
    </row>
    <row r="174" spans="2:19" ht="18" customHeight="1">
      <c r="D174" s="340"/>
      <c r="G174" s="335" t="s">
        <v>789</v>
      </c>
      <c r="H174" s="336"/>
      <c r="I174" s="337">
        <f>SUM(G167:G168)/SUM(E167:E168)</f>
        <v>5.6986225368138181E-2</v>
      </c>
      <c r="J174" s="337">
        <f>SUM(K167:K168)/SUM(G167:H168)</f>
        <v>6.0133543323484619E-2</v>
      </c>
      <c r="K174" s="338"/>
      <c r="L174" s="338"/>
      <c r="M174" s="338"/>
      <c r="N174" s="338"/>
      <c r="O174" s="339">
        <f>SUM(D167:D168)/SUM(L167:L168)</f>
        <v>961.31638711549624</v>
      </c>
    </row>
    <row r="175" spans="2:19" ht="18" customHeight="1">
      <c r="G175" s="335" t="s">
        <v>790</v>
      </c>
      <c r="H175" s="336"/>
      <c r="I175" s="337">
        <f>SUM(G169:G171)/SUM(E169:E171)</f>
        <v>6.2975544973622621E-2</v>
      </c>
      <c r="J175" s="337">
        <f>SUM(K169:K171)/SUM(G169:G171)</f>
        <v>9.393568682278923E-2</v>
      </c>
      <c r="K175" s="338"/>
      <c r="L175" s="338"/>
      <c r="M175" s="338"/>
      <c r="N175" s="338"/>
      <c r="O175" s="339">
        <f>SUM(D169:D171)/SUM(L169:L171)</f>
        <v>258.60100231303005</v>
      </c>
    </row>
    <row r="176" spans="2:19" ht="18" customHeight="1">
      <c r="G176" s="335" t="s">
        <v>791</v>
      </c>
      <c r="H176" s="336"/>
      <c r="I176" s="337">
        <f>SUM(G158:G171)/SUM(E158:E171)</f>
        <v>3.8505386368078917E-2</v>
      </c>
      <c r="J176" s="337">
        <f>SUM(K158:K171)/SUM(G158:G171)</f>
        <v>5.1908472851480481E-2</v>
      </c>
      <c r="K176" s="338"/>
      <c r="L176" s="338"/>
      <c r="M176" s="338"/>
      <c r="N176" s="338"/>
      <c r="O176" s="339">
        <f>SUM(D158:D171)/SUM(L158:L171)</f>
        <v>829.89303901725236</v>
      </c>
    </row>
    <row r="177" spans="2:18" ht="18" customHeight="1">
      <c r="B177" s="246"/>
      <c r="C177" s="70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</row>
    <row r="178" spans="2:18" ht="18" customHeight="1">
      <c r="B178" s="246"/>
      <c r="C178" s="70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</row>
    <row r="179" spans="2:18" ht="18" customHeight="1">
      <c r="B179" s="246"/>
      <c r="C179" s="70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</row>
    <row r="180" spans="2:18" ht="18" customHeight="1">
      <c r="B180" s="248" t="s">
        <v>229</v>
      </c>
      <c r="C180" s="246"/>
      <c r="D180" s="246"/>
      <c r="E180" s="246"/>
      <c r="F180" s="246"/>
      <c r="G180" s="245"/>
      <c r="H180" s="245"/>
      <c r="I180" s="245"/>
      <c r="J180" s="245"/>
      <c r="K180" s="246"/>
      <c r="L180" s="245"/>
      <c r="M180" s="245" t="s">
        <v>219</v>
      </c>
      <c r="N180" s="246"/>
      <c r="O180" s="246"/>
      <c r="P180" s="246"/>
      <c r="Q180" s="246"/>
      <c r="R180" s="246"/>
    </row>
    <row r="181" spans="2:18" ht="55" customHeight="1">
      <c r="B181" s="249" t="s">
        <v>85</v>
      </c>
      <c r="C181" s="250" t="s">
        <v>86</v>
      </c>
      <c r="D181" s="251" t="s">
        <v>87</v>
      </c>
      <c r="E181" s="252" t="s">
        <v>23</v>
      </c>
      <c r="F181" s="251" t="s">
        <v>88</v>
      </c>
      <c r="G181" s="251" t="s">
        <v>21</v>
      </c>
      <c r="H181" s="251" t="s">
        <v>89</v>
      </c>
      <c r="I181" s="251" t="s">
        <v>20</v>
      </c>
      <c r="J181" s="251" t="s">
        <v>19</v>
      </c>
      <c r="K181" s="252" t="s">
        <v>18</v>
      </c>
      <c r="L181" s="251" t="s">
        <v>17</v>
      </c>
      <c r="M181" s="251" t="s">
        <v>90</v>
      </c>
      <c r="N181" s="251" t="s">
        <v>16</v>
      </c>
      <c r="O181" s="251" t="s">
        <v>14</v>
      </c>
      <c r="P181" s="251" t="s">
        <v>91</v>
      </c>
      <c r="Q181" s="251" t="s">
        <v>12</v>
      </c>
      <c r="R181" s="253" t="s">
        <v>92</v>
      </c>
    </row>
    <row r="182" spans="2:18" ht="25" customHeight="1">
      <c r="B182" s="254" t="s">
        <v>775</v>
      </c>
      <c r="C182" s="255" t="s">
        <v>93</v>
      </c>
      <c r="D182" s="256">
        <v>26649952.852857143</v>
      </c>
      <c r="E182" s="257">
        <v>11941786</v>
      </c>
      <c r="F182" s="257"/>
      <c r="G182" s="258">
        <v>709887</v>
      </c>
      <c r="H182" s="259"/>
      <c r="I182" s="260">
        <v>5.9445630661946212E-2</v>
      </c>
      <c r="J182" s="260">
        <v>5.8703709181883876E-2</v>
      </c>
      <c r="K182" s="257">
        <v>41673</v>
      </c>
      <c r="L182" s="258">
        <v>30351</v>
      </c>
      <c r="M182" s="259" t="e">
        <v>#REF!</v>
      </c>
      <c r="N182" s="261">
        <v>0.72831329637895037</v>
      </c>
      <c r="O182" s="262">
        <v>878.05847757428558</v>
      </c>
      <c r="P182" s="257">
        <v>30806265</v>
      </c>
      <c r="Q182" s="263">
        <v>1.1559594559169082</v>
      </c>
      <c r="R182" s="264">
        <v>1015</v>
      </c>
    </row>
    <row r="183" spans="2:18" ht="18" customHeight="1">
      <c r="B183" s="265" t="s">
        <v>776</v>
      </c>
      <c r="C183" s="266" t="s">
        <v>93</v>
      </c>
      <c r="D183" s="267">
        <v>3677424.05</v>
      </c>
      <c r="E183" s="268">
        <v>4944499</v>
      </c>
      <c r="F183" s="268"/>
      <c r="G183" s="269">
        <v>56003</v>
      </c>
      <c r="H183" s="270"/>
      <c r="I183" s="260">
        <f t="shared" ref="I183:I195" si="64">IFERROR(G183/E183,"-")</f>
        <v>1.1326324466846893E-2</v>
      </c>
      <c r="J183" s="260">
        <f t="shared" ref="J183:J195" si="65">IFERROR(K183/G183,"-")</f>
        <v>3.1569737335499885E-2</v>
      </c>
      <c r="K183" s="268">
        <v>1768</v>
      </c>
      <c r="L183" s="269">
        <v>1154</v>
      </c>
      <c r="M183" s="270"/>
      <c r="N183" s="271">
        <f t="shared" ref="N183:N195" si="66">IFERROR(L183/K183,"-")</f>
        <v>0.65271493212669685</v>
      </c>
      <c r="O183" s="272">
        <f t="shared" ref="O183:O189" si="67">IFERROR(D183/L183,"-")</f>
        <v>3186.6759532062392</v>
      </c>
      <c r="P183" s="273">
        <f t="shared" ref="P183:P195" si="68">IFERROR(L183*$R183,"-")</f>
        <v>2538800</v>
      </c>
      <c r="Q183" s="274">
        <f t="shared" ref="Q183:Q189" si="69">IFERROR(P183/D183,"-")</f>
        <v>0.69037455715774743</v>
      </c>
      <c r="R183" s="275">
        <v>2200</v>
      </c>
    </row>
    <row r="184" spans="2:18" ht="18" customHeight="1">
      <c r="B184" s="276" t="s">
        <v>777</v>
      </c>
      <c r="C184" s="277" t="s">
        <v>93</v>
      </c>
      <c r="D184" s="285">
        <v>165985.31400000001</v>
      </c>
      <c r="E184" s="278">
        <v>263626</v>
      </c>
      <c r="F184" s="279"/>
      <c r="G184" s="280">
        <v>5817</v>
      </c>
      <c r="H184" s="281"/>
      <c r="I184" s="260">
        <f t="shared" si="64"/>
        <v>2.2065350155144031E-2</v>
      </c>
      <c r="J184" s="260">
        <f t="shared" si="65"/>
        <v>5.5354993983152828E-2</v>
      </c>
      <c r="K184" s="282">
        <v>322</v>
      </c>
      <c r="L184" s="283">
        <v>258</v>
      </c>
      <c r="M184" s="281"/>
      <c r="N184" s="271">
        <f t="shared" si="66"/>
        <v>0.80124223602484468</v>
      </c>
      <c r="O184" s="272">
        <f t="shared" si="67"/>
        <v>643.35393023255824</v>
      </c>
      <c r="P184" s="273">
        <f t="shared" si="68"/>
        <v>101652</v>
      </c>
      <c r="Q184" s="274">
        <f t="shared" si="69"/>
        <v>0.61241562611979028</v>
      </c>
      <c r="R184" s="284">
        <v>394</v>
      </c>
    </row>
    <row r="185" spans="2:18" ht="18" customHeight="1">
      <c r="B185" s="276" t="s">
        <v>778</v>
      </c>
      <c r="C185" s="277" t="s">
        <v>93</v>
      </c>
      <c r="D185" s="285">
        <v>912845.13</v>
      </c>
      <c r="E185" s="278">
        <v>1005364</v>
      </c>
      <c r="F185" s="286"/>
      <c r="G185" s="269">
        <v>15390</v>
      </c>
      <c r="H185" s="270"/>
      <c r="I185" s="260">
        <f t="shared" si="64"/>
        <v>1.5307888486160236E-2</v>
      </c>
      <c r="J185" s="260">
        <f t="shared" si="65"/>
        <v>0.12501624431448993</v>
      </c>
      <c r="K185" s="268">
        <v>1924</v>
      </c>
      <c r="L185" s="269">
        <v>1623</v>
      </c>
      <c r="M185" s="270"/>
      <c r="N185" s="287">
        <f t="shared" si="66"/>
        <v>0.8435550935550935</v>
      </c>
      <c r="O185" s="288">
        <f t="shared" si="67"/>
        <v>562.44308687615523</v>
      </c>
      <c r="P185" s="273">
        <f t="shared" si="68"/>
        <v>389520</v>
      </c>
      <c r="Q185" s="289">
        <f t="shared" si="69"/>
        <v>0.42670984069334961</v>
      </c>
      <c r="R185" s="275">
        <v>240</v>
      </c>
    </row>
    <row r="186" spans="2:18" ht="18" customHeight="1">
      <c r="B186" s="276" t="s">
        <v>779</v>
      </c>
      <c r="C186" s="277" t="s">
        <v>93</v>
      </c>
      <c r="D186" s="285">
        <v>562786.73278304492</v>
      </c>
      <c r="E186" s="268">
        <v>689852</v>
      </c>
      <c r="F186" s="286"/>
      <c r="G186" s="269">
        <v>19909</v>
      </c>
      <c r="H186" s="270"/>
      <c r="I186" s="260">
        <f t="shared" si="64"/>
        <v>2.8859813409252998E-2</v>
      </c>
      <c r="J186" s="260">
        <f t="shared" si="65"/>
        <v>0.11020141644482395</v>
      </c>
      <c r="K186" s="268">
        <v>2194</v>
      </c>
      <c r="L186" s="269">
        <v>1842</v>
      </c>
      <c r="M186" s="270"/>
      <c r="N186" s="287">
        <f t="shared" si="66"/>
        <v>0.83956244302643568</v>
      </c>
      <c r="O186" s="288">
        <f t="shared" si="67"/>
        <v>305.53025666831974</v>
      </c>
      <c r="P186" s="273">
        <f t="shared" si="68"/>
        <v>755220</v>
      </c>
      <c r="Q186" s="289">
        <f t="shared" si="69"/>
        <v>1.3419292886762815</v>
      </c>
      <c r="R186" s="275">
        <v>410</v>
      </c>
    </row>
    <row r="187" spans="2:18" ht="18" customHeight="1">
      <c r="B187" s="276" t="s">
        <v>780</v>
      </c>
      <c r="C187" s="277" t="s">
        <v>93</v>
      </c>
      <c r="D187" s="285">
        <v>538051.82000000007</v>
      </c>
      <c r="E187" s="268">
        <v>442592</v>
      </c>
      <c r="F187" s="286"/>
      <c r="G187" s="269">
        <v>2770</v>
      </c>
      <c r="H187" s="270"/>
      <c r="I187" s="260">
        <f t="shared" si="64"/>
        <v>6.2585857855541899E-3</v>
      </c>
      <c r="J187" s="260">
        <f t="shared" si="65"/>
        <v>5.3790613718411553E-2</v>
      </c>
      <c r="K187" s="268">
        <v>149</v>
      </c>
      <c r="L187" s="269">
        <v>104</v>
      </c>
      <c r="M187" s="270"/>
      <c r="N187" s="287">
        <f t="shared" si="66"/>
        <v>0.69798657718120805</v>
      </c>
      <c r="O187" s="288">
        <f t="shared" si="67"/>
        <v>5173.5751923076932</v>
      </c>
      <c r="P187" s="273">
        <f t="shared" si="68"/>
        <v>107432</v>
      </c>
      <c r="Q187" s="289">
        <f t="shared" si="69"/>
        <v>0.19966850033143646</v>
      </c>
      <c r="R187" s="275">
        <v>1033</v>
      </c>
    </row>
    <row r="188" spans="2:18" ht="18" customHeight="1">
      <c r="B188" s="290" t="s">
        <v>781</v>
      </c>
      <c r="C188" s="277" t="s">
        <v>93</v>
      </c>
      <c r="D188" s="291"/>
      <c r="E188" s="292"/>
      <c r="F188" s="293"/>
      <c r="G188" s="294"/>
      <c r="H188" s="295"/>
      <c r="I188" s="260" t="str">
        <f t="shared" si="64"/>
        <v>-</v>
      </c>
      <c r="J188" s="260" t="str">
        <f t="shared" si="65"/>
        <v>-</v>
      </c>
      <c r="K188" s="292"/>
      <c r="L188" s="294"/>
      <c r="M188" s="295"/>
      <c r="N188" s="287" t="str">
        <f t="shared" si="66"/>
        <v>-</v>
      </c>
      <c r="O188" s="288" t="str">
        <f t="shared" si="67"/>
        <v>-</v>
      </c>
      <c r="P188" s="273">
        <f t="shared" si="68"/>
        <v>0</v>
      </c>
      <c r="Q188" s="289" t="str">
        <f t="shared" si="69"/>
        <v>-</v>
      </c>
      <c r="R188" s="275"/>
    </row>
    <row r="189" spans="2:18" ht="18" customHeight="1">
      <c r="B189" s="276" t="s">
        <v>782</v>
      </c>
      <c r="C189" s="277" t="s">
        <v>94</v>
      </c>
      <c r="D189" s="285"/>
      <c r="E189" s="278"/>
      <c r="F189" s="279"/>
      <c r="G189" s="280"/>
      <c r="H189" s="281"/>
      <c r="I189" s="260" t="str">
        <f t="shared" si="64"/>
        <v>-</v>
      </c>
      <c r="J189" s="260" t="str">
        <f t="shared" si="65"/>
        <v>-</v>
      </c>
      <c r="K189" s="282"/>
      <c r="L189" s="283"/>
      <c r="M189" s="281"/>
      <c r="N189" s="271" t="str">
        <f t="shared" si="66"/>
        <v>-</v>
      </c>
      <c r="O189" s="272" t="str">
        <f t="shared" si="67"/>
        <v>-</v>
      </c>
      <c r="P189" s="273">
        <f t="shared" si="68"/>
        <v>0</v>
      </c>
      <c r="Q189" s="274" t="str">
        <f t="shared" si="69"/>
        <v>-</v>
      </c>
      <c r="R189" s="284"/>
    </row>
    <row r="190" spans="2:18" ht="18" customHeight="1">
      <c r="B190" s="296" t="s">
        <v>783</v>
      </c>
      <c r="C190" s="297" t="s">
        <v>93</v>
      </c>
      <c r="E190" s="273"/>
      <c r="F190" s="298"/>
      <c r="G190" s="299"/>
      <c r="H190" s="300"/>
      <c r="I190" s="260" t="str">
        <f t="shared" si="64"/>
        <v>-</v>
      </c>
      <c r="J190" s="260" t="str">
        <f t="shared" si="65"/>
        <v>-</v>
      </c>
      <c r="K190" s="301"/>
      <c r="L190" s="302"/>
      <c r="M190" s="300"/>
      <c r="N190" s="271" t="str">
        <f t="shared" si="66"/>
        <v>-</v>
      </c>
      <c r="O190" s="272" t="str">
        <f>IFERROR(D191/L190,"-")</f>
        <v>-</v>
      </c>
      <c r="P190" s="273">
        <f t="shared" si="68"/>
        <v>0</v>
      </c>
      <c r="Q190" s="274" t="str">
        <f>IFERROR(P190/D191,"-")</f>
        <v>-</v>
      </c>
      <c r="R190" s="303"/>
    </row>
    <row r="191" spans="2:18" ht="18" customHeight="1">
      <c r="B191" s="304" t="s">
        <v>784</v>
      </c>
      <c r="C191" s="305" t="s">
        <v>93</v>
      </c>
      <c r="D191" s="306"/>
      <c r="E191" s="307"/>
      <c r="F191" s="307"/>
      <c r="G191" s="308"/>
      <c r="H191" s="309"/>
      <c r="I191" s="260" t="str">
        <f t="shared" si="64"/>
        <v>-</v>
      </c>
      <c r="J191" s="260" t="str">
        <f t="shared" si="65"/>
        <v>-</v>
      </c>
      <c r="K191" s="310"/>
      <c r="L191" s="311"/>
      <c r="M191" s="309"/>
      <c r="N191" s="271" t="str">
        <f t="shared" si="66"/>
        <v>-</v>
      </c>
      <c r="O191" s="272" t="str">
        <f>IFERROR(#REF!/L191,"-")</f>
        <v>-</v>
      </c>
      <c r="P191" s="273">
        <f t="shared" si="68"/>
        <v>0</v>
      </c>
      <c r="Q191" s="274" t="str">
        <f>IFERROR(P191/#REF!,"-")</f>
        <v>-</v>
      </c>
      <c r="R191" s="312">
        <v>670</v>
      </c>
    </row>
    <row r="192" spans="2:18" ht="18" customHeight="1">
      <c r="B192" s="276" t="s">
        <v>785</v>
      </c>
      <c r="C192" s="277" t="s">
        <v>93</v>
      </c>
      <c r="D192" s="285">
        <v>1766919.7000000002</v>
      </c>
      <c r="E192" s="268">
        <v>741210</v>
      </c>
      <c r="F192" s="286"/>
      <c r="G192" s="269">
        <v>58306</v>
      </c>
      <c r="H192" s="270"/>
      <c r="I192" s="260">
        <f t="shared" si="64"/>
        <v>7.866326682046923E-2</v>
      </c>
      <c r="J192" s="260">
        <f t="shared" si="65"/>
        <v>5.3527938805611776E-2</v>
      </c>
      <c r="K192" s="268">
        <v>3121</v>
      </c>
      <c r="L192" s="269">
        <v>2083</v>
      </c>
      <c r="M192" s="270"/>
      <c r="N192" s="271">
        <f t="shared" si="66"/>
        <v>0.66741429029157318</v>
      </c>
      <c r="O192" s="272">
        <f>IFERROR(D192/L192,"-")</f>
        <v>848.25717714834377</v>
      </c>
      <c r="P192" s="273">
        <f t="shared" si="68"/>
        <v>1524756</v>
      </c>
      <c r="Q192" s="274">
        <f>IFERROR(P192/D192,"-")</f>
        <v>0.86294583732356367</v>
      </c>
      <c r="R192" s="275">
        <v>732</v>
      </c>
    </row>
    <row r="193" spans="2:19" ht="18" customHeight="1">
      <c r="B193" s="276" t="s">
        <v>785</v>
      </c>
      <c r="C193" s="277" t="s">
        <v>93</v>
      </c>
      <c r="D193" s="318" t="s">
        <v>62</v>
      </c>
      <c r="E193" s="268" t="s">
        <v>62</v>
      </c>
      <c r="F193" s="268"/>
      <c r="G193" s="269" t="s">
        <v>62</v>
      </c>
      <c r="H193" s="270"/>
      <c r="I193" s="260" t="str">
        <f t="shared" si="64"/>
        <v>-</v>
      </c>
      <c r="J193" s="260" t="str">
        <f t="shared" si="65"/>
        <v>-</v>
      </c>
      <c r="K193" s="282" t="s">
        <v>62</v>
      </c>
      <c r="L193" s="319" t="s">
        <v>62</v>
      </c>
      <c r="M193" s="270"/>
      <c r="N193" s="271" t="str">
        <f t="shared" si="66"/>
        <v>-</v>
      </c>
      <c r="O193" s="272" t="str">
        <f>IFERROR(D193/L193,"-")</f>
        <v>-</v>
      </c>
      <c r="P193" s="273" t="str">
        <f t="shared" si="68"/>
        <v>-</v>
      </c>
      <c r="Q193" s="274" t="str">
        <f>IFERROR(P193/D193,"-")</f>
        <v>-</v>
      </c>
      <c r="R193" s="275" t="s">
        <v>62</v>
      </c>
      <c r="S193" s="708" t="s">
        <v>792</v>
      </c>
    </row>
    <row r="194" spans="2:19" ht="18" customHeight="1">
      <c r="B194" s="276" t="s">
        <v>786</v>
      </c>
      <c r="C194" s="277" t="s">
        <v>94</v>
      </c>
      <c r="D194" s="318"/>
      <c r="E194" s="268"/>
      <c r="F194" s="286"/>
      <c r="G194" s="269"/>
      <c r="H194" s="270"/>
      <c r="I194" s="260" t="str">
        <f t="shared" si="64"/>
        <v>-</v>
      </c>
      <c r="J194" s="260" t="str">
        <f t="shared" si="65"/>
        <v>-</v>
      </c>
      <c r="K194" s="282"/>
      <c r="L194" s="319"/>
      <c r="M194" s="270"/>
      <c r="N194" s="287" t="str">
        <f t="shared" si="66"/>
        <v>-</v>
      </c>
      <c r="O194" s="288" t="str">
        <f>IFERROR(D194/L194,"-")</f>
        <v>-</v>
      </c>
      <c r="P194" s="268">
        <f t="shared" si="68"/>
        <v>0</v>
      </c>
      <c r="Q194" s="289" t="str">
        <f>IFERROR(P194/D194,"-")</f>
        <v>-</v>
      </c>
      <c r="R194" s="275"/>
    </row>
    <row r="195" spans="2:19" ht="18" customHeight="1">
      <c r="B195" s="320" t="s">
        <v>787</v>
      </c>
      <c r="C195" s="321" t="s">
        <v>93</v>
      </c>
      <c r="D195" s="322">
        <v>2268973.96</v>
      </c>
      <c r="E195" s="323">
        <v>2876064</v>
      </c>
      <c r="F195" s="324"/>
      <c r="G195" s="325">
        <v>139932</v>
      </c>
      <c r="H195" s="326"/>
      <c r="I195" s="327">
        <f t="shared" si="64"/>
        <v>4.8653993791515068E-2</v>
      </c>
      <c r="J195" s="327">
        <f t="shared" si="65"/>
        <v>5.0903295886573476E-2</v>
      </c>
      <c r="K195" s="328">
        <v>7123</v>
      </c>
      <c r="L195" s="329">
        <v>5571</v>
      </c>
      <c r="M195" s="326"/>
      <c r="N195" s="330">
        <f t="shared" si="66"/>
        <v>0.78211427769198372</v>
      </c>
      <c r="O195" s="331">
        <f>IFERROR(D195/L195,"-")</f>
        <v>407.28306587686234</v>
      </c>
      <c r="P195" s="332">
        <f t="shared" si="68"/>
        <v>2200545</v>
      </c>
      <c r="Q195" s="333">
        <f>IFERROR(P195/D195,"-")</f>
        <v>0.9698414520367612</v>
      </c>
      <c r="R195" s="334">
        <v>395</v>
      </c>
    </row>
    <row r="196" spans="2:19" ht="18" customHeight="1">
      <c r="G196" s="335" t="s">
        <v>788</v>
      </c>
      <c r="H196" s="336"/>
      <c r="I196" s="337">
        <f>SUM(G182:G188,G190)/SUM(E182:F188,E190)</f>
        <v>4.198402102394793E-2</v>
      </c>
      <c r="J196" s="337">
        <f>SUM(K182:K188,K190)/SUM(G182:H188,G190)</f>
        <v>5.9312698820414532E-2</v>
      </c>
      <c r="K196" s="338"/>
      <c r="L196" s="338"/>
      <c r="M196" s="338"/>
      <c r="N196" s="338"/>
      <c r="O196" s="339">
        <f>SUM(D182:D188,D191)/SUM(L182:L188,L190)</f>
        <v>920.04545170497533</v>
      </c>
    </row>
    <row r="197" spans="2:19" ht="18" customHeight="1">
      <c r="G197" s="335" t="s">
        <v>793</v>
      </c>
      <c r="H197" s="336"/>
      <c r="I197" s="337" t="str">
        <f>I189</f>
        <v>-</v>
      </c>
      <c r="J197" s="337" t="str">
        <f>J189</f>
        <v>-</v>
      </c>
      <c r="K197" s="338"/>
      <c r="L197" s="338"/>
      <c r="M197" s="338"/>
      <c r="N197" s="338"/>
      <c r="O197" s="339" t="str">
        <f>O189</f>
        <v>-</v>
      </c>
    </row>
    <row r="198" spans="2:19" ht="18" customHeight="1">
      <c r="D198" s="340"/>
      <c r="G198" s="335" t="s">
        <v>789</v>
      </c>
      <c r="H198" s="336"/>
      <c r="I198" s="337">
        <f>SUM(G191:G192)/SUM(E191:E192)</f>
        <v>7.866326682046923E-2</v>
      </c>
      <c r="J198" s="337">
        <f>SUM(K191:K192)/SUM(G191:H192)</f>
        <v>5.3527938805611776E-2</v>
      </c>
      <c r="K198" s="338"/>
      <c r="L198" s="338"/>
      <c r="M198" s="338"/>
      <c r="N198" s="338"/>
      <c r="O198" s="339">
        <f>SUM(D191:D192)/SUM(L191:L192)</f>
        <v>848.25717714834377</v>
      </c>
    </row>
    <row r="199" spans="2:19" ht="18" customHeight="1">
      <c r="G199" s="335" t="s">
        <v>790</v>
      </c>
      <c r="H199" s="336"/>
      <c r="I199" s="337">
        <f>SUM(G193:G195)/SUM(E193:E195)</f>
        <v>4.8653993791515068E-2</v>
      </c>
      <c r="J199" s="337">
        <f>SUM(K193:K195)/SUM(G193:G195)</f>
        <v>5.0903295886573476E-2</v>
      </c>
      <c r="K199" s="338"/>
      <c r="L199" s="338"/>
      <c r="M199" s="338"/>
      <c r="N199" s="338"/>
      <c r="O199" s="339">
        <f>SUM(D193:D195)/SUM(L193:L195)</f>
        <v>407.28306587686234</v>
      </c>
    </row>
    <row r="200" spans="2:19" ht="18" customHeight="1">
      <c r="G200" s="335" t="s">
        <v>791</v>
      </c>
      <c r="H200" s="336"/>
      <c r="I200" s="337">
        <f>SUM(G182:G195)/SUM(E182:E195)</f>
        <v>4.4008483215864765E-2</v>
      </c>
      <c r="J200" s="337">
        <f>SUM(K182:K195)/SUM(G182:G195)</f>
        <v>5.7810705010049465E-2</v>
      </c>
      <c r="K200" s="338"/>
      <c r="L200" s="338"/>
      <c r="M200" s="338"/>
      <c r="N200" s="338"/>
      <c r="O200" s="339">
        <f>SUM(D182:D195)/SUM(L182:L195)</f>
        <v>850.11258455404527</v>
      </c>
    </row>
    <row r="201" spans="2:19" ht="18" customHeight="1">
      <c r="B201" s="246"/>
      <c r="C201" s="70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</row>
    <row r="202" spans="2:19" ht="18" customHeight="1">
      <c r="B202" s="246"/>
      <c r="C202" s="70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</row>
    <row r="203" spans="2:19" ht="18" customHeight="1">
      <c r="B203" s="246"/>
      <c r="C203" s="70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</row>
    <row r="204" spans="2:19" ht="18" customHeight="1">
      <c r="B204" s="246"/>
      <c r="C204" s="70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</row>
    <row r="205" spans="2:19" ht="18" customHeight="1">
      <c r="B205" s="248" t="s">
        <v>230</v>
      </c>
      <c r="C205" s="246"/>
      <c r="D205" s="246"/>
      <c r="E205" s="246"/>
      <c r="F205" s="246"/>
      <c r="G205" s="245"/>
      <c r="H205" s="245"/>
      <c r="I205" s="245"/>
      <c r="J205" s="245"/>
      <c r="K205" s="246"/>
      <c r="L205" s="245"/>
      <c r="M205" s="245" t="s">
        <v>219</v>
      </c>
      <c r="N205" s="246"/>
      <c r="O205" s="246"/>
      <c r="P205" s="246"/>
      <c r="Q205" s="246"/>
      <c r="R205" s="246"/>
    </row>
    <row r="206" spans="2:19" ht="60" customHeight="1">
      <c r="B206" s="249" t="s">
        <v>85</v>
      </c>
      <c r="C206" s="250" t="s">
        <v>86</v>
      </c>
      <c r="D206" s="251" t="s">
        <v>87</v>
      </c>
      <c r="E206" s="252" t="s">
        <v>23</v>
      </c>
      <c r="F206" s="251" t="s">
        <v>88</v>
      </c>
      <c r="G206" s="251" t="s">
        <v>21</v>
      </c>
      <c r="H206" s="251" t="s">
        <v>89</v>
      </c>
      <c r="I206" s="251" t="s">
        <v>20</v>
      </c>
      <c r="J206" s="251" t="s">
        <v>19</v>
      </c>
      <c r="K206" s="252" t="s">
        <v>18</v>
      </c>
      <c r="L206" s="251" t="s">
        <v>17</v>
      </c>
      <c r="M206" s="251" t="s">
        <v>90</v>
      </c>
      <c r="N206" s="251" t="s">
        <v>16</v>
      </c>
      <c r="O206" s="251" t="s">
        <v>14</v>
      </c>
      <c r="P206" s="251" t="s">
        <v>91</v>
      </c>
      <c r="Q206" s="251" t="s">
        <v>12</v>
      </c>
      <c r="R206" s="253" t="s">
        <v>92</v>
      </c>
    </row>
    <row r="207" spans="2:19" ht="18" customHeight="1">
      <c r="B207" s="254" t="s">
        <v>775</v>
      </c>
      <c r="C207" s="255" t="s">
        <v>93</v>
      </c>
      <c r="D207" s="256">
        <v>12331747.960000001</v>
      </c>
      <c r="E207" s="257">
        <v>11994490</v>
      </c>
      <c r="F207" s="257"/>
      <c r="G207" s="258">
        <v>1156071</v>
      </c>
      <c r="H207" s="259"/>
      <c r="I207" s="260">
        <f t="shared" ref="I207:I220" si="70">G207/E207</f>
        <v>9.6383506093214472E-2</v>
      </c>
      <c r="J207" s="260">
        <f t="shared" ref="J207:J220" si="71">K207/G207</f>
        <v>4.6349229415840375E-2</v>
      </c>
      <c r="K207" s="257">
        <v>53583</v>
      </c>
      <c r="L207" s="258">
        <v>40442</v>
      </c>
      <c r="M207" s="259" t="e">
        <v>#REF!</v>
      </c>
      <c r="N207" s="261">
        <f t="shared" ref="N207:N220" si="72">L207/K207</f>
        <v>0.75475430640315022</v>
      </c>
      <c r="O207" s="262">
        <f t="shared" ref="O207:O220" si="73">D207/L207</f>
        <v>304.9242856436378</v>
      </c>
      <c r="P207" s="257">
        <f t="shared" ref="P207:P220" si="74">L207*$R207</f>
        <v>41048630</v>
      </c>
      <c r="Q207" s="263">
        <f t="shared" ref="Q207:Q220" si="75">P207/D207</f>
        <v>3.3286951803708447</v>
      </c>
      <c r="R207" s="264">
        <v>1015</v>
      </c>
    </row>
    <row r="208" spans="2:19" ht="18" customHeight="1">
      <c r="B208" s="265" t="s">
        <v>776</v>
      </c>
      <c r="C208" s="266" t="s">
        <v>93</v>
      </c>
      <c r="D208" s="267"/>
      <c r="E208" s="268"/>
      <c r="F208" s="268"/>
      <c r="G208" s="269"/>
      <c r="H208" s="270"/>
      <c r="I208" s="260" t="e">
        <f t="shared" si="70"/>
        <v>#DIV/0!</v>
      </c>
      <c r="J208" s="260" t="e">
        <f t="shared" si="71"/>
        <v>#DIV/0!</v>
      </c>
      <c r="K208" s="268"/>
      <c r="L208" s="269"/>
      <c r="M208" s="270"/>
      <c r="N208" s="271" t="e">
        <f t="shared" si="72"/>
        <v>#DIV/0!</v>
      </c>
      <c r="O208" s="272" t="e">
        <f t="shared" si="73"/>
        <v>#DIV/0!</v>
      </c>
      <c r="P208" s="273">
        <f t="shared" si="74"/>
        <v>0</v>
      </c>
      <c r="Q208" s="274" t="e">
        <f t="shared" si="75"/>
        <v>#DIV/0!</v>
      </c>
      <c r="R208" s="275"/>
    </row>
    <row r="209" spans="2:18" ht="18" customHeight="1">
      <c r="B209" s="276" t="s">
        <v>777</v>
      </c>
      <c r="C209" s="277" t="s">
        <v>93</v>
      </c>
      <c r="D209" s="285">
        <v>10587641.779999999</v>
      </c>
      <c r="E209" s="278">
        <v>12187560</v>
      </c>
      <c r="F209" s="279"/>
      <c r="G209" s="280">
        <v>1080837</v>
      </c>
      <c r="H209" s="281"/>
      <c r="I209" s="260">
        <f t="shared" si="70"/>
        <v>8.8683624942154135E-2</v>
      </c>
      <c r="J209" s="260">
        <f t="shared" si="71"/>
        <v>5.2378850835047286E-2</v>
      </c>
      <c r="K209" s="282">
        <v>56613</v>
      </c>
      <c r="L209" s="283">
        <v>44831</v>
      </c>
      <c r="M209" s="281"/>
      <c r="N209" s="271">
        <f t="shared" si="72"/>
        <v>0.79188525603659932</v>
      </c>
      <c r="O209" s="272">
        <f t="shared" si="73"/>
        <v>236.16787000066915</v>
      </c>
      <c r="P209" s="273">
        <f t="shared" si="74"/>
        <v>17663414</v>
      </c>
      <c r="Q209" s="274">
        <f t="shared" si="75"/>
        <v>1.6683048375669545</v>
      </c>
      <c r="R209" s="284">
        <v>394</v>
      </c>
    </row>
    <row r="210" spans="2:18" ht="18" customHeight="1">
      <c r="B210" s="276" t="s">
        <v>778</v>
      </c>
      <c r="C210" s="277" t="s">
        <v>93</v>
      </c>
      <c r="D210" s="285">
        <v>802109.57000000007</v>
      </c>
      <c r="E210" s="268">
        <v>693512</v>
      </c>
      <c r="F210" s="286"/>
      <c r="G210" s="269">
        <v>11868</v>
      </c>
      <c r="H210" s="270"/>
      <c r="I210" s="260">
        <f t="shared" si="70"/>
        <v>1.7112897830174532E-2</v>
      </c>
      <c r="J210" s="260">
        <f t="shared" si="71"/>
        <v>0.12032355915065723</v>
      </c>
      <c r="K210" s="268">
        <v>1428</v>
      </c>
      <c r="L210" s="269">
        <v>1216</v>
      </c>
      <c r="M210" s="270"/>
      <c r="N210" s="287">
        <f t="shared" si="72"/>
        <v>0.85154061624649857</v>
      </c>
      <c r="O210" s="288">
        <f t="shared" si="73"/>
        <v>659.6295805921053</v>
      </c>
      <c r="P210" s="273">
        <f t="shared" si="74"/>
        <v>291840</v>
      </c>
      <c r="Q210" s="289">
        <f t="shared" si="75"/>
        <v>0.36384056607129123</v>
      </c>
      <c r="R210" s="275">
        <v>240</v>
      </c>
    </row>
    <row r="211" spans="2:18" ht="18" customHeight="1">
      <c r="B211" s="276" t="s">
        <v>779</v>
      </c>
      <c r="C211" s="277" t="s">
        <v>93</v>
      </c>
      <c r="D211" s="285">
        <v>465948.32723166136</v>
      </c>
      <c r="E211" s="268">
        <v>489865</v>
      </c>
      <c r="F211" s="286"/>
      <c r="G211" s="269">
        <v>13165</v>
      </c>
      <c r="H211" s="270"/>
      <c r="I211" s="260">
        <f t="shared" si="70"/>
        <v>2.6874751206965183E-2</v>
      </c>
      <c r="J211" s="260">
        <f t="shared" si="71"/>
        <v>0.11234333459931636</v>
      </c>
      <c r="K211" s="268">
        <v>1479</v>
      </c>
      <c r="L211" s="269">
        <v>1255</v>
      </c>
      <c r="M211" s="270"/>
      <c r="N211" s="287">
        <f t="shared" si="72"/>
        <v>0.84854631507775524</v>
      </c>
      <c r="O211" s="288">
        <f t="shared" si="73"/>
        <v>371.27356751526804</v>
      </c>
      <c r="P211" s="273">
        <f t="shared" si="74"/>
        <v>514550</v>
      </c>
      <c r="Q211" s="289">
        <f t="shared" si="75"/>
        <v>1.1043070012872367</v>
      </c>
      <c r="R211" s="275">
        <v>410</v>
      </c>
    </row>
    <row r="212" spans="2:18" ht="18" customHeight="1">
      <c r="B212" s="276" t="s">
        <v>780</v>
      </c>
      <c r="C212" s="277" t="s">
        <v>93</v>
      </c>
      <c r="D212" s="285">
        <v>350129.64666666673</v>
      </c>
      <c r="E212" s="268">
        <v>230252</v>
      </c>
      <c r="F212" s="286"/>
      <c r="G212" s="269">
        <v>983</v>
      </c>
      <c r="H212" s="270"/>
      <c r="I212" s="260">
        <f t="shared" si="70"/>
        <v>4.2692354463804878E-3</v>
      </c>
      <c r="J212" s="260">
        <f t="shared" si="71"/>
        <v>2.0345879959308241E-2</v>
      </c>
      <c r="K212" s="268">
        <v>20</v>
      </c>
      <c r="L212" s="269">
        <v>16</v>
      </c>
      <c r="M212" s="270"/>
      <c r="N212" s="287">
        <f t="shared" si="72"/>
        <v>0.8</v>
      </c>
      <c r="O212" s="288">
        <f t="shared" si="73"/>
        <v>21883.10291666667</v>
      </c>
      <c r="P212" s="273">
        <f t="shared" si="74"/>
        <v>16528</v>
      </c>
      <c r="Q212" s="709">
        <f t="shared" si="75"/>
        <v>4.7205371374150221E-2</v>
      </c>
      <c r="R212" s="275">
        <v>1033</v>
      </c>
    </row>
    <row r="213" spans="2:18" ht="18" customHeight="1">
      <c r="B213" s="290" t="s">
        <v>781</v>
      </c>
      <c r="C213" s="277" t="s">
        <v>93</v>
      </c>
      <c r="D213" s="291"/>
      <c r="E213" s="292"/>
      <c r="F213" s="293"/>
      <c r="G213" s="294"/>
      <c r="H213" s="295"/>
      <c r="I213" s="260" t="e">
        <f t="shared" si="70"/>
        <v>#DIV/0!</v>
      </c>
      <c r="J213" s="260" t="e">
        <f t="shared" si="71"/>
        <v>#DIV/0!</v>
      </c>
      <c r="K213" s="292"/>
      <c r="L213" s="294"/>
      <c r="M213" s="295"/>
      <c r="N213" s="287" t="e">
        <f t="shared" si="72"/>
        <v>#DIV/0!</v>
      </c>
      <c r="O213" s="288" t="e">
        <f t="shared" si="73"/>
        <v>#DIV/0!</v>
      </c>
      <c r="P213" s="273">
        <f t="shared" si="74"/>
        <v>0</v>
      </c>
      <c r="Q213" s="289" t="e">
        <f t="shared" si="75"/>
        <v>#DIV/0!</v>
      </c>
      <c r="R213" s="275"/>
    </row>
    <row r="214" spans="2:18" ht="18" customHeight="1">
      <c r="B214" s="276" t="s">
        <v>782</v>
      </c>
      <c r="C214" s="277" t="s">
        <v>94</v>
      </c>
      <c r="D214" s="285"/>
      <c r="E214" s="278"/>
      <c r="F214" s="279"/>
      <c r="G214" s="280"/>
      <c r="H214" s="281"/>
      <c r="I214" s="260" t="e">
        <f t="shared" si="70"/>
        <v>#DIV/0!</v>
      </c>
      <c r="J214" s="260" t="e">
        <f t="shared" si="71"/>
        <v>#DIV/0!</v>
      </c>
      <c r="K214" s="282"/>
      <c r="L214" s="283"/>
      <c r="M214" s="281"/>
      <c r="N214" s="271" t="e">
        <f t="shared" si="72"/>
        <v>#DIV/0!</v>
      </c>
      <c r="O214" s="272" t="e">
        <f t="shared" si="73"/>
        <v>#DIV/0!</v>
      </c>
      <c r="P214" s="273">
        <f t="shared" si="74"/>
        <v>0</v>
      </c>
      <c r="Q214" s="274" t="e">
        <f t="shared" si="75"/>
        <v>#DIV/0!</v>
      </c>
      <c r="R214" s="284"/>
    </row>
    <row r="215" spans="2:18" ht="18" customHeight="1">
      <c r="B215" s="296" t="s">
        <v>783</v>
      </c>
      <c r="C215" s="297" t="s">
        <v>93</v>
      </c>
      <c r="D215" s="306"/>
      <c r="E215" s="273"/>
      <c r="F215" s="298"/>
      <c r="G215" s="299"/>
      <c r="H215" s="300"/>
      <c r="I215" s="260" t="e">
        <f t="shared" si="70"/>
        <v>#DIV/0!</v>
      </c>
      <c r="J215" s="260" t="e">
        <f t="shared" si="71"/>
        <v>#DIV/0!</v>
      </c>
      <c r="K215" s="301"/>
      <c r="L215" s="302"/>
      <c r="M215" s="300"/>
      <c r="N215" s="271" t="e">
        <f t="shared" si="72"/>
        <v>#DIV/0!</v>
      </c>
      <c r="O215" s="272" t="e">
        <f t="shared" si="73"/>
        <v>#DIV/0!</v>
      </c>
      <c r="P215" s="273">
        <f t="shared" si="74"/>
        <v>0</v>
      </c>
      <c r="Q215" s="274" t="e">
        <f t="shared" si="75"/>
        <v>#DIV/0!</v>
      </c>
      <c r="R215" s="303"/>
    </row>
    <row r="216" spans="2:18" ht="18" customHeight="1">
      <c r="B216" s="304" t="s">
        <v>784</v>
      </c>
      <c r="C216" s="305" t="s">
        <v>93</v>
      </c>
      <c r="D216" s="710">
        <v>4098835.55</v>
      </c>
      <c r="E216" s="307">
        <v>4906631</v>
      </c>
      <c r="F216" s="307"/>
      <c r="G216" s="308">
        <v>329118</v>
      </c>
      <c r="H216" s="309"/>
      <c r="I216" s="260">
        <f t="shared" si="70"/>
        <v>6.7076166925941649E-2</v>
      </c>
      <c r="J216" s="260">
        <f t="shared" si="71"/>
        <v>5.9559185459318542E-2</v>
      </c>
      <c r="K216" s="310">
        <v>19602</v>
      </c>
      <c r="L216" s="311">
        <v>16427</v>
      </c>
      <c r="M216" s="309"/>
      <c r="N216" s="271">
        <f t="shared" si="72"/>
        <v>0.83802673196612587</v>
      </c>
      <c r="O216" s="272">
        <f t="shared" si="73"/>
        <v>249.5182047848055</v>
      </c>
      <c r="P216" s="273">
        <f t="shared" si="74"/>
        <v>11006090</v>
      </c>
      <c r="Q216" s="274">
        <f t="shared" si="75"/>
        <v>2.6851748175161605</v>
      </c>
      <c r="R216" s="312">
        <v>670</v>
      </c>
    </row>
    <row r="217" spans="2:18" ht="18" customHeight="1">
      <c r="B217" s="276" t="s">
        <v>785</v>
      </c>
      <c r="C217" s="277" t="s">
        <v>93</v>
      </c>
      <c r="D217" s="285">
        <v>1728452.3</v>
      </c>
      <c r="E217" s="268">
        <v>649791</v>
      </c>
      <c r="F217" s="286"/>
      <c r="G217" s="269">
        <v>48126</v>
      </c>
      <c r="H217" s="270"/>
      <c r="I217" s="260">
        <f t="shared" si="70"/>
        <v>7.4063814364926567E-2</v>
      </c>
      <c r="J217" s="260">
        <f t="shared" si="71"/>
        <v>5.3671612018451567E-2</v>
      </c>
      <c r="K217" s="268">
        <v>2583</v>
      </c>
      <c r="L217" s="269">
        <v>1685</v>
      </c>
      <c r="M217" s="270"/>
      <c r="N217" s="271">
        <f t="shared" si="72"/>
        <v>0.65234223770809141</v>
      </c>
      <c r="O217" s="272">
        <f t="shared" si="73"/>
        <v>1025.7877151335313</v>
      </c>
      <c r="P217" s="273">
        <f t="shared" si="74"/>
        <v>0</v>
      </c>
      <c r="Q217" s="274">
        <f t="shared" si="75"/>
        <v>0</v>
      </c>
      <c r="R217" s="275"/>
    </row>
    <row r="218" spans="2:18" ht="18" customHeight="1">
      <c r="B218" s="320" t="s">
        <v>785</v>
      </c>
      <c r="C218" s="321" t="s">
        <v>93</v>
      </c>
      <c r="D218" s="322">
        <v>3041519.45</v>
      </c>
      <c r="E218" s="332">
        <v>4110046</v>
      </c>
      <c r="F218" s="332"/>
      <c r="G218" s="711">
        <v>213278</v>
      </c>
      <c r="H218" s="712"/>
      <c r="I218" s="327">
        <f t="shared" si="70"/>
        <v>5.1891876635930596E-2</v>
      </c>
      <c r="J218" s="327">
        <f t="shared" si="71"/>
        <v>4.1879612524498538E-2</v>
      </c>
      <c r="K218" s="713">
        <v>8932</v>
      </c>
      <c r="L218" s="714">
        <v>6274</v>
      </c>
      <c r="M218" s="712"/>
      <c r="N218" s="715">
        <f t="shared" si="72"/>
        <v>0.70241827138378865</v>
      </c>
      <c r="O218" s="716">
        <f t="shared" si="73"/>
        <v>484.78155084475617</v>
      </c>
      <c r="P218" s="717">
        <f t="shared" si="74"/>
        <v>4887446</v>
      </c>
      <c r="Q218" s="718">
        <f t="shared" si="75"/>
        <v>1.6069093360557005</v>
      </c>
      <c r="R218" s="719">
        <v>779</v>
      </c>
    </row>
    <row r="219" spans="2:18" ht="18" customHeight="1">
      <c r="B219" s="265" t="s">
        <v>786</v>
      </c>
      <c r="C219" s="313" t="s">
        <v>94</v>
      </c>
      <c r="D219" s="720"/>
      <c r="E219" s="721"/>
      <c r="F219" s="722"/>
      <c r="G219" s="723"/>
      <c r="H219" s="314"/>
      <c r="I219" s="724" t="e">
        <f t="shared" si="70"/>
        <v>#DIV/0!</v>
      </c>
      <c r="J219" s="724" t="e">
        <f t="shared" si="71"/>
        <v>#DIV/0!</v>
      </c>
      <c r="K219" s="315"/>
      <c r="L219" s="316"/>
      <c r="M219" s="314"/>
      <c r="N219" s="725" t="e">
        <f t="shared" si="72"/>
        <v>#DIV/0!</v>
      </c>
      <c r="O219" s="726" t="e">
        <f t="shared" si="73"/>
        <v>#DIV/0!</v>
      </c>
      <c r="P219" s="721">
        <f t="shared" si="74"/>
        <v>0</v>
      </c>
      <c r="Q219" s="727" t="e">
        <f t="shared" si="75"/>
        <v>#DIV/0!</v>
      </c>
      <c r="R219" s="317"/>
    </row>
    <row r="220" spans="2:18" ht="18" customHeight="1">
      <c r="B220" s="320" t="s">
        <v>787</v>
      </c>
      <c r="C220" s="321" t="s">
        <v>93</v>
      </c>
      <c r="D220" s="322"/>
      <c r="E220" s="332"/>
      <c r="F220" s="324"/>
      <c r="G220" s="325"/>
      <c r="H220" s="326"/>
      <c r="I220" s="327" t="e">
        <f t="shared" si="70"/>
        <v>#DIV/0!</v>
      </c>
      <c r="J220" s="327" t="e">
        <f t="shared" si="71"/>
        <v>#DIV/0!</v>
      </c>
      <c r="K220" s="713"/>
      <c r="L220" s="329"/>
      <c r="M220" s="326"/>
      <c r="N220" s="330" t="e">
        <f t="shared" si="72"/>
        <v>#DIV/0!</v>
      </c>
      <c r="O220" s="331" t="e">
        <f t="shared" si="73"/>
        <v>#DIV/0!</v>
      </c>
      <c r="P220" s="332">
        <f t="shared" si="74"/>
        <v>0</v>
      </c>
      <c r="Q220" s="333" t="e">
        <f t="shared" si="75"/>
        <v>#DIV/0!</v>
      </c>
      <c r="R220" s="719"/>
    </row>
    <row r="221" spans="2:18" ht="18" customHeight="1">
      <c r="G221" s="335" t="s">
        <v>788</v>
      </c>
      <c r="H221" s="336"/>
      <c r="I221" s="337">
        <f>SUM(G207:G213,G215)/SUM(E207:F213,E215)</f>
        <v>8.8410391457089302E-2</v>
      </c>
      <c r="J221" s="337">
        <f>SUM(K207:K213,K215)/SUM(G207:H213,G215)</f>
        <v>4.9989747777654046E-2</v>
      </c>
      <c r="K221" s="338"/>
      <c r="L221" s="338"/>
      <c r="M221" s="338"/>
      <c r="N221" s="338"/>
      <c r="O221" s="339">
        <f>SUM(D207:D213,D215)/SUM(L207:L213,L215)</f>
        <v>279.59864726411041</v>
      </c>
    </row>
    <row r="222" spans="2:18" ht="18" customHeight="1">
      <c r="G222" s="335" t="s">
        <v>793</v>
      </c>
      <c r="H222" s="336"/>
      <c r="I222" s="337" t="e">
        <f>I214</f>
        <v>#DIV/0!</v>
      </c>
      <c r="J222" s="337" t="e">
        <f>J214</f>
        <v>#DIV/0!</v>
      </c>
      <c r="K222" s="338"/>
      <c r="L222" s="338"/>
      <c r="M222" s="338"/>
      <c r="N222" s="338"/>
      <c r="O222" s="339" t="e">
        <f>O214</f>
        <v>#DIV/0!</v>
      </c>
    </row>
    <row r="223" spans="2:18" ht="18" customHeight="1">
      <c r="D223" s="340"/>
      <c r="G223" s="335" t="s">
        <v>789</v>
      </c>
      <c r="H223" s="336"/>
      <c r="I223" s="337">
        <f>SUM(G216:G217)/SUM(E216:E217)</f>
        <v>6.7893331356041711E-2</v>
      </c>
      <c r="J223" s="337">
        <f>SUM(K216:K217)/SUM(G216:H217)</f>
        <v>5.8808092375226641E-2</v>
      </c>
      <c r="K223" s="338"/>
      <c r="L223" s="338"/>
      <c r="M223" s="338"/>
      <c r="N223" s="338"/>
      <c r="O223" s="339">
        <f>SUM(D216:D217)/SUM(L216:L217)</f>
        <v>321.73629913869257</v>
      </c>
    </row>
    <row r="224" spans="2:18" ht="18" customHeight="1">
      <c r="G224" s="335" t="s">
        <v>790</v>
      </c>
      <c r="H224" s="336"/>
      <c r="I224" s="337">
        <f>SUM(G218:G220)/SUM(E218:E220)</f>
        <v>5.1891876635930596E-2</v>
      </c>
      <c r="J224" s="337">
        <f>SUM(K218:K220)/SUM(G218:G220)</f>
        <v>4.1879612524498538E-2</v>
      </c>
      <c r="K224" s="338"/>
      <c r="L224" s="338"/>
      <c r="M224" s="338"/>
      <c r="N224" s="338"/>
      <c r="O224" s="339">
        <f>SUM(D218:D220)/SUM(L218:L220)</f>
        <v>484.78155084475617</v>
      </c>
    </row>
    <row r="225" spans="2:25" ht="18" customHeight="1">
      <c r="G225" s="335" t="s">
        <v>791</v>
      </c>
      <c r="H225" s="336"/>
      <c r="I225" s="337">
        <f>SUM(G207:G220)/SUM(E207:E220)</f>
        <v>8.0920937684253888E-2</v>
      </c>
      <c r="J225" s="337">
        <f>SUM(K207:K220)/SUM(G207:G220)</f>
        <v>5.0549405876263297E-2</v>
      </c>
      <c r="K225" s="338"/>
      <c r="L225" s="338"/>
      <c r="M225" s="338"/>
      <c r="N225" s="338"/>
      <c r="O225" s="339">
        <f>SUM(D207:D220)/SUM(L207:L220)</f>
        <v>297.88297918693786</v>
      </c>
    </row>
    <row r="226" spans="2:25" ht="18" customHeight="1">
      <c r="B226" s="246"/>
      <c r="C226" s="70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</row>
    <row r="227" spans="2:25" ht="18" customHeight="1">
      <c r="B227" s="246"/>
      <c r="C227" s="70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</row>
    <row r="228" spans="2:25" ht="18" customHeight="1">
      <c r="B228" s="246"/>
      <c r="C228" s="70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</row>
    <row r="229" spans="2:25" ht="28.5" customHeight="1">
      <c r="B229" s="248" t="s">
        <v>231</v>
      </c>
      <c r="C229" s="246"/>
      <c r="D229" s="246"/>
      <c r="E229" s="246"/>
      <c r="F229" s="246"/>
      <c r="G229" s="245"/>
      <c r="H229" s="245"/>
      <c r="I229" s="245"/>
      <c r="J229" s="245"/>
      <c r="K229" s="246"/>
      <c r="L229" s="245"/>
      <c r="M229" s="245" t="s">
        <v>219</v>
      </c>
      <c r="N229" s="246"/>
      <c r="O229" s="246"/>
      <c r="P229" s="246"/>
      <c r="Q229" s="246"/>
      <c r="R229" s="246"/>
    </row>
    <row r="230" spans="2:25" ht="72" customHeight="1">
      <c r="B230" s="249" t="s">
        <v>85</v>
      </c>
      <c r="C230" s="250" t="s">
        <v>86</v>
      </c>
      <c r="D230" s="251" t="s">
        <v>87</v>
      </c>
      <c r="E230" s="252" t="s">
        <v>23</v>
      </c>
      <c r="F230" s="251" t="s">
        <v>88</v>
      </c>
      <c r="G230" s="251" t="s">
        <v>21</v>
      </c>
      <c r="H230" s="251" t="s">
        <v>89</v>
      </c>
      <c r="I230" s="251" t="s">
        <v>20</v>
      </c>
      <c r="J230" s="251" t="s">
        <v>19</v>
      </c>
      <c r="K230" s="252" t="s">
        <v>18</v>
      </c>
      <c r="L230" s="251" t="s">
        <v>17</v>
      </c>
      <c r="M230" s="251" t="s">
        <v>90</v>
      </c>
      <c r="N230" s="251" t="s">
        <v>16</v>
      </c>
      <c r="O230" s="251" t="s">
        <v>14</v>
      </c>
      <c r="P230" s="251" t="s">
        <v>91</v>
      </c>
      <c r="Q230" s="251" t="s">
        <v>12</v>
      </c>
      <c r="R230" s="253" t="s">
        <v>92</v>
      </c>
    </row>
    <row r="231" spans="2:25" ht="31.5" customHeight="1">
      <c r="B231" s="254" t="s">
        <v>775</v>
      </c>
      <c r="C231" s="255" t="s">
        <v>93</v>
      </c>
      <c r="D231" s="256">
        <v>50188322.616439372</v>
      </c>
      <c r="E231" s="257">
        <v>55270306</v>
      </c>
      <c r="F231" s="257"/>
      <c r="G231" s="258">
        <v>5874535</v>
      </c>
      <c r="H231" s="259"/>
      <c r="I231" s="728">
        <f t="shared" ref="I231:I244" si="76">G231/E231</f>
        <v>0.10628736160787675</v>
      </c>
      <c r="J231" s="728">
        <f t="shared" ref="J231:J244" si="77">K231/G231</f>
        <v>5.4877534987875634E-2</v>
      </c>
      <c r="K231" s="257">
        <v>322380</v>
      </c>
      <c r="L231" s="258">
        <v>240978</v>
      </c>
      <c r="M231" s="259" t="e">
        <v>#REF!</v>
      </c>
      <c r="N231" s="261">
        <f t="shared" ref="N231:N244" si="78">L231/K231</f>
        <v>0.74749674297412994</v>
      </c>
      <c r="O231" s="262">
        <f t="shared" ref="O231:O244" si="79">D231/L231</f>
        <v>208.26931344952391</v>
      </c>
      <c r="P231" s="257">
        <f t="shared" ref="P231:P244" si="80">L231*$R231</f>
        <v>244592670</v>
      </c>
      <c r="Q231" s="263">
        <f t="shared" ref="Q231:Q244" si="81">P231/D231</f>
        <v>4.8734976036015745</v>
      </c>
      <c r="R231" s="264">
        <v>1015</v>
      </c>
      <c r="S231" s="729"/>
      <c r="T231" s="729"/>
      <c r="U231" s="729"/>
      <c r="V231" s="729"/>
      <c r="W231" s="729"/>
      <c r="X231" s="729"/>
      <c r="Y231" s="729"/>
    </row>
    <row r="232" spans="2:25" ht="31.5" customHeight="1">
      <c r="B232" s="265" t="s">
        <v>776</v>
      </c>
      <c r="C232" s="266" t="s">
        <v>93</v>
      </c>
      <c r="D232" s="267">
        <v>20745744.270277537</v>
      </c>
      <c r="E232" s="268">
        <v>34250642</v>
      </c>
      <c r="F232" s="268"/>
      <c r="G232" s="269">
        <v>1437664</v>
      </c>
      <c r="H232" s="270"/>
      <c r="I232" s="728">
        <f t="shared" si="76"/>
        <v>4.197480444308168E-2</v>
      </c>
      <c r="J232" s="728">
        <f t="shared" si="77"/>
        <v>5.6651623745186633E-2</v>
      </c>
      <c r="K232" s="268">
        <v>81446</v>
      </c>
      <c r="L232" s="269">
        <v>52950</v>
      </c>
      <c r="M232" s="270"/>
      <c r="N232" s="271">
        <f t="shared" si="78"/>
        <v>0.65012400854553942</v>
      </c>
      <c r="O232" s="272">
        <f t="shared" si="79"/>
        <v>391.79875864546813</v>
      </c>
      <c r="P232" s="273">
        <f t="shared" si="80"/>
        <v>116490000</v>
      </c>
      <c r="Q232" s="274">
        <f t="shared" si="81"/>
        <v>5.6151275404900955</v>
      </c>
      <c r="R232" s="275">
        <v>2200</v>
      </c>
      <c r="S232" s="729"/>
      <c r="T232" s="729"/>
      <c r="U232" s="729"/>
      <c r="V232" s="729"/>
      <c r="W232" s="729"/>
      <c r="X232" s="729"/>
      <c r="Y232" s="729"/>
    </row>
    <row r="233" spans="2:25" ht="31.5" customHeight="1">
      <c r="B233" s="276" t="s">
        <v>777</v>
      </c>
      <c r="C233" s="277" t="s">
        <v>93</v>
      </c>
      <c r="D233" s="285">
        <v>3429778.81</v>
      </c>
      <c r="E233" s="278">
        <v>5118731</v>
      </c>
      <c r="F233" s="279"/>
      <c r="G233" s="280">
        <v>386953</v>
      </c>
      <c r="H233" s="281"/>
      <c r="I233" s="728">
        <f t="shared" si="76"/>
        <v>7.5595494273873742E-2</v>
      </c>
      <c r="J233" s="728">
        <f t="shared" si="77"/>
        <v>6.9486475101627324E-2</v>
      </c>
      <c r="K233" s="282">
        <v>26888</v>
      </c>
      <c r="L233" s="283">
        <v>20675</v>
      </c>
      <c r="M233" s="281"/>
      <c r="N233" s="271">
        <f t="shared" si="78"/>
        <v>0.76893037786373108</v>
      </c>
      <c r="O233" s="272">
        <f t="shared" si="79"/>
        <v>165.89014800483676</v>
      </c>
      <c r="P233" s="273">
        <f t="shared" si="80"/>
        <v>7918525</v>
      </c>
      <c r="Q233" s="274">
        <f t="shared" si="81"/>
        <v>2.3087567562410825</v>
      </c>
      <c r="R233" s="284">
        <v>383</v>
      </c>
      <c r="S233" s="729"/>
      <c r="T233" s="729"/>
      <c r="U233" s="729"/>
      <c r="V233" s="729"/>
      <c r="W233" s="729"/>
      <c r="X233" s="729"/>
      <c r="Y233" s="729"/>
    </row>
    <row r="234" spans="2:25" ht="31.5" customHeight="1">
      <c r="B234" s="276" t="s">
        <v>778</v>
      </c>
      <c r="C234" s="277" t="s">
        <v>93</v>
      </c>
      <c r="D234" s="285">
        <v>3307372.3054</v>
      </c>
      <c r="E234" s="268">
        <v>3395134</v>
      </c>
      <c r="F234" s="286"/>
      <c r="G234" s="269">
        <v>51085</v>
      </c>
      <c r="H234" s="270"/>
      <c r="I234" s="728">
        <f t="shared" si="76"/>
        <v>1.5046534245776455E-2</v>
      </c>
      <c r="J234" s="728">
        <f t="shared" si="77"/>
        <v>0.11719682881472056</v>
      </c>
      <c r="K234" s="268">
        <v>5987</v>
      </c>
      <c r="L234" s="269">
        <v>4591</v>
      </c>
      <c r="M234" s="270"/>
      <c r="N234" s="287">
        <f t="shared" si="78"/>
        <v>0.76682812760982133</v>
      </c>
      <c r="O234" s="288">
        <f t="shared" si="79"/>
        <v>720.40346447397076</v>
      </c>
      <c r="P234" s="273">
        <f t="shared" si="80"/>
        <v>1101840</v>
      </c>
      <c r="Q234" s="289">
        <f t="shared" si="81"/>
        <v>0.33314664883690537</v>
      </c>
      <c r="R234" s="275">
        <v>240</v>
      </c>
      <c r="S234" s="729"/>
      <c r="T234" s="729"/>
      <c r="U234" s="729"/>
      <c r="V234" s="729"/>
      <c r="W234" s="729"/>
      <c r="X234" s="729"/>
      <c r="Y234" s="729"/>
    </row>
    <row r="235" spans="2:25" ht="31.5" customHeight="1">
      <c r="B235" s="276" t="s">
        <v>779</v>
      </c>
      <c r="C235" s="277" t="s">
        <v>93</v>
      </c>
      <c r="D235" s="285">
        <v>469146.26882164303</v>
      </c>
      <c r="E235" s="268">
        <v>200772</v>
      </c>
      <c r="F235" s="286"/>
      <c r="G235" s="269">
        <v>8250</v>
      </c>
      <c r="H235" s="270"/>
      <c r="I235" s="260">
        <f t="shared" si="76"/>
        <v>4.1091387245233396E-2</v>
      </c>
      <c r="J235" s="260">
        <f t="shared" si="77"/>
        <v>0.15709090909090909</v>
      </c>
      <c r="K235" s="268">
        <v>1296</v>
      </c>
      <c r="L235" s="269">
        <v>1055</v>
      </c>
      <c r="M235" s="270"/>
      <c r="N235" s="287">
        <f t="shared" si="78"/>
        <v>0.81404320987654322</v>
      </c>
      <c r="O235" s="288">
        <f t="shared" si="79"/>
        <v>444.68840646601234</v>
      </c>
      <c r="P235" s="273">
        <f t="shared" si="80"/>
        <v>529937.05000000005</v>
      </c>
      <c r="Q235" s="289">
        <f t="shared" si="81"/>
        <v>1.1295774584993408</v>
      </c>
      <c r="R235" s="275">
        <v>502.31</v>
      </c>
      <c r="S235" s="729"/>
      <c r="T235" s="729"/>
      <c r="U235" s="729"/>
      <c r="V235" s="729"/>
      <c r="W235" s="729"/>
      <c r="X235" s="729"/>
      <c r="Y235" s="729"/>
    </row>
    <row r="236" spans="2:25" ht="31.5" customHeight="1">
      <c r="B236" s="276" t="s">
        <v>780</v>
      </c>
      <c r="C236" s="277" t="s">
        <v>93</v>
      </c>
      <c r="D236" s="285">
        <v>1189950.3033598464</v>
      </c>
      <c r="E236" s="268">
        <v>858877</v>
      </c>
      <c r="F236" s="286"/>
      <c r="G236" s="269">
        <v>21322</v>
      </c>
      <c r="H236" s="270"/>
      <c r="I236" s="260">
        <f t="shared" si="76"/>
        <v>2.4825440662632717E-2</v>
      </c>
      <c r="J236" s="260">
        <f t="shared" si="77"/>
        <v>0.1221273801707157</v>
      </c>
      <c r="K236" s="268">
        <v>2604</v>
      </c>
      <c r="L236" s="269">
        <v>1865</v>
      </c>
      <c r="M236" s="270"/>
      <c r="N236" s="287">
        <f t="shared" si="78"/>
        <v>0.71620583717357911</v>
      </c>
      <c r="O236" s="288">
        <f t="shared" si="79"/>
        <v>638.04305810179426</v>
      </c>
      <c r="P236" s="273">
        <f t="shared" si="80"/>
        <v>1926545</v>
      </c>
      <c r="Q236" s="289">
        <f t="shared" si="81"/>
        <v>1.6190129911815352</v>
      </c>
      <c r="R236" s="275">
        <v>1033</v>
      </c>
      <c r="S236" s="729"/>
      <c r="T236" s="729"/>
      <c r="U236" s="729"/>
      <c r="V236" s="729"/>
      <c r="W236" s="729"/>
      <c r="X236" s="729"/>
      <c r="Y236" s="729"/>
    </row>
    <row r="237" spans="2:25" ht="31.5" customHeight="1">
      <c r="B237" s="290" t="s">
        <v>781</v>
      </c>
      <c r="C237" s="277" t="s">
        <v>93</v>
      </c>
      <c r="D237" s="291"/>
      <c r="E237" s="292"/>
      <c r="F237" s="293"/>
      <c r="G237" s="294"/>
      <c r="H237" s="295"/>
      <c r="I237" s="260" t="e">
        <f t="shared" si="76"/>
        <v>#DIV/0!</v>
      </c>
      <c r="J237" s="260" t="e">
        <f t="shared" si="77"/>
        <v>#DIV/0!</v>
      </c>
      <c r="K237" s="292"/>
      <c r="L237" s="294"/>
      <c r="M237" s="295"/>
      <c r="N237" s="287" t="e">
        <f t="shared" si="78"/>
        <v>#DIV/0!</v>
      </c>
      <c r="O237" s="288" t="e">
        <f t="shared" si="79"/>
        <v>#DIV/0!</v>
      </c>
      <c r="P237" s="273">
        <f t="shared" si="80"/>
        <v>0</v>
      </c>
      <c r="Q237" s="289" t="e">
        <f t="shared" si="81"/>
        <v>#DIV/0!</v>
      </c>
      <c r="R237" s="275"/>
      <c r="S237" s="729"/>
      <c r="T237" s="729"/>
      <c r="U237" s="729"/>
      <c r="V237" s="729"/>
      <c r="W237" s="729"/>
      <c r="X237" s="729"/>
      <c r="Y237" s="729"/>
    </row>
    <row r="238" spans="2:25" ht="31.5" customHeight="1">
      <c r="B238" s="276" t="s">
        <v>782</v>
      </c>
      <c r="C238" s="277" t="s">
        <v>94</v>
      </c>
      <c r="D238" s="285"/>
      <c r="E238" s="278"/>
      <c r="F238" s="279"/>
      <c r="G238" s="280"/>
      <c r="H238" s="281"/>
      <c r="I238" s="260" t="e">
        <f t="shared" si="76"/>
        <v>#DIV/0!</v>
      </c>
      <c r="J238" s="260" t="e">
        <f t="shared" si="77"/>
        <v>#DIV/0!</v>
      </c>
      <c r="K238" s="282"/>
      <c r="L238" s="283"/>
      <c r="M238" s="281"/>
      <c r="N238" s="271" t="e">
        <f t="shared" si="78"/>
        <v>#DIV/0!</v>
      </c>
      <c r="O238" s="272" t="e">
        <f t="shared" si="79"/>
        <v>#DIV/0!</v>
      </c>
      <c r="P238" s="273">
        <f t="shared" si="80"/>
        <v>0</v>
      </c>
      <c r="Q238" s="274" t="e">
        <f t="shared" si="81"/>
        <v>#DIV/0!</v>
      </c>
      <c r="R238" s="284"/>
      <c r="S238" s="729"/>
      <c r="T238" s="729"/>
      <c r="U238" s="729"/>
      <c r="V238" s="729"/>
      <c r="W238" s="729"/>
      <c r="X238" s="729"/>
      <c r="Y238" s="729"/>
    </row>
    <row r="239" spans="2:25" ht="30" customHeight="1">
      <c r="B239" s="296" t="s">
        <v>783</v>
      </c>
      <c r="C239" s="297" t="s">
        <v>93</v>
      </c>
      <c r="D239" s="306"/>
      <c r="E239" s="273"/>
      <c r="F239" s="298"/>
      <c r="G239" s="299"/>
      <c r="H239" s="300"/>
      <c r="I239" s="260" t="e">
        <f t="shared" si="76"/>
        <v>#DIV/0!</v>
      </c>
      <c r="J239" s="260" t="e">
        <f t="shared" si="77"/>
        <v>#DIV/0!</v>
      </c>
      <c r="K239" s="301"/>
      <c r="L239" s="302"/>
      <c r="M239" s="300"/>
      <c r="N239" s="271" t="e">
        <f t="shared" si="78"/>
        <v>#DIV/0!</v>
      </c>
      <c r="O239" s="272" t="e">
        <f t="shared" si="79"/>
        <v>#DIV/0!</v>
      </c>
      <c r="P239" s="273">
        <f t="shared" si="80"/>
        <v>0</v>
      </c>
      <c r="Q239" s="274" t="e">
        <f t="shared" si="81"/>
        <v>#DIV/0!</v>
      </c>
      <c r="R239" s="303"/>
      <c r="S239" s="729"/>
      <c r="T239" s="729"/>
      <c r="U239" s="729"/>
      <c r="V239" s="729"/>
      <c r="W239" s="729"/>
      <c r="X239" s="729"/>
      <c r="Y239" s="729"/>
    </row>
    <row r="240" spans="2:25" ht="31.5" customHeight="1">
      <c r="B240" s="304" t="s">
        <v>784</v>
      </c>
      <c r="C240" s="305" t="s">
        <v>93</v>
      </c>
      <c r="D240" s="710">
        <v>2611272.2800000003</v>
      </c>
      <c r="E240" s="307">
        <v>3183802</v>
      </c>
      <c r="F240" s="307"/>
      <c r="G240" s="308">
        <v>221805</v>
      </c>
      <c r="H240" s="309"/>
      <c r="I240" s="260">
        <f t="shared" si="76"/>
        <v>6.9666706660778524E-2</v>
      </c>
      <c r="J240" s="260">
        <f t="shared" si="77"/>
        <v>5.4439710556569959E-2</v>
      </c>
      <c r="K240" s="310">
        <v>12075</v>
      </c>
      <c r="L240" s="311">
        <v>10338</v>
      </c>
      <c r="M240" s="309"/>
      <c r="N240" s="271">
        <f t="shared" si="78"/>
        <v>0.85614906832298132</v>
      </c>
      <c r="O240" s="272">
        <f t="shared" si="79"/>
        <v>252.5896962662024</v>
      </c>
      <c r="P240" s="273">
        <f t="shared" si="80"/>
        <v>6926460</v>
      </c>
      <c r="Q240" s="274">
        <f t="shared" si="81"/>
        <v>2.6525230834985924</v>
      </c>
      <c r="R240" s="312">
        <v>670</v>
      </c>
      <c r="S240" s="729"/>
      <c r="T240" s="729"/>
      <c r="U240" s="729"/>
      <c r="V240" s="729"/>
      <c r="W240" s="729"/>
      <c r="X240" s="729"/>
      <c r="Y240" s="729"/>
    </row>
    <row r="241" spans="2:25" ht="31.5" customHeight="1">
      <c r="B241" s="276" t="s">
        <v>785</v>
      </c>
      <c r="C241" s="277" t="s">
        <v>93</v>
      </c>
      <c r="D241" s="285"/>
      <c r="E241" s="268"/>
      <c r="F241" s="286"/>
      <c r="G241" s="269"/>
      <c r="H241" s="270"/>
      <c r="I241" s="728" t="e">
        <f t="shared" si="76"/>
        <v>#DIV/0!</v>
      </c>
      <c r="J241" s="728" t="e">
        <f t="shared" si="77"/>
        <v>#DIV/0!</v>
      </c>
      <c r="K241" s="268"/>
      <c r="L241" s="269"/>
      <c r="M241" s="270"/>
      <c r="N241" s="271" t="e">
        <f t="shared" si="78"/>
        <v>#DIV/0!</v>
      </c>
      <c r="O241" s="272" t="e">
        <f t="shared" si="79"/>
        <v>#DIV/0!</v>
      </c>
      <c r="P241" s="273">
        <f t="shared" si="80"/>
        <v>0</v>
      </c>
      <c r="Q241" s="274" t="e">
        <f t="shared" si="81"/>
        <v>#DIV/0!</v>
      </c>
      <c r="R241" s="275"/>
      <c r="S241" s="729"/>
      <c r="T241" s="729"/>
      <c r="U241" s="729"/>
      <c r="V241" s="729"/>
      <c r="W241" s="729"/>
      <c r="X241" s="729"/>
      <c r="Y241" s="729"/>
    </row>
    <row r="242" spans="2:25" ht="31.5" customHeight="1">
      <c r="B242" s="276" t="s">
        <v>785</v>
      </c>
      <c r="C242" s="277" t="s">
        <v>93</v>
      </c>
      <c r="D242" s="318">
        <v>2055408.83</v>
      </c>
      <c r="E242" s="268">
        <v>3901496</v>
      </c>
      <c r="F242" s="268"/>
      <c r="G242" s="269">
        <v>402603</v>
      </c>
      <c r="H242" s="270"/>
      <c r="I242" s="728">
        <f t="shared" si="76"/>
        <v>0.10319195508594652</v>
      </c>
      <c r="J242" s="728">
        <f t="shared" si="77"/>
        <v>7.1763002262774989E-2</v>
      </c>
      <c r="K242" s="282">
        <v>28892</v>
      </c>
      <c r="L242" s="730">
        <v>23550</v>
      </c>
      <c r="M242" s="270"/>
      <c r="N242" s="271">
        <f t="shared" si="78"/>
        <v>0.81510452720476256</v>
      </c>
      <c r="O242" s="272">
        <f t="shared" si="79"/>
        <v>87.278506581740984</v>
      </c>
      <c r="P242" s="273">
        <f t="shared" si="80"/>
        <v>17213692.241089579</v>
      </c>
      <c r="Q242" s="274">
        <f t="shared" si="81"/>
        <v>8.3748264529395726</v>
      </c>
      <c r="R242" s="275">
        <v>730.94234569382502</v>
      </c>
      <c r="S242" s="729"/>
      <c r="T242" s="729"/>
      <c r="U242" s="729"/>
      <c r="V242" s="729"/>
      <c r="W242" s="729"/>
      <c r="X242" s="729"/>
      <c r="Y242" s="729"/>
    </row>
    <row r="243" spans="2:25" ht="31.5" customHeight="1">
      <c r="B243" s="276" t="s">
        <v>786</v>
      </c>
      <c r="C243" s="277" t="s">
        <v>94</v>
      </c>
      <c r="D243" s="318"/>
      <c r="E243" s="268"/>
      <c r="F243" s="286">
        <v>376043</v>
      </c>
      <c r="G243" s="269"/>
      <c r="H243" s="270"/>
      <c r="I243" s="728" t="e">
        <f t="shared" si="76"/>
        <v>#DIV/0!</v>
      </c>
      <c r="J243" s="728" t="e">
        <f t="shared" si="77"/>
        <v>#DIV/0!</v>
      </c>
      <c r="K243" s="282"/>
      <c r="L243" s="319"/>
      <c r="M243" s="270"/>
      <c r="N243" s="287" t="e">
        <f t="shared" si="78"/>
        <v>#DIV/0!</v>
      </c>
      <c r="O243" s="288" t="e">
        <f t="shared" si="79"/>
        <v>#DIV/0!</v>
      </c>
      <c r="P243" s="268">
        <f t="shared" si="80"/>
        <v>0</v>
      </c>
      <c r="Q243" s="289" t="e">
        <f t="shared" si="81"/>
        <v>#DIV/0!</v>
      </c>
      <c r="R243" s="275"/>
      <c r="S243" s="729"/>
      <c r="T243" s="729"/>
      <c r="U243" s="729"/>
      <c r="V243" s="729"/>
      <c r="W243" s="729"/>
      <c r="X243" s="729"/>
      <c r="Y243" s="729"/>
    </row>
    <row r="244" spans="2:25" ht="31.5" customHeight="1">
      <c r="B244" s="320" t="s">
        <v>787</v>
      </c>
      <c r="C244" s="321" t="s">
        <v>93</v>
      </c>
      <c r="D244" s="322">
        <v>2866051.33</v>
      </c>
      <c r="E244" s="332">
        <v>3410330</v>
      </c>
      <c r="F244" s="324"/>
      <c r="G244" s="325">
        <v>204586</v>
      </c>
      <c r="H244" s="326"/>
      <c r="I244" s="731">
        <f t="shared" si="76"/>
        <v>5.9990088935674847E-2</v>
      </c>
      <c r="J244" s="731">
        <f t="shared" si="77"/>
        <v>7.6882093593892059E-2</v>
      </c>
      <c r="K244" s="713">
        <v>15729</v>
      </c>
      <c r="L244" s="329">
        <v>12664</v>
      </c>
      <c r="M244" s="326"/>
      <c r="N244" s="330">
        <f t="shared" si="78"/>
        <v>0.8051370080742577</v>
      </c>
      <c r="O244" s="331">
        <f t="shared" si="79"/>
        <v>226.31485549589388</v>
      </c>
      <c r="P244" s="332">
        <f t="shared" si="80"/>
        <v>4305760</v>
      </c>
      <c r="Q244" s="333">
        <f t="shared" si="81"/>
        <v>1.50233178133624</v>
      </c>
      <c r="R244" s="719">
        <v>340</v>
      </c>
      <c r="S244" s="729"/>
      <c r="T244" s="729"/>
      <c r="U244" s="729"/>
      <c r="V244" s="729"/>
      <c r="W244" s="729"/>
      <c r="X244" s="729"/>
      <c r="Y244" s="729"/>
    </row>
    <row r="245" spans="2:25" ht="18" customHeight="1">
      <c r="G245" s="335" t="s">
        <v>788</v>
      </c>
      <c r="H245" s="336"/>
      <c r="I245" s="337">
        <f>SUM(G231:G237,G239)/SUM(E231:F237,E239)</f>
        <v>7.8509019000476535E-2</v>
      </c>
      <c r="J245" s="337">
        <f>SUM(K231:K237,K239)/SUM(G231:H237,G239)</f>
        <v>5.6633909649966986E-2</v>
      </c>
      <c r="K245" s="338"/>
      <c r="L245" s="338"/>
      <c r="M245" s="338"/>
      <c r="N245" s="338"/>
      <c r="O245" s="339">
        <f>SUM(D231:D237,D239)/SUM(L231:L237,L239)</f>
        <v>246.28024418155806</v>
      </c>
    </row>
    <row r="246" spans="2:25" ht="18" customHeight="1">
      <c r="G246" s="335" t="s">
        <v>793</v>
      </c>
      <c r="H246" s="336"/>
      <c r="I246" s="337" t="e">
        <f>I238</f>
        <v>#DIV/0!</v>
      </c>
      <c r="J246" s="337" t="e">
        <f>J238</f>
        <v>#DIV/0!</v>
      </c>
      <c r="K246" s="338"/>
      <c r="L246" s="338"/>
      <c r="M246" s="338"/>
      <c r="N246" s="338"/>
      <c r="O246" s="339" t="e">
        <f>O238</f>
        <v>#DIV/0!</v>
      </c>
    </row>
    <row r="247" spans="2:25" ht="18" customHeight="1">
      <c r="D247" s="340"/>
      <c r="G247" s="335" t="s">
        <v>789</v>
      </c>
      <c r="H247" s="336"/>
      <c r="I247" s="337">
        <f>SUM(G240:G241)/SUM(E240:E241)</f>
        <v>6.9666706660778524E-2</v>
      </c>
      <c r="J247" s="337">
        <f>SUM(K240:K241)/SUM(G240:H241)</f>
        <v>5.4439710556569959E-2</v>
      </c>
      <c r="K247" s="338"/>
      <c r="L247" s="338"/>
      <c r="M247" s="338"/>
      <c r="N247" s="338"/>
      <c r="O247" s="339">
        <f>SUM(D240:D241)/SUM(L240:L241)</f>
        <v>252.5896962662024</v>
      </c>
    </row>
    <row r="248" spans="2:25" ht="18" customHeight="1">
      <c r="G248" s="335" t="s">
        <v>790</v>
      </c>
      <c r="H248" s="336"/>
      <c r="I248" s="732">
        <f>SUM(G242:G244)/SUM(E242:E244)</f>
        <v>8.3042047225959703E-2</v>
      </c>
      <c r="J248" s="732">
        <f>SUM(K242:K244)/SUM(G242:G244)</f>
        <v>7.3487826689877453E-2</v>
      </c>
      <c r="K248" s="338"/>
      <c r="L248" s="338"/>
      <c r="M248" s="338"/>
      <c r="N248" s="338"/>
      <c r="O248" s="339">
        <f>SUM(D242:D244)/SUM(L242:L244)</f>
        <v>135.89938035014083</v>
      </c>
    </row>
    <row r="249" spans="2:25" ht="18" customHeight="1">
      <c r="G249" s="335" t="s">
        <v>791</v>
      </c>
      <c r="H249" s="336"/>
      <c r="I249" s="337">
        <f>SUM(G231:G244)/SUM(E231:E244)</f>
        <v>7.8554575509519151E-2</v>
      </c>
      <c r="J249" s="337">
        <f>SUM(K231:K244)/SUM(G231:G244)</f>
        <v>5.7766102906524869E-2</v>
      </c>
      <c r="K249" s="338"/>
      <c r="L249" s="338"/>
      <c r="M249" s="338"/>
      <c r="N249" s="338"/>
      <c r="O249" s="339">
        <f>SUM(D231:D244)/SUM(L231:L244)</f>
        <v>235.61447764181779</v>
      </c>
    </row>
    <row r="250" spans="2:25" ht="18" customHeight="1">
      <c r="G250" s="733"/>
      <c r="H250" s="336"/>
      <c r="I250" s="732"/>
      <c r="J250" s="732"/>
      <c r="K250" s="338"/>
      <c r="L250" s="338"/>
      <c r="M250" s="338"/>
      <c r="N250" s="338"/>
      <c r="O250" s="734"/>
    </row>
    <row r="251" spans="2:25" ht="18" customHeight="1">
      <c r="G251" s="733"/>
      <c r="H251" s="336"/>
      <c r="I251" s="732"/>
      <c r="J251" s="732"/>
      <c r="K251" s="338"/>
      <c r="L251" s="338"/>
      <c r="M251" s="338"/>
      <c r="N251" s="338"/>
      <c r="O251" s="734"/>
    </row>
    <row r="252" spans="2:25" ht="18" customHeight="1">
      <c r="B252" s="248" t="s">
        <v>232</v>
      </c>
      <c r="G252" s="733"/>
      <c r="H252" s="336"/>
      <c r="I252" s="337"/>
      <c r="J252" s="337"/>
      <c r="K252" s="338"/>
      <c r="L252" s="338"/>
      <c r="M252" s="338"/>
      <c r="N252" s="338"/>
      <c r="O252" s="339"/>
    </row>
    <row r="253" spans="2:25" ht="28.5" customHeight="1">
      <c r="B253" s="249" t="s">
        <v>85</v>
      </c>
      <c r="C253" s="250" t="s">
        <v>86</v>
      </c>
      <c r="D253" s="251" t="s">
        <v>87</v>
      </c>
      <c r="E253" s="252" t="s">
        <v>23</v>
      </c>
      <c r="F253" s="251" t="s">
        <v>88</v>
      </c>
      <c r="G253" s="251" t="s">
        <v>21</v>
      </c>
      <c r="H253" s="251" t="s">
        <v>89</v>
      </c>
      <c r="I253" s="251" t="s">
        <v>20</v>
      </c>
      <c r="J253" s="251" t="s">
        <v>19</v>
      </c>
      <c r="K253" s="252" t="s">
        <v>18</v>
      </c>
      <c r="L253" s="251" t="s">
        <v>17</v>
      </c>
      <c r="M253" s="251" t="s">
        <v>90</v>
      </c>
      <c r="N253" s="251" t="s">
        <v>16</v>
      </c>
      <c r="O253" s="251" t="s">
        <v>14</v>
      </c>
      <c r="P253" s="251" t="s">
        <v>91</v>
      </c>
      <c r="Q253" s="251" t="s">
        <v>12</v>
      </c>
      <c r="R253" s="253" t="s">
        <v>92</v>
      </c>
    </row>
    <row r="254" spans="2:25" ht="28.5" customHeight="1">
      <c r="B254" s="735" t="s">
        <v>775</v>
      </c>
      <c r="C254" s="736" t="s">
        <v>93</v>
      </c>
      <c r="D254" s="737">
        <v>32624462.221439399</v>
      </c>
      <c r="E254" s="257">
        <v>37965457</v>
      </c>
      <c r="F254" s="257"/>
      <c r="G254" s="258">
        <v>3953627</v>
      </c>
      <c r="H254" s="738"/>
      <c r="I254" s="739">
        <v>0.10413747949879808</v>
      </c>
      <c r="J254" s="739">
        <v>5.1930037912023566E-2</v>
      </c>
      <c r="K254" s="257">
        <v>205312</v>
      </c>
      <c r="L254" s="258">
        <v>154823</v>
      </c>
      <c r="M254" s="738" t="e">
        <v>#REF!</v>
      </c>
      <c r="N254" s="740">
        <v>0.75408646352867825</v>
      </c>
      <c r="O254" s="741">
        <v>210.72103125142516</v>
      </c>
      <c r="P254" s="742">
        <v>157145345</v>
      </c>
      <c r="Q254" s="743">
        <v>4.8167949538408275</v>
      </c>
      <c r="R254" s="744">
        <v>1015</v>
      </c>
    </row>
    <row r="255" spans="2:25" ht="28.5" customHeight="1">
      <c r="B255" s="745" t="s">
        <v>776</v>
      </c>
      <c r="C255" s="746" t="s">
        <v>93</v>
      </c>
      <c r="D255" s="318">
        <v>16002126.269000001</v>
      </c>
      <c r="E255" s="268">
        <v>20088834</v>
      </c>
      <c r="F255" s="279"/>
      <c r="G255" s="269">
        <v>1013188</v>
      </c>
      <c r="H255" s="281"/>
      <c r="I255" s="728">
        <v>5.0435381167468457E-2</v>
      </c>
      <c r="J255" s="728">
        <v>6.8631882730549515E-2</v>
      </c>
      <c r="K255" s="282">
        <v>69537</v>
      </c>
      <c r="L255" s="319">
        <v>44457</v>
      </c>
      <c r="M255" s="281"/>
      <c r="N255" s="271">
        <v>0.63932870270503472</v>
      </c>
      <c r="O255" s="272">
        <v>359.94615626335565</v>
      </c>
      <c r="P255" s="273">
        <v>97805400</v>
      </c>
      <c r="Q255" s="274">
        <v>6.1120252618849022</v>
      </c>
      <c r="R255" s="747">
        <v>2200</v>
      </c>
    </row>
    <row r="256" spans="2:25" ht="28.5" customHeight="1">
      <c r="B256" s="745" t="s">
        <v>777</v>
      </c>
      <c r="C256" s="746" t="s">
        <v>93</v>
      </c>
      <c r="D256" s="285">
        <v>5840300.3986666668</v>
      </c>
      <c r="E256" s="278">
        <v>7999531</v>
      </c>
      <c r="F256" s="279"/>
      <c r="G256" s="280">
        <v>499243</v>
      </c>
      <c r="H256" s="281"/>
      <c r="I256" s="728">
        <v>6.2409033729602395E-2</v>
      </c>
      <c r="J256" s="728">
        <v>5.8091951214138203E-2</v>
      </c>
      <c r="K256" s="282">
        <v>29002</v>
      </c>
      <c r="L256" s="283">
        <v>22239</v>
      </c>
      <c r="M256" s="281"/>
      <c r="N256" s="271">
        <v>0.76680918557340871</v>
      </c>
      <c r="O256" s="272">
        <v>262.61524343120942</v>
      </c>
      <c r="P256" s="273">
        <v>8517537</v>
      </c>
      <c r="Q256" s="274">
        <v>1.4584073452702095</v>
      </c>
      <c r="R256" s="748">
        <v>383</v>
      </c>
    </row>
    <row r="257" spans="2:18" ht="28.5" customHeight="1">
      <c r="B257" s="276" t="s">
        <v>778</v>
      </c>
      <c r="C257" s="277" t="s">
        <v>93</v>
      </c>
      <c r="D257" s="285">
        <v>2875135.66622</v>
      </c>
      <c r="E257" s="268">
        <v>3152718</v>
      </c>
      <c r="F257" s="286"/>
      <c r="G257" s="269">
        <v>37589</v>
      </c>
      <c r="H257" s="270"/>
      <c r="I257" s="728">
        <v>1.1922728261772857E-2</v>
      </c>
      <c r="J257" s="728">
        <v>9.2899518476149939E-2</v>
      </c>
      <c r="K257" s="268">
        <v>3492</v>
      </c>
      <c r="L257" s="269">
        <v>2682</v>
      </c>
      <c r="M257" s="270"/>
      <c r="N257" s="287">
        <v>0.76804123711340211</v>
      </c>
      <c r="O257" s="288">
        <v>1072.0118069425803</v>
      </c>
      <c r="P257" s="273">
        <v>643680</v>
      </c>
      <c r="Q257" s="289">
        <v>0.22387813123485034</v>
      </c>
      <c r="R257" s="747">
        <v>240</v>
      </c>
    </row>
    <row r="258" spans="2:18" ht="28.5" customHeight="1">
      <c r="B258" s="276" t="s">
        <v>779</v>
      </c>
      <c r="C258" s="277" t="s">
        <v>93</v>
      </c>
      <c r="D258" s="285"/>
      <c r="E258" s="268"/>
      <c r="F258" s="286"/>
      <c r="G258" s="269"/>
      <c r="H258" s="270"/>
      <c r="I258" s="728" t="e">
        <v>#DIV/0!</v>
      </c>
      <c r="J258" s="728" t="e">
        <v>#DIV/0!</v>
      </c>
      <c r="K258" s="268"/>
      <c r="L258" s="269"/>
      <c r="M258" s="270"/>
      <c r="N258" s="287" t="e">
        <v>#DIV/0!</v>
      </c>
      <c r="O258" s="288" t="e">
        <v>#DIV/0!</v>
      </c>
      <c r="P258" s="273">
        <v>0</v>
      </c>
      <c r="Q258" s="289" t="e">
        <v>#DIV/0!</v>
      </c>
      <c r="R258" s="747"/>
    </row>
    <row r="259" spans="2:18" ht="28.5" customHeight="1">
      <c r="B259" s="276" t="s">
        <v>780</v>
      </c>
      <c r="C259" s="277" t="s">
        <v>93</v>
      </c>
      <c r="D259" s="285"/>
      <c r="E259" s="268"/>
      <c r="F259" s="286"/>
      <c r="G259" s="269"/>
      <c r="H259" s="270"/>
      <c r="I259" s="728" t="e">
        <v>#DIV/0!</v>
      </c>
      <c r="J259" s="728" t="e">
        <v>#DIV/0!</v>
      </c>
      <c r="K259" s="268"/>
      <c r="L259" s="269"/>
      <c r="M259" s="270"/>
      <c r="N259" s="287" t="e">
        <v>#DIV/0!</v>
      </c>
      <c r="O259" s="288" t="e">
        <v>#DIV/0!</v>
      </c>
      <c r="P259" s="273">
        <v>0</v>
      </c>
      <c r="Q259" s="289" t="e">
        <v>#DIV/0!</v>
      </c>
      <c r="R259" s="747"/>
    </row>
    <row r="260" spans="2:18" ht="28.5" customHeight="1">
      <c r="B260" s="290" t="s">
        <v>781</v>
      </c>
      <c r="C260" s="277" t="s">
        <v>93</v>
      </c>
      <c r="D260" s="291"/>
      <c r="E260" s="292"/>
      <c r="F260" s="293"/>
      <c r="G260" s="294"/>
      <c r="H260" s="295"/>
      <c r="I260" s="728" t="e">
        <v>#DIV/0!</v>
      </c>
      <c r="J260" s="728" t="e">
        <v>#DIV/0!</v>
      </c>
      <c r="K260" s="292"/>
      <c r="L260" s="294"/>
      <c r="M260" s="295"/>
      <c r="N260" s="287" t="e">
        <v>#DIV/0!</v>
      </c>
      <c r="O260" s="288" t="e">
        <v>#DIV/0!</v>
      </c>
      <c r="P260" s="273">
        <v>0</v>
      </c>
      <c r="Q260" s="289" t="e">
        <v>#DIV/0!</v>
      </c>
      <c r="R260" s="747"/>
    </row>
    <row r="261" spans="2:18" ht="28.5" customHeight="1">
      <c r="B261" s="276" t="s">
        <v>782</v>
      </c>
      <c r="C261" s="277" t="s">
        <v>93</v>
      </c>
      <c r="D261" s="285"/>
      <c r="E261" s="278"/>
      <c r="F261" s="279"/>
      <c r="G261" s="280"/>
      <c r="H261" s="281"/>
      <c r="I261" s="728" t="e">
        <v>#DIV/0!</v>
      </c>
      <c r="J261" s="728" t="e">
        <v>#DIV/0!</v>
      </c>
      <c r="K261" s="282"/>
      <c r="L261" s="283"/>
      <c r="M261" s="281"/>
      <c r="N261" s="271" t="e">
        <v>#DIV/0!</v>
      </c>
      <c r="O261" s="272" t="e">
        <v>#DIV/0!</v>
      </c>
      <c r="P261" s="273">
        <v>0</v>
      </c>
      <c r="Q261" s="274" t="e">
        <v>#DIV/0!</v>
      </c>
      <c r="R261" s="748"/>
    </row>
    <row r="262" spans="2:18" ht="28.5" customHeight="1">
      <c r="B262" s="296" t="s">
        <v>783</v>
      </c>
      <c r="C262" s="297" t="s">
        <v>93</v>
      </c>
      <c r="D262" s="306"/>
      <c r="E262" s="273"/>
      <c r="F262" s="298"/>
      <c r="G262" s="299"/>
      <c r="H262" s="300"/>
      <c r="I262" s="728" t="e">
        <v>#DIV/0!</v>
      </c>
      <c r="J262" s="728" t="e">
        <v>#DIV/0!</v>
      </c>
      <c r="K262" s="301"/>
      <c r="L262" s="302"/>
      <c r="M262" s="300"/>
      <c r="N262" s="271" t="e">
        <v>#DIV/0!</v>
      </c>
      <c r="O262" s="272" t="e">
        <v>#DIV/0!</v>
      </c>
      <c r="P262" s="273">
        <v>0</v>
      </c>
      <c r="Q262" s="274" t="e">
        <v>#DIV/0!</v>
      </c>
      <c r="R262" s="749"/>
    </row>
    <row r="263" spans="2:18" ht="28.5" customHeight="1">
      <c r="B263" s="750" t="s">
        <v>784</v>
      </c>
      <c r="C263" s="751" t="s">
        <v>93</v>
      </c>
      <c r="D263" s="752">
        <v>2611272.2800000003</v>
      </c>
      <c r="E263" s="753">
        <v>3183802</v>
      </c>
      <c r="F263" s="753"/>
      <c r="G263" s="754">
        <v>221805</v>
      </c>
      <c r="H263" s="755"/>
      <c r="I263" s="756">
        <v>6.9666706660778524E-2</v>
      </c>
      <c r="J263" s="756">
        <v>5.4439710556569959E-2</v>
      </c>
      <c r="K263" s="757">
        <v>12075</v>
      </c>
      <c r="L263" s="758">
        <v>10338</v>
      </c>
      <c r="M263" s="755"/>
      <c r="N263" s="759">
        <v>0.85614906832298132</v>
      </c>
      <c r="O263" s="760">
        <v>252.5896962662024</v>
      </c>
      <c r="P263" s="761">
        <v>6926460</v>
      </c>
      <c r="Q263" s="762">
        <v>2.6525230834985924</v>
      </c>
      <c r="R263" s="763">
        <v>670</v>
      </c>
    </row>
    <row r="264" spans="2:18" ht="28.5" customHeight="1">
      <c r="B264" s="745" t="s">
        <v>785</v>
      </c>
      <c r="C264" s="746" t="s">
        <v>93</v>
      </c>
      <c r="D264" s="285"/>
      <c r="E264" s="278"/>
      <c r="F264" s="279"/>
      <c r="G264" s="280"/>
      <c r="H264" s="281"/>
      <c r="I264" s="728" t="e">
        <v>#DIV/0!</v>
      </c>
      <c r="J264" s="728" t="e">
        <v>#DIV/0!</v>
      </c>
      <c r="K264" s="282"/>
      <c r="L264" s="283"/>
      <c r="M264" s="281"/>
      <c r="N264" s="271" t="e">
        <v>#DIV/0!</v>
      </c>
      <c r="O264" s="272" t="e">
        <v>#DIV/0!</v>
      </c>
      <c r="P264" s="273">
        <v>0</v>
      </c>
      <c r="Q264" s="274" t="e">
        <v>#DIV/0!</v>
      </c>
      <c r="R264" s="748"/>
    </row>
    <row r="265" spans="2:18" ht="28.5" customHeight="1">
      <c r="B265" s="745" t="s">
        <v>785</v>
      </c>
      <c r="C265" s="746" t="s">
        <v>93</v>
      </c>
      <c r="D265" s="764">
        <v>1931576.97</v>
      </c>
      <c r="E265" s="765">
        <v>3760547</v>
      </c>
      <c r="F265" s="765"/>
      <c r="G265" s="766">
        <v>376043</v>
      </c>
      <c r="H265" s="281"/>
      <c r="I265" s="728">
        <v>9.9996888750492952E-2</v>
      </c>
      <c r="J265" s="728">
        <v>7.1377475448286501E-2</v>
      </c>
      <c r="K265" s="767">
        <v>26841</v>
      </c>
      <c r="L265" s="730">
        <v>21698</v>
      </c>
      <c r="M265" s="281"/>
      <c r="N265" s="271">
        <v>0.80839014939830856</v>
      </c>
      <c r="O265" s="272">
        <v>89.020968292008476</v>
      </c>
      <c r="P265" s="273">
        <v>15938270.08092566</v>
      </c>
      <c r="Q265" s="274">
        <v>8.2514289248984269</v>
      </c>
      <c r="R265" s="747">
        <v>734.55019268714443</v>
      </c>
    </row>
    <row r="266" spans="2:18" ht="28.5" customHeight="1">
      <c r="B266" s="745" t="s">
        <v>786</v>
      </c>
      <c r="C266" s="746" t="s">
        <v>93</v>
      </c>
      <c r="D266" s="285"/>
      <c r="E266" s="278"/>
      <c r="F266" s="279"/>
      <c r="G266" s="280"/>
      <c r="H266" s="281"/>
      <c r="I266" s="728" t="e">
        <v>#DIV/0!</v>
      </c>
      <c r="J266" s="728" t="e">
        <v>#DIV/0!</v>
      </c>
      <c r="K266" s="282"/>
      <c r="L266" s="283"/>
      <c r="M266" s="281"/>
      <c r="N266" s="271" t="e">
        <v>#DIV/0!</v>
      </c>
      <c r="O266" s="272" t="e">
        <v>#DIV/0!</v>
      </c>
      <c r="P266" s="273">
        <v>0</v>
      </c>
      <c r="Q266" s="274" t="e">
        <v>#DIV/0!</v>
      </c>
      <c r="R266" s="748"/>
    </row>
    <row r="267" spans="2:18" ht="28.5" customHeight="1">
      <c r="B267" s="768" t="s">
        <v>787</v>
      </c>
      <c r="C267" s="769" t="s">
        <v>93</v>
      </c>
      <c r="D267" s="770">
        <v>1697821.2</v>
      </c>
      <c r="E267" s="323">
        <v>3286847</v>
      </c>
      <c r="F267" s="771"/>
      <c r="G267" s="325">
        <v>186351</v>
      </c>
      <c r="H267" s="772"/>
      <c r="I267" s="773">
        <v>5.669597641752111E-2</v>
      </c>
      <c r="J267" s="773">
        <v>7.8491663581091595E-2</v>
      </c>
      <c r="K267" s="328">
        <v>14627</v>
      </c>
      <c r="L267" s="329">
        <v>11855</v>
      </c>
      <c r="M267" s="772"/>
      <c r="N267" s="774">
        <v>0.81048745470704864</v>
      </c>
      <c r="O267" s="775">
        <v>143.21562210037959</v>
      </c>
      <c r="P267" s="776">
        <v>3812864.375</v>
      </c>
      <c r="Q267" s="777">
        <v>2.2457396426667309</v>
      </c>
      <c r="R267" s="334">
        <v>321.625</v>
      </c>
    </row>
    <row r="268" spans="2:18" ht="28.5" customHeight="1">
      <c r="G268" s="335" t="s">
        <v>788</v>
      </c>
      <c r="H268" s="336"/>
      <c r="I268" s="337">
        <v>7.952495530046727E-2</v>
      </c>
      <c r="J268" s="337">
        <v>5.5843516126670191E-2</v>
      </c>
      <c r="K268" s="338"/>
      <c r="L268" s="338"/>
      <c r="M268" s="338"/>
      <c r="N268" s="338"/>
      <c r="O268" s="339">
        <v>255.76168061394046</v>
      </c>
    </row>
    <row r="269" spans="2:18" ht="28.5" customHeight="1">
      <c r="D269" s="340"/>
      <c r="G269" s="335" t="s">
        <v>789</v>
      </c>
      <c r="H269" s="336"/>
      <c r="I269" s="337">
        <v>6.9666706660778524E-2</v>
      </c>
      <c r="J269" s="337">
        <v>5.4439710556569959E-2</v>
      </c>
      <c r="K269" s="338"/>
      <c r="L269" s="338"/>
      <c r="M269" s="338"/>
      <c r="N269" s="338"/>
      <c r="O269" s="339">
        <v>252.5896962662024</v>
      </c>
    </row>
    <row r="270" spans="2:18" ht="28.5" customHeight="1">
      <c r="G270" s="335" t="s">
        <v>790</v>
      </c>
      <c r="H270" s="336"/>
      <c r="I270" s="732">
        <v>7.9801696910943257E-2</v>
      </c>
      <c r="J270" s="732">
        <v>7.3734783799258172E-2</v>
      </c>
      <c r="K270" s="338"/>
      <c r="L270" s="338"/>
      <c r="M270" s="338"/>
      <c r="N270" s="338"/>
      <c r="O270" s="339">
        <v>108.16911066074569</v>
      </c>
    </row>
    <row r="271" spans="2:18" ht="28.5" customHeight="1">
      <c r="G271" s="335" t="s">
        <v>791</v>
      </c>
      <c r="H271" s="336"/>
      <c r="I271" s="337">
        <v>7.9154395840284275E-2</v>
      </c>
      <c r="J271" s="337">
        <v>5.7394217352015303E-2</v>
      </c>
      <c r="K271" s="338"/>
      <c r="L271" s="338"/>
      <c r="M271" s="338"/>
      <c r="N271" s="338"/>
      <c r="O271" s="339">
        <v>237.16744626966141</v>
      </c>
    </row>
    <row r="272" spans="2:18" ht="18" customHeight="1">
      <c r="H272" s="336"/>
      <c r="I272" s="337"/>
      <c r="J272" s="337"/>
      <c r="K272" s="338"/>
      <c r="L272" s="338"/>
      <c r="M272" s="338"/>
      <c r="N272" s="338"/>
      <c r="O272" s="339"/>
    </row>
    <row r="273" spans="2:18" ht="18" customHeight="1">
      <c r="H273" s="336"/>
      <c r="I273" s="337"/>
      <c r="J273" s="337"/>
      <c r="K273" s="338"/>
      <c r="L273" s="338"/>
      <c r="M273" s="338"/>
      <c r="N273" s="338"/>
      <c r="O273" s="339"/>
    </row>
    <row r="274" spans="2:18" ht="18" customHeight="1">
      <c r="B274" s="248" t="s">
        <v>527</v>
      </c>
      <c r="H274" s="336"/>
      <c r="I274" s="337"/>
      <c r="J274" s="337"/>
      <c r="K274" s="338"/>
      <c r="L274" s="338"/>
      <c r="M274" s="338"/>
      <c r="N274" s="338"/>
      <c r="O274" s="339"/>
    </row>
    <row r="275" spans="2:18" ht="18" customHeight="1">
      <c r="B275" s="249" t="s">
        <v>85</v>
      </c>
      <c r="C275" s="250" t="s">
        <v>86</v>
      </c>
      <c r="D275" s="251" t="s">
        <v>87</v>
      </c>
      <c r="E275" s="252" t="s">
        <v>23</v>
      </c>
      <c r="F275" s="251" t="s">
        <v>88</v>
      </c>
      <c r="G275" s="251" t="s">
        <v>21</v>
      </c>
      <c r="H275" s="251" t="s">
        <v>89</v>
      </c>
      <c r="I275" s="251" t="s">
        <v>20</v>
      </c>
      <c r="J275" s="251" t="s">
        <v>19</v>
      </c>
      <c r="K275" s="252" t="s">
        <v>18</v>
      </c>
      <c r="L275" s="251" t="s">
        <v>17</v>
      </c>
      <c r="M275" s="251" t="s">
        <v>90</v>
      </c>
      <c r="N275" s="251" t="s">
        <v>16</v>
      </c>
      <c r="O275" s="251" t="s">
        <v>14</v>
      </c>
      <c r="P275" s="251" t="s">
        <v>91</v>
      </c>
      <c r="Q275" s="251" t="s">
        <v>12</v>
      </c>
      <c r="R275" s="253" t="s">
        <v>92</v>
      </c>
    </row>
    <row r="276" spans="2:18" ht="18" customHeight="1">
      <c r="B276" s="735" t="s">
        <v>775</v>
      </c>
      <c r="C276" s="736" t="s">
        <v>93</v>
      </c>
      <c r="D276" s="778">
        <v>27994924.642255284</v>
      </c>
      <c r="E276" s="742">
        <v>29012084</v>
      </c>
      <c r="F276" s="742">
        <v>1.34057765505347</v>
      </c>
      <c r="G276" s="779">
        <v>2803847</v>
      </c>
      <c r="H276" s="738"/>
      <c r="I276" s="780">
        <f t="shared" ref="I276:I289" si="82">G276/E276</f>
        <v>9.6644108710012014E-2</v>
      </c>
      <c r="J276" s="780">
        <f t="shared" ref="J276:J289" si="83">K276/G276</f>
        <v>4.6768243773643851E-2</v>
      </c>
      <c r="K276" s="742">
        <v>131131</v>
      </c>
      <c r="L276" s="779">
        <v>94872</v>
      </c>
      <c r="M276" s="738" t="e">
        <v>#REF!</v>
      </c>
      <c r="N276" s="740">
        <f t="shared" ref="N276:N289" si="84">L276/K276</f>
        <v>0.72349025020780744</v>
      </c>
      <c r="O276" s="741">
        <f t="shared" ref="O276:O289" si="85">D276/L276</f>
        <v>295.08100010809602</v>
      </c>
      <c r="P276" s="742">
        <f t="shared" ref="P276:P289" si="86">L276*$R276</f>
        <v>96295080</v>
      </c>
      <c r="Q276" s="743">
        <f t="shared" ref="Q276:Q289" si="87">P276/D276</f>
        <v>3.4397334956441741</v>
      </c>
      <c r="R276" s="781">
        <v>1015</v>
      </c>
    </row>
    <row r="277" spans="2:18" ht="18" customHeight="1">
      <c r="B277" s="745" t="s">
        <v>776</v>
      </c>
      <c r="C277" s="746" t="s">
        <v>93</v>
      </c>
      <c r="D277" s="285">
        <v>9082758.0284410678</v>
      </c>
      <c r="E277" s="278">
        <v>16008605</v>
      </c>
      <c r="F277" s="279"/>
      <c r="G277" s="280">
        <v>567030</v>
      </c>
      <c r="H277" s="281"/>
      <c r="I277" s="728">
        <f t="shared" si="82"/>
        <v>3.5420325506188705E-2</v>
      </c>
      <c r="J277" s="728">
        <f t="shared" si="83"/>
        <v>7.5828439412376769E-2</v>
      </c>
      <c r="K277" s="282">
        <v>42997</v>
      </c>
      <c r="L277" s="283">
        <v>25292</v>
      </c>
      <c r="M277" s="281"/>
      <c r="N277" s="271">
        <f t="shared" si="84"/>
        <v>0.58822708561062398</v>
      </c>
      <c r="O277" s="272">
        <f t="shared" si="85"/>
        <v>359.11584803262167</v>
      </c>
      <c r="P277" s="273">
        <f t="shared" si="86"/>
        <v>55642400</v>
      </c>
      <c r="Q277" s="274">
        <f t="shared" si="87"/>
        <v>6.1261568155581774</v>
      </c>
      <c r="R277" s="284">
        <v>2200</v>
      </c>
    </row>
    <row r="278" spans="2:18" ht="18" customHeight="1">
      <c r="B278" s="745" t="s">
        <v>777</v>
      </c>
      <c r="C278" s="746" t="s">
        <v>93</v>
      </c>
      <c r="D278" s="285">
        <v>1172481.57</v>
      </c>
      <c r="E278" s="278">
        <v>1516659</v>
      </c>
      <c r="F278" s="279"/>
      <c r="G278" s="280">
        <v>62485</v>
      </c>
      <c r="H278" s="281"/>
      <c r="I278" s="728">
        <f t="shared" si="82"/>
        <v>4.1199109358135214E-2</v>
      </c>
      <c r="J278" s="728">
        <f t="shared" si="83"/>
        <v>6.1294710730575339E-2</v>
      </c>
      <c r="K278" s="282">
        <v>3830</v>
      </c>
      <c r="L278" s="283">
        <v>3036</v>
      </c>
      <c r="M278" s="281"/>
      <c r="N278" s="271">
        <f t="shared" si="84"/>
        <v>0.79268929503916452</v>
      </c>
      <c r="O278" s="272">
        <f t="shared" si="85"/>
        <v>386.19287549407119</v>
      </c>
      <c r="P278" s="273">
        <f t="shared" si="86"/>
        <v>1162788</v>
      </c>
      <c r="Q278" s="274">
        <f t="shared" si="87"/>
        <v>0.99173243294561975</v>
      </c>
      <c r="R278" s="284">
        <v>383</v>
      </c>
    </row>
    <row r="279" spans="2:18" ht="18" customHeight="1">
      <c r="B279" s="276" t="s">
        <v>778</v>
      </c>
      <c r="C279" s="277" t="s">
        <v>93</v>
      </c>
      <c r="D279" s="285">
        <v>785568.72</v>
      </c>
      <c r="E279" s="268">
        <v>550006</v>
      </c>
      <c r="F279" s="286"/>
      <c r="G279" s="269">
        <v>8541</v>
      </c>
      <c r="H279" s="270"/>
      <c r="I279" s="728">
        <f t="shared" si="82"/>
        <v>1.5528921502674516E-2</v>
      </c>
      <c r="J279" s="728">
        <f t="shared" si="83"/>
        <v>0.106544901065449</v>
      </c>
      <c r="K279" s="268">
        <v>910</v>
      </c>
      <c r="L279" s="269">
        <v>729</v>
      </c>
      <c r="M279" s="270"/>
      <c r="N279" s="287">
        <f t="shared" si="84"/>
        <v>0.80109890109890114</v>
      </c>
      <c r="O279" s="288">
        <f t="shared" si="85"/>
        <v>1077.597695473251</v>
      </c>
      <c r="P279" s="273">
        <f t="shared" si="86"/>
        <v>174960</v>
      </c>
      <c r="Q279" s="289">
        <f t="shared" si="87"/>
        <v>0.22271762551849061</v>
      </c>
      <c r="R279" s="275">
        <v>240</v>
      </c>
    </row>
    <row r="280" spans="2:18" ht="18" customHeight="1">
      <c r="B280" s="276" t="s">
        <v>779</v>
      </c>
      <c r="C280" s="277" t="s">
        <v>93</v>
      </c>
      <c r="D280" s="285">
        <v>1666158.02</v>
      </c>
      <c r="E280" s="268">
        <v>1003621</v>
      </c>
      <c r="F280" s="286"/>
      <c r="G280" s="269">
        <v>27673</v>
      </c>
      <c r="H280" s="270"/>
      <c r="I280" s="728">
        <f t="shared" si="82"/>
        <v>2.7573157596343639E-2</v>
      </c>
      <c r="J280" s="728">
        <f t="shared" si="83"/>
        <v>8.0836916850359555E-2</v>
      </c>
      <c r="K280" s="268">
        <v>2237</v>
      </c>
      <c r="L280" s="269">
        <v>1900</v>
      </c>
      <c r="M280" s="270"/>
      <c r="N280" s="287">
        <f t="shared" si="84"/>
        <v>0.84935181046043806</v>
      </c>
      <c r="O280" s="288">
        <f t="shared" si="85"/>
        <v>876.92527368421054</v>
      </c>
      <c r="P280" s="273">
        <f t="shared" si="86"/>
        <v>617500</v>
      </c>
      <c r="Q280" s="289">
        <f t="shared" si="87"/>
        <v>0.37061310667279923</v>
      </c>
      <c r="R280" s="275">
        <v>325</v>
      </c>
    </row>
    <row r="281" spans="2:18" ht="18" customHeight="1">
      <c r="B281" s="276" t="s">
        <v>780</v>
      </c>
      <c r="C281" s="277" t="s">
        <v>93</v>
      </c>
      <c r="D281" s="285"/>
      <c r="E281" s="268"/>
      <c r="F281" s="286"/>
      <c r="G281" s="269"/>
      <c r="H281" s="270"/>
      <c r="I281" s="728" t="e">
        <f t="shared" si="82"/>
        <v>#DIV/0!</v>
      </c>
      <c r="J281" s="728" t="e">
        <f t="shared" si="83"/>
        <v>#DIV/0!</v>
      </c>
      <c r="K281" s="268"/>
      <c r="L281" s="269"/>
      <c r="M281" s="270"/>
      <c r="N281" s="287" t="e">
        <f t="shared" si="84"/>
        <v>#DIV/0!</v>
      </c>
      <c r="O281" s="288" t="e">
        <f t="shared" si="85"/>
        <v>#DIV/0!</v>
      </c>
      <c r="P281" s="273">
        <f t="shared" si="86"/>
        <v>0</v>
      </c>
      <c r="Q281" s="289" t="e">
        <f t="shared" si="87"/>
        <v>#DIV/0!</v>
      </c>
      <c r="R281" s="275"/>
    </row>
    <row r="282" spans="2:18" ht="18" customHeight="1">
      <c r="B282" s="290" t="s">
        <v>781</v>
      </c>
      <c r="C282" s="277" t="s">
        <v>93</v>
      </c>
      <c r="D282" s="291"/>
      <c r="E282" s="292"/>
      <c r="F282" s="293"/>
      <c r="G282" s="294"/>
      <c r="H282" s="295"/>
      <c r="I282" s="728" t="e">
        <f t="shared" si="82"/>
        <v>#DIV/0!</v>
      </c>
      <c r="J282" s="728" t="e">
        <f t="shared" si="83"/>
        <v>#DIV/0!</v>
      </c>
      <c r="K282" s="292"/>
      <c r="L282" s="294"/>
      <c r="M282" s="295"/>
      <c r="N282" s="287" t="e">
        <f t="shared" si="84"/>
        <v>#DIV/0!</v>
      </c>
      <c r="O282" s="288" t="e">
        <f t="shared" si="85"/>
        <v>#DIV/0!</v>
      </c>
      <c r="P282" s="273">
        <f t="shared" si="86"/>
        <v>0</v>
      </c>
      <c r="Q282" s="289" t="e">
        <f t="shared" si="87"/>
        <v>#DIV/0!</v>
      </c>
      <c r="R282" s="275"/>
    </row>
    <row r="283" spans="2:18" ht="18" customHeight="1">
      <c r="B283" s="276" t="s">
        <v>782</v>
      </c>
      <c r="C283" s="277" t="s">
        <v>94</v>
      </c>
      <c r="D283" s="285"/>
      <c r="E283" s="278"/>
      <c r="F283" s="279"/>
      <c r="G283" s="280"/>
      <c r="H283" s="281"/>
      <c r="I283" s="728" t="e">
        <f t="shared" si="82"/>
        <v>#DIV/0!</v>
      </c>
      <c r="J283" s="728" t="e">
        <f t="shared" si="83"/>
        <v>#DIV/0!</v>
      </c>
      <c r="K283" s="282"/>
      <c r="L283" s="283"/>
      <c r="M283" s="281"/>
      <c r="N283" s="271" t="e">
        <f t="shared" si="84"/>
        <v>#DIV/0!</v>
      </c>
      <c r="O283" s="272" t="e">
        <f t="shared" si="85"/>
        <v>#DIV/0!</v>
      </c>
      <c r="P283" s="273">
        <f t="shared" si="86"/>
        <v>0</v>
      </c>
      <c r="Q283" s="274" t="e">
        <f t="shared" si="87"/>
        <v>#DIV/0!</v>
      </c>
      <c r="R283" s="284"/>
    </row>
    <row r="284" spans="2:18" ht="18" customHeight="1">
      <c r="B284" s="296" t="s">
        <v>783</v>
      </c>
      <c r="C284" s="297" t="s">
        <v>93</v>
      </c>
      <c r="D284" s="306">
        <v>1704630.67</v>
      </c>
      <c r="E284" s="273">
        <v>1158499</v>
      </c>
      <c r="F284" s="298"/>
      <c r="G284" s="299">
        <v>63637</v>
      </c>
      <c r="H284" s="300"/>
      <c r="I284" s="728">
        <f t="shared" si="82"/>
        <v>5.4930561010410883E-2</v>
      </c>
      <c r="J284" s="728">
        <f t="shared" si="83"/>
        <v>0.13833147382811886</v>
      </c>
      <c r="K284" s="301">
        <v>8803</v>
      </c>
      <c r="L284" s="302">
        <v>7403</v>
      </c>
      <c r="M284" s="300"/>
      <c r="N284" s="271">
        <f t="shared" si="84"/>
        <v>0.84096330796319441</v>
      </c>
      <c r="O284" s="272">
        <f t="shared" si="85"/>
        <v>230.26214642712412</v>
      </c>
      <c r="P284" s="273">
        <f t="shared" si="86"/>
        <v>921673.5</v>
      </c>
      <c r="Q284" s="274">
        <f t="shared" si="87"/>
        <v>0.54068808934430357</v>
      </c>
      <c r="R284" s="303">
        <v>124.5</v>
      </c>
    </row>
    <row r="285" spans="2:18" ht="18" customHeight="1">
      <c r="B285" s="296" t="s">
        <v>784</v>
      </c>
      <c r="C285" s="297" t="s">
        <v>93</v>
      </c>
      <c r="D285" s="306">
        <v>2096055.0299999998</v>
      </c>
      <c r="E285" s="273">
        <v>4282344</v>
      </c>
      <c r="F285" s="298"/>
      <c r="G285" s="299">
        <v>157538</v>
      </c>
      <c r="H285" s="300"/>
      <c r="I285" s="728">
        <f t="shared" si="82"/>
        <v>3.678779658990497E-2</v>
      </c>
      <c r="J285" s="728">
        <f t="shared" si="83"/>
        <v>5.8620777209308229E-2</v>
      </c>
      <c r="K285" s="301">
        <v>9235</v>
      </c>
      <c r="L285" s="302">
        <v>7721</v>
      </c>
      <c r="M285" s="300"/>
      <c r="N285" s="271">
        <f t="shared" si="84"/>
        <v>0.83605847319978344</v>
      </c>
      <c r="O285" s="272">
        <f t="shared" si="85"/>
        <v>271.47455381427272</v>
      </c>
      <c r="P285" s="273">
        <f t="shared" si="86"/>
        <v>5173070</v>
      </c>
      <c r="Q285" s="274">
        <f t="shared" si="87"/>
        <v>2.4680029512393102</v>
      </c>
      <c r="R285" s="303">
        <v>670</v>
      </c>
    </row>
    <row r="286" spans="2:18" ht="18" customHeight="1">
      <c r="B286" s="265" t="s">
        <v>785</v>
      </c>
      <c r="C286" s="313" t="s">
        <v>93</v>
      </c>
      <c r="D286" s="782"/>
      <c r="E286" s="721"/>
      <c r="F286" s="722"/>
      <c r="G286" s="723"/>
      <c r="H286" s="314"/>
      <c r="I286" s="783" t="e">
        <f t="shared" si="82"/>
        <v>#DIV/0!</v>
      </c>
      <c r="J286" s="783" t="e">
        <f t="shared" si="83"/>
        <v>#DIV/0!</v>
      </c>
      <c r="K286" s="721"/>
      <c r="L286" s="723"/>
      <c r="M286" s="314"/>
      <c r="N286" s="784" t="e">
        <f t="shared" si="84"/>
        <v>#DIV/0!</v>
      </c>
      <c r="O286" s="785" t="e">
        <f t="shared" si="85"/>
        <v>#DIV/0!</v>
      </c>
      <c r="P286" s="786">
        <f t="shared" si="86"/>
        <v>0</v>
      </c>
      <c r="Q286" s="787" t="e">
        <f t="shared" si="87"/>
        <v>#DIV/0!</v>
      </c>
      <c r="R286" s="317"/>
    </row>
    <row r="287" spans="2:18" ht="18" customHeight="1">
      <c r="B287" s="276" t="s">
        <v>785</v>
      </c>
      <c r="C287" s="277" t="s">
        <v>93</v>
      </c>
      <c r="D287" s="318">
        <v>365469.94</v>
      </c>
      <c r="E287" s="268">
        <v>1056500</v>
      </c>
      <c r="F287" s="268"/>
      <c r="G287" s="269">
        <v>75368</v>
      </c>
      <c r="H287" s="270"/>
      <c r="I287" s="728">
        <f t="shared" si="82"/>
        <v>7.1337434926644586E-2</v>
      </c>
      <c r="J287" s="728">
        <f t="shared" si="83"/>
        <v>6.2785266956798647E-2</v>
      </c>
      <c r="K287" s="282">
        <v>4732</v>
      </c>
      <c r="L287" s="319">
        <v>3576</v>
      </c>
      <c r="M287" s="270"/>
      <c r="N287" s="271">
        <f t="shared" si="84"/>
        <v>0.75570583262890956</v>
      </c>
      <c r="O287" s="272">
        <f t="shared" si="85"/>
        <v>102.20076621923937</v>
      </c>
      <c r="P287" s="273">
        <f t="shared" si="86"/>
        <v>2625713.7599999998</v>
      </c>
      <c r="Q287" s="274">
        <f t="shared" si="87"/>
        <v>7.1844862535069227</v>
      </c>
      <c r="R287" s="275">
        <v>734.26</v>
      </c>
    </row>
    <row r="288" spans="2:18" ht="18" customHeight="1">
      <c r="B288" s="276" t="s">
        <v>786</v>
      </c>
      <c r="C288" s="277" t="s">
        <v>94</v>
      </c>
      <c r="D288" s="318"/>
      <c r="E288" s="268"/>
      <c r="F288" s="286"/>
      <c r="G288" s="269"/>
      <c r="H288" s="270"/>
      <c r="I288" s="728" t="e">
        <f t="shared" si="82"/>
        <v>#DIV/0!</v>
      </c>
      <c r="J288" s="728" t="e">
        <f t="shared" si="83"/>
        <v>#DIV/0!</v>
      </c>
      <c r="K288" s="282"/>
      <c r="L288" s="319"/>
      <c r="M288" s="270"/>
      <c r="N288" s="287" t="e">
        <f t="shared" si="84"/>
        <v>#DIV/0!</v>
      </c>
      <c r="O288" s="288" t="e">
        <f t="shared" si="85"/>
        <v>#DIV/0!</v>
      </c>
      <c r="P288" s="268">
        <f t="shared" si="86"/>
        <v>0</v>
      </c>
      <c r="Q288" s="289" t="e">
        <f t="shared" si="87"/>
        <v>#DIV/0!</v>
      </c>
      <c r="R288" s="275"/>
    </row>
    <row r="289" spans="2:18" ht="18" customHeight="1">
      <c r="B289" s="320" t="s">
        <v>787</v>
      </c>
      <c r="C289" s="321" t="s">
        <v>93</v>
      </c>
      <c r="D289" s="322">
        <v>950051.98</v>
      </c>
      <c r="E289" s="332">
        <v>1780281</v>
      </c>
      <c r="F289" s="324"/>
      <c r="G289" s="325">
        <v>55888</v>
      </c>
      <c r="H289" s="326"/>
      <c r="I289" s="731">
        <f t="shared" si="82"/>
        <v>3.1392796979802629E-2</v>
      </c>
      <c r="J289" s="731">
        <f t="shared" si="83"/>
        <v>5.8098339536215286E-2</v>
      </c>
      <c r="K289" s="713">
        <v>3247</v>
      </c>
      <c r="L289" s="329">
        <v>2671</v>
      </c>
      <c r="M289" s="326"/>
      <c r="N289" s="330">
        <f t="shared" si="84"/>
        <v>0.82260548198336925</v>
      </c>
      <c r="O289" s="331">
        <f t="shared" si="85"/>
        <v>355.69149382253835</v>
      </c>
      <c r="P289" s="332">
        <f t="shared" si="86"/>
        <v>873897.78</v>
      </c>
      <c r="Q289" s="333">
        <f t="shared" si="87"/>
        <v>0.91984207011494257</v>
      </c>
      <c r="R289" s="719">
        <v>327.18</v>
      </c>
    </row>
    <row r="290" spans="2:18" ht="18" customHeight="1">
      <c r="G290" s="335" t="s">
        <v>788</v>
      </c>
      <c r="H290" s="336"/>
      <c r="I290" s="337">
        <f>SUM(G276:G282,G284)/SUM(E276:F282,E284)</f>
        <v>7.1741129739282997E-2</v>
      </c>
      <c r="J290" s="337">
        <f>SUM(K276:K282,K284)/SUM(G276:H282,G284)</f>
        <v>5.3749377691070424E-2</v>
      </c>
      <c r="K290" s="338"/>
      <c r="L290" s="338"/>
      <c r="M290" s="338"/>
      <c r="N290" s="338"/>
      <c r="O290" s="339">
        <f>SUM(D276:D282,D284)/SUM(L276:L282,L284)</f>
        <v>318.29081339840542</v>
      </c>
    </row>
    <row r="291" spans="2:18" ht="18" customHeight="1">
      <c r="D291" s="340"/>
      <c r="G291" s="335" t="s">
        <v>789</v>
      </c>
      <c r="H291" s="336"/>
      <c r="I291" s="337">
        <f>SUM(G285:G286)/SUM(E285:E286)</f>
        <v>3.678779658990497E-2</v>
      </c>
      <c r="J291" s="337">
        <f>SUM(K285:K286)/SUM(G285:H286)</f>
        <v>5.8620777209308229E-2</v>
      </c>
      <c r="K291" s="338"/>
      <c r="L291" s="338"/>
      <c r="M291" s="338"/>
      <c r="N291" s="338"/>
      <c r="O291" s="339">
        <f>SUM(D285:D286)/SUM(L285:L286)</f>
        <v>271.47455381427272</v>
      </c>
    </row>
    <row r="292" spans="2:18" ht="18" customHeight="1">
      <c r="G292" s="335" t="s">
        <v>790</v>
      </c>
      <c r="H292" s="336"/>
      <c r="I292" s="732">
        <f>SUM(G287:G289)/SUM(E287:E289)</f>
        <v>4.6269345430613076E-2</v>
      </c>
      <c r="J292" s="732">
        <f>SUM(K287:K289)/SUM(G287:G289)</f>
        <v>6.0789601999146708E-2</v>
      </c>
      <c r="K292" s="338"/>
      <c r="L292" s="338"/>
      <c r="M292" s="338"/>
      <c r="N292" s="338"/>
      <c r="O292" s="339">
        <f>SUM(D287:D289)/SUM(L287:M289)</f>
        <v>210.58458780214502</v>
      </c>
    </row>
    <row r="293" spans="2:18" ht="18" customHeight="1">
      <c r="G293" s="335" t="s">
        <v>791</v>
      </c>
      <c r="H293" s="336"/>
      <c r="I293" s="337">
        <f>SUM(G276:G289)/SUM(E276:E289)</f>
        <v>6.78038317042437E-2</v>
      </c>
      <c r="J293" s="337">
        <f>SUM(K276:K289)/SUM(G276:G289)</f>
        <v>5.4191946796539096E-2</v>
      </c>
      <c r="K293" s="338"/>
      <c r="L293" s="338"/>
      <c r="M293" s="338"/>
      <c r="N293" s="338"/>
      <c r="O293" s="339">
        <f>SUM(D276:D289)/SUM(L276:L289)</f>
        <v>311.26425679820886</v>
      </c>
    </row>
    <row r="294" spans="2:18" ht="18" customHeight="1">
      <c r="B294" s="705"/>
      <c r="C294" s="70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</row>
    <row r="295" spans="2:18" ht="18" customHeight="1">
      <c r="B295" s="705"/>
      <c r="C295" s="70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</row>
    <row r="296" spans="2:18" ht="18" customHeight="1">
      <c r="B296" s="705"/>
      <c r="C296" s="70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</row>
    <row r="297" spans="2:18" ht="18" customHeight="1">
      <c r="B297" s="248" t="s">
        <v>43</v>
      </c>
      <c r="C297" s="246"/>
      <c r="D297" s="246"/>
      <c r="E297" s="246"/>
      <c r="F297" s="246"/>
      <c r="G297" s="245"/>
      <c r="H297" s="245"/>
      <c r="I297" s="245"/>
      <c r="J297" s="245"/>
      <c r="K297" s="246"/>
      <c r="L297" s="245"/>
      <c r="M297" s="245" t="s">
        <v>219</v>
      </c>
      <c r="N297" s="246"/>
      <c r="O297" s="246"/>
      <c r="P297" s="246"/>
      <c r="Q297" s="246"/>
      <c r="R297" s="246"/>
    </row>
    <row r="298" spans="2:18" ht="49.5">
      <c r="B298" s="249" t="s">
        <v>85</v>
      </c>
      <c r="C298" s="788" t="s">
        <v>86</v>
      </c>
      <c r="D298" s="251" t="s">
        <v>87</v>
      </c>
      <c r="E298" s="252" t="s">
        <v>23</v>
      </c>
      <c r="F298" s="251" t="s">
        <v>88</v>
      </c>
      <c r="G298" s="251" t="s">
        <v>21</v>
      </c>
      <c r="H298" s="251" t="s">
        <v>89</v>
      </c>
      <c r="I298" s="251" t="s">
        <v>20</v>
      </c>
      <c r="J298" s="251" t="s">
        <v>19</v>
      </c>
      <c r="K298" s="252" t="s">
        <v>18</v>
      </c>
      <c r="L298" s="251" t="s">
        <v>17</v>
      </c>
      <c r="M298" s="251" t="s">
        <v>90</v>
      </c>
      <c r="N298" s="251" t="s">
        <v>16</v>
      </c>
      <c r="O298" s="251" t="s">
        <v>14</v>
      </c>
      <c r="P298" s="251" t="s">
        <v>91</v>
      </c>
      <c r="Q298" s="251" t="s">
        <v>12</v>
      </c>
      <c r="R298" s="253" t="s">
        <v>92</v>
      </c>
    </row>
    <row r="299" spans="2:18" ht="18" customHeight="1">
      <c r="B299" s="789" t="s">
        <v>775</v>
      </c>
      <c r="C299" s="790" t="s">
        <v>93</v>
      </c>
      <c r="D299" s="737"/>
      <c r="E299" s="257"/>
      <c r="F299" s="257">
        <v>1.3405776550534716</v>
      </c>
      <c r="G299" s="258"/>
      <c r="H299" s="259"/>
      <c r="I299" s="728" t="e">
        <f t="shared" ref="I299:I304" si="88">G299/E299</f>
        <v>#DIV/0!</v>
      </c>
      <c r="J299" s="728" t="e">
        <f t="shared" ref="J299:J304" si="89">K299/G299</f>
        <v>#DIV/0!</v>
      </c>
      <c r="K299" s="257"/>
      <c r="L299" s="258"/>
      <c r="M299" s="259" t="e">
        <v>#REF!</v>
      </c>
      <c r="N299" s="261" t="e">
        <f t="shared" ref="N299:N304" si="90">L299/K299</f>
        <v>#DIV/0!</v>
      </c>
      <c r="O299" s="262" t="e">
        <f t="shared" ref="O299:O304" si="91">D299/L299</f>
        <v>#DIV/0!</v>
      </c>
      <c r="P299" s="257">
        <f t="shared" ref="P299:P304" si="92">L299*$R299</f>
        <v>0</v>
      </c>
      <c r="Q299" s="263" t="e">
        <f t="shared" ref="Q299:Q304" si="93">P299/D299</f>
        <v>#DIV/0!</v>
      </c>
      <c r="R299" s="264">
        <v>1000</v>
      </c>
    </row>
    <row r="300" spans="2:18" ht="18" customHeight="1">
      <c r="B300" s="265" t="s">
        <v>776</v>
      </c>
      <c r="C300" s="791" t="s">
        <v>93</v>
      </c>
      <c r="D300" s="764"/>
      <c r="E300" s="268"/>
      <c r="F300" s="268"/>
      <c r="G300" s="269"/>
      <c r="H300" s="270"/>
      <c r="I300" s="728" t="e">
        <f t="shared" si="88"/>
        <v>#DIV/0!</v>
      </c>
      <c r="J300" s="728" t="e">
        <f t="shared" si="89"/>
        <v>#DIV/0!</v>
      </c>
      <c r="K300" s="268"/>
      <c r="L300" s="269"/>
      <c r="M300" s="270"/>
      <c r="N300" s="271" t="e">
        <f t="shared" si="90"/>
        <v>#DIV/0!</v>
      </c>
      <c r="O300" s="272" t="e">
        <f t="shared" si="91"/>
        <v>#DIV/0!</v>
      </c>
      <c r="P300" s="273">
        <f t="shared" si="92"/>
        <v>0</v>
      </c>
      <c r="Q300" s="274" t="e">
        <f t="shared" si="93"/>
        <v>#DIV/0!</v>
      </c>
      <c r="R300" s="275">
        <v>2200</v>
      </c>
    </row>
    <row r="301" spans="2:18" ht="18" customHeight="1">
      <c r="B301" s="276" t="s">
        <v>777</v>
      </c>
      <c r="C301" s="792" t="s">
        <v>93</v>
      </c>
      <c r="D301" s="285">
        <v>1846455.58</v>
      </c>
      <c r="E301" s="278">
        <v>1880912</v>
      </c>
      <c r="F301" s="279"/>
      <c r="G301" s="280">
        <v>71497</v>
      </c>
      <c r="H301" s="281"/>
      <c r="I301" s="728">
        <f t="shared" si="88"/>
        <v>3.8011879343637554E-2</v>
      </c>
      <c r="J301" s="728">
        <f t="shared" si="89"/>
        <v>5.0603521826090604E-2</v>
      </c>
      <c r="K301" s="282">
        <v>3618</v>
      </c>
      <c r="L301" s="283">
        <v>2815</v>
      </c>
      <c r="M301" s="281"/>
      <c r="N301" s="271">
        <f t="shared" si="90"/>
        <v>0.77805417357656159</v>
      </c>
      <c r="O301" s="272">
        <f t="shared" si="91"/>
        <v>655.93448667850805</v>
      </c>
      <c r="P301" s="273">
        <f t="shared" si="92"/>
        <v>937395</v>
      </c>
      <c r="Q301" s="274">
        <f t="shared" si="93"/>
        <v>0.50767265140491491</v>
      </c>
      <c r="R301" s="284">
        <v>333</v>
      </c>
    </row>
    <row r="302" spans="2:18" ht="18" customHeight="1">
      <c r="B302" s="276" t="s">
        <v>779</v>
      </c>
      <c r="C302" s="277" t="s">
        <v>93</v>
      </c>
      <c r="D302" s="285">
        <v>1753466</v>
      </c>
      <c r="E302" s="268">
        <v>1486977</v>
      </c>
      <c r="F302" s="286"/>
      <c r="G302" s="269">
        <v>51159</v>
      </c>
      <c r="H302" s="270"/>
      <c r="I302" s="728">
        <f t="shared" si="88"/>
        <v>3.4404701619460153E-2</v>
      </c>
      <c r="J302" s="728">
        <f t="shared" si="89"/>
        <v>5.4965890654625774E-2</v>
      </c>
      <c r="K302" s="268">
        <v>2812</v>
      </c>
      <c r="L302" s="269">
        <v>2312</v>
      </c>
      <c r="M302" s="270"/>
      <c r="N302" s="287">
        <f t="shared" si="90"/>
        <v>0.82219061166429586</v>
      </c>
      <c r="O302" s="288">
        <f t="shared" si="91"/>
        <v>758.41955017301041</v>
      </c>
      <c r="P302" s="273">
        <f t="shared" si="92"/>
        <v>751400</v>
      </c>
      <c r="Q302" s="289">
        <f t="shared" si="93"/>
        <v>0.42852270873800802</v>
      </c>
      <c r="R302" s="275">
        <v>325</v>
      </c>
    </row>
    <row r="303" spans="2:18" ht="18" customHeight="1">
      <c r="B303" s="296" t="s">
        <v>783</v>
      </c>
      <c r="C303" s="297" t="s">
        <v>93</v>
      </c>
      <c r="D303" s="306"/>
      <c r="E303" s="273"/>
      <c r="F303" s="298"/>
      <c r="G303" s="299"/>
      <c r="H303" s="300"/>
      <c r="I303" s="728" t="e">
        <f t="shared" si="88"/>
        <v>#DIV/0!</v>
      </c>
      <c r="J303" s="728" t="e">
        <f t="shared" si="89"/>
        <v>#DIV/0!</v>
      </c>
      <c r="K303" s="301"/>
      <c r="L303" s="302"/>
      <c r="M303" s="300"/>
      <c r="N303" s="271" t="e">
        <f t="shared" si="90"/>
        <v>#DIV/0!</v>
      </c>
      <c r="O303" s="272" t="e">
        <f t="shared" si="91"/>
        <v>#DIV/0!</v>
      </c>
      <c r="P303" s="273">
        <f t="shared" si="92"/>
        <v>0</v>
      </c>
      <c r="Q303" s="274" t="e">
        <f t="shared" si="93"/>
        <v>#DIV/0!</v>
      </c>
      <c r="R303" s="303">
        <v>110</v>
      </c>
    </row>
    <row r="304" spans="2:18" ht="18" customHeight="1">
      <c r="B304" s="304" t="s">
        <v>784</v>
      </c>
      <c r="C304" s="305" t="s">
        <v>93</v>
      </c>
      <c r="D304" s="710">
        <v>4914498.1900000004</v>
      </c>
      <c r="E304" s="307">
        <v>6748257</v>
      </c>
      <c r="F304" s="307"/>
      <c r="G304" s="308">
        <v>591720</v>
      </c>
      <c r="H304" s="309"/>
      <c r="I304" s="728">
        <f t="shared" si="88"/>
        <v>8.768486440276356E-2</v>
      </c>
      <c r="J304" s="728">
        <f t="shared" si="89"/>
        <v>6.1228283647671196E-2</v>
      </c>
      <c r="K304" s="310">
        <v>36230</v>
      </c>
      <c r="L304" s="311">
        <v>31086</v>
      </c>
      <c r="M304" s="309"/>
      <c r="N304" s="271">
        <f t="shared" si="90"/>
        <v>0.85801821694728131</v>
      </c>
      <c r="O304" s="272">
        <f t="shared" si="91"/>
        <v>158.0936173840314</v>
      </c>
      <c r="P304" s="273">
        <f t="shared" si="92"/>
        <v>20827620</v>
      </c>
      <c r="Q304" s="274">
        <f t="shared" si="93"/>
        <v>4.2379952529802436</v>
      </c>
      <c r="R304" s="312">
        <v>670</v>
      </c>
    </row>
    <row r="305" spans="2:18" ht="18" customHeight="1">
      <c r="B305" s="793" t="s">
        <v>785</v>
      </c>
      <c r="C305" s="794" t="s">
        <v>93</v>
      </c>
      <c r="D305" s="795">
        <v>1238804.95</v>
      </c>
      <c r="E305" s="796">
        <v>3446146</v>
      </c>
      <c r="F305" s="796"/>
      <c r="G305" s="797">
        <v>176862</v>
      </c>
      <c r="H305" s="798"/>
      <c r="I305" s="780">
        <v>5.1321679348466376E-2</v>
      </c>
      <c r="J305" s="780">
        <v>6.5706596103176487E-2</v>
      </c>
      <c r="K305" s="799">
        <v>11621</v>
      </c>
      <c r="L305" s="800">
        <v>9214</v>
      </c>
      <c r="M305" s="798"/>
      <c r="N305" s="801">
        <v>0.7928749677308321</v>
      </c>
      <c r="O305" s="802">
        <v>134.44811699587584</v>
      </c>
      <c r="P305" s="803">
        <v>6551154</v>
      </c>
      <c r="Q305" s="804">
        <v>5.2882852946301195</v>
      </c>
      <c r="R305" s="805">
        <v>711</v>
      </c>
    </row>
    <row r="306" spans="2:18" ht="18" customHeight="1">
      <c r="B306" s="320" t="s">
        <v>785</v>
      </c>
      <c r="C306" s="321" t="s">
        <v>93</v>
      </c>
      <c r="D306" s="806">
        <v>1434717</v>
      </c>
      <c r="E306" s="332">
        <v>1548493</v>
      </c>
      <c r="F306" s="807"/>
      <c r="G306" s="711">
        <v>108065</v>
      </c>
      <c r="H306" s="712"/>
      <c r="I306" s="731">
        <f>G306/E306</f>
        <v>6.9787206012555433E-2</v>
      </c>
      <c r="J306" s="731">
        <f>K306/G306</f>
        <v>4.9488733632535975E-2</v>
      </c>
      <c r="K306" s="332">
        <v>5348</v>
      </c>
      <c r="L306" s="711">
        <v>3807</v>
      </c>
      <c r="M306" s="712"/>
      <c r="N306" s="715">
        <f>L306/K306</f>
        <v>0.71185489902767385</v>
      </c>
      <c r="O306" s="716">
        <f>D306/L306</f>
        <v>376.86288416075649</v>
      </c>
      <c r="P306" s="717">
        <f>L306*$R306</f>
        <v>2710584</v>
      </c>
      <c r="Q306" s="718">
        <f>P306/D306</f>
        <v>1.889281300772208</v>
      </c>
      <c r="R306" s="808">
        <v>712</v>
      </c>
    </row>
    <row r="307" spans="2:18" ht="18" customHeight="1">
      <c r="B307" s="265" t="s">
        <v>786</v>
      </c>
      <c r="C307" s="313" t="s">
        <v>94</v>
      </c>
      <c r="D307" s="720"/>
      <c r="E307" s="721"/>
      <c r="F307" s="722"/>
      <c r="G307" s="723"/>
      <c r="H307" s="314"/>
      <c r="I307" s="783" t="e">
        <f>G307/E307</f>
        <v>#DIV/0!</v>
      </c>
      <c r="J307" s="783" t="e">
        <f>K307/G307</f>
        <v>#DIV/0!</v>
      </c>
      <c r="K307" s="315"/>
      <c r="L307" s="316"/>
      <c r="M307" s="314"/>
      <c r="N307" s="725" t="e">
        <f>L307/K307</f>
        <v>#DIV/0!</v>
      </c>
      <c r="O307" s="726" t="e">
        <f>D307/L307</f>
        <v>#DIV/0!</v>
      </c>
      <c r="P307" s="721">
        <f>L307*$R307</f>
        <v>0</v>
      </c>
      <c r="Q307" s="727" t="e">
        <f>P307/D307</f>
        <v>#DIV/0!</v>
      </c>
      <c r="R307" s="317"/>
    </row>
    <row r="308" spans="2:18" ht="18" customHeight="1">
      <c r="B308" s="320" t="s">
        <v>787</v>
      </c>
      <c r="C308" s="321" t="s">
        <v>93</v>
      </c>
      <c r="D308" s="322" t="s">
        <v>167</v>
      </c>
      <c r="E308" s="332" t="s">
        <v>167</v>
      </c>
      <c r="F308" s="324" t="s">
        <v>167</v>
      </c>
      <c r="G308" s="325" t="s">
        <v>167</v>
      </c>
      <c r="H308" s="326" t="s">
        <v>167</v>
      </c>
      <c r="I308" s="731" t="s">
        <v>167</v>
      </c>
      <c r="J308" s="731" t="s">
        <v>167</v>
      </c>
      <c r="K308" s="713" t="s">
        <v>167</v>
      </c>
      <c r="L308" s="329" t="s">
        <v>167</v>
      </c>
      <c r="M308" s="326" t="s">
        <v>167</v>
      </c>
      <c r="N308" s="330" t="s">
        <v>167</v>
      </c>
      <c r="O308" s="331" t="s">
        <v>167</v>
      </c>
      <c r="P308" s="332" t="s">
        <v>167</v>
      </c>
      <c r="Q308" s="333" t="s">
        <v>167</v>
      </c>
      <c r="R308" s="719" t="s">
        <v>167</v>
      </c>
    </row>
    <row r="309" spans="2:18" ht="18" customHeight="1">
      <c r="G309" s="335" t="s">
        <v>788</v>
      </c>
      <c r="H309" s="336"/>
      <c r="I309" s="337">
        <f>SUM(G299:G303)/SUM(E299:E303)</f>
        <v>3.641925253474803E-2</v>
      </c>
      <c r="J309" s="809">
        <f>SUM(K299:K303)/SUM(G299:G303)</f>
        <v>5.242303678580746E-2</v>
      </c>
      <c r="K309" s="338"/>
      <c r="L309" s="338"/>
      <c r="M309" s="338"/>
      <c r="N309" s="338"/>
      <c r="O309" s="339">
        <f>SUM(D299:D303)/SUM(L299:L303)</f>
        <v>702.14971328262141</v>
      </c>
    </row>
    <row r="310" spans="2:18" ht="18" customHeight="1">
      <c r="D310" s="340"/>
      <c r="G310" s="335" t="s">
        <v>789</v>
      </c>
      <c r="H310" s="336"/>
      <c r="I310" s="337">
        <f>SUM(G304:G306)/SUM(E304:E306)</f>
        <v>7.465339044133576E-2</v>
      </c>
      <c r="J310" s="337">
        <f>SUM(K304:K306)/SUM(G304:G306)</f>
        <v>6.068463132823132E-2</v>
      </c>
      <c r="K310" s="338"/>
      <c r="L310" s="338"/>
      <c r="M310" s="338"/>
      <c r="N310" s="338"/>
      <c r="O310" s="339">
        <f>SUM(D304:D306)/SUM(L304:L306)</f>
        <v>172.03664134944569</v>
      </c>
    </row>
    <row r="311" spans="2:18" ht="18" customHeight="1">
      <c r="G311" s="335" t="s">
        <v>791</v>
      </c>
      <c r="H311" s="336"/>
      <c r="I311" s="337">
        <f>SUM(G299:G308)/SUM(E299:E308)</f>
        <v>6.6131772770243236E-2</v>
      </c>
      <c r="J311" s="337">
        <f>SUM(K299:K308)/SUM(G299:G308)</f>
        <v>5.9670590401509856E-2</v>
      </c>
      <c r="K311" s="338"/>
      <c r="L311" s="338"/>
      <c r="M311" s="338"/>
      <c r="N311" s="338"/>
      <c r="O311" s="339">
        <f>SUM(D299:D308)/SUM(L299:L308)</f>
        <v>227.2401535524231</v>
      </c>
    </row>
    <row r="312" spans="2:18" ht="18" customHeight="1">
      <c r="C312" s="246"/>
      <c r="D312" s="246"/>
      <c r="E312" s="246"/>
      <c r="F312" s="246"/>
      <c r="G312" s="335" t="s">
        <v>790</v>
      </c>
      <c r="H312" s="245"/>
      <c r="I312" s="337">
        <v>5.1321679348466376E-2</v>
      </c>
      <c r="J312" s="337">
        <v>6.5706596103176487E-2</v>
      </c>
      <c r="K312" s="338"/>
      <c r="L312" s="338"/>
      <c r="M312" s="338"/>
      <c r="N312" s="338"/>
      <c r="O312" s="339">
        <v>134.44811699587584</v>
      </c>
      <c r="P312" s="246"/>
      <c r="Q312" s="246"/>
      <c r="R312" s="246"/>
    </row>
    <row r="313" spans="2:18" ht="18" customHeight="1">
      <c r="C313" s="246"/>
      <c r="D313" s="246"/>
      <c r="E313" s="246"/>
      <c r="F313" s="246"/>
      <c r="G313" s="733"/>
      <c r="H313" s="245"/>
      <c r="I313" s="337"/>
      <c r="J313" s="337"/>
      <c r="K313" s="338"/>
      <c r="L313" s="338"/>
      <c r="M313" s="338"/>
      <c r="N313" s="338"/>
      <c r="O313" s="339"/>
      <c r="P313" s="246"/>
      <c r="Q313" s="246"/>
      <c r="R313" s="246"/>
    </row>
    <row r="314" spans="2:18" ht="18" customHeight="1">
      <c r="C314" s="246"/>
      <c r="D314" s="246"/>
      <c r="E314" s="246"/>
      <c r="F314" s="246"/>
      <c r="G314" s="733"/>
      <c r="H314" s="245"/>
      <c r="I314" s="337"/>
      <c r="J314" s="337"/>
      <c r="K314" s="338"/>
      <c r="L314" s="338"/>
      <c r="M314" s="338"/>
      <c r="N314" s="338"/>
      <c r="O314" s="339"/>
      <c r="P314" s="246"/>
      <c r="Q314" s="246"/>
      <c r="R314" s="246"/>
    </row>
    <row r="315" spans="2:18" ht="18" customHeight="1">
      <c r="C315" s="246"/>
      <c r="D315" s="246"/>
      <c r="E315" s="246"/>
      <c r="F315" s="246"/>
      <c r="G315" s="733"/>
      <c r="H315" s="245"/>
      <c r="I315" s="337"/>
      <c r="J315" s="337"/>
      <c r="K315" s="338"/>
      <c r="L315" s="338"/>
      <c r="M315" s="338"/>
      <c r="N315" s="338"/>
      <c r="O315" s="339"/>
      <c r="P315" s="246"/>
      <c r="Q315" s="246"/>
      <c r="R315" s="246"/>
    </row>
    <row r="316" spans="2:18" ht="18" customHeight="1">
      <c r="B316" s="248" t="s">
        <v>1</v>
      </c>
      <c r="C316" s="246"/>
      <c r="D316" s="246"/>
      <c r="E316" s="246"/>
      <c r="F316" s="246"/>
      <c r="G316" s="245"/>
      <c r="H316" s="245"/>
      <c r="I316" s="245"/>
      <c r="J316" s="245"/>
      <c r="K316" s="246"/>
      <c r="L316" s="245"/>
      <c r="M316" s="245"/>
      <c r="N316" s="246"/>
      <c r="O316" s="246"/>
      <c r="P316" s="246"/>
      <c r="Q316" s="246"/>
      <c r="R316" s="246"/>
    </row>
    <row r="317" spans="2:18" ht="49.5">
      <c r="B317" s="249" t="s">
        <v>85</v>
      </c>
      <c r="C317" s="250" t="s">
        <v>86</v>
      </c>
      <c r="D317" s="251" t="s">
        <v>87</v>
      </c>
      <c r="E317" s="252" t="s">
        <v>23</v>
      </c>
      <c r="F317" s="251" t="s">
        <v>88</v>
      </c>
      <c r="G317" s="251" t="s">
        <v>21</v>
      </c>
      <c r="H317" s="251" t="s">
        <v>89</v>
      </c>
      <c r="I317" s="251" t="s">
        <v>20</v>
      </c>
      <c r="J317" s="251" t="s">
        <v>19</v>
      </c>
      <c r="K317" s="252" t="s">
        <v>18</v>
      </c>
      <c r="L317" s="251" t="s">
        <v>17</v>
      </c>
      <c r="M317" s="251" t="s">
        <v>90</v>
      </c>
      <c r="N317" s="251" t="s">
        <v>16</v>
      </c>
      <c r="O317" s="251" t="s">
        <v>14</v>
      </c>
      <c r="P317" s="251" t="s">
        <v>91</v>
      </c>
      <c r="Q317" s="251" t="s">
        <v>12</v>
      </c>
      <c r="R317" s="253" t="s">
        <v>92</v>
      </c>
    </row>
    <row r="318" spans="2:18" ht="18" customHeight="1">
      <c r="B318" s="810" t="s">
        <v>775</v>
      </c>
      <c r="C318" s="811" t="s">
        <v>93</v>
      </c>
      <c r="D318" s="737">
        <v>33062354.614999998</v>
      </c>
      <c r="E318" s="257">
        <v>38650803</v>
      </c>
      <c r="F318" s="257"/>
      <c r="G318" s="258">
        <v>6138857</v>
      </c>
      <c r="H318" s="259"/>
      <c r="I318" s="728">
        <f t="shared" ref="I318:I328" si="94">G318/E318</f>
        <v>0.15882870531823104</v>
      </c>
      <c r="J318" s="728">
        <f t="shared" ref="J318:J328" si="95">K318/G318</f>
        <v>0.10717451147664785</v>
      </c>
      <c r="K318" s="257">
        <v>657929</v>
      </c>
      <c r="L318" s="258">
        <v>477203</v>
      </c>
      <c r="M318" s="259" t="e">
        <v>#REF!</v>
      </c>
      <c r="N318" s="261">
        <f t="shared" ref="N318:N328" si="96">L318/K318</f>
        <v>0.72531078581427477</v>
      </c>
      <c r="O318" s="262">
        <f t="shared" ref="O318:O328" si="97">D318/L318</f>
        <v>69.28362691558938</v>
      </c>
      <c r="P318" s="257">
        <f t="shared" ref="P318:P331" si="98">L318*$R318</f>
        <v>477203000</v>
      </c>
      <c r="Q318" s="263">
        <f t="shared" ref="Q318:Q331" si="99">P318/D318</f>
        <v>14.433424526379579</v>
      </c>
      <c r="R318" s="264">
        <v>1000</v>
      </c>
    </row>
    <row r="319" spans="2:18" ht="18" customHeight="1">
      <c r="B319" s="265" t="s">
        <v>776</v>
      </c>
      <c r="C319" s="266" t="s">
        <v>93</v>
      </c>
      <c r="D319" s="764">
        <v>19910326.844999999</v>
      </c>
      <c r="E319" s="268">
        <v>32008680</v>
      </c>
      <c r="F319" s="268"/>
      <c r="G319" s="269">
        <v>2929173</v>
      </c>
      <c r="H319" s="270"/>
      <c r="I319" s="728">
        <f t="shared" si="94"/>
        <v>9.1511833665118336E-2</v>
      </c>
      <c r="J319" s="728">
        <f t="shared" si="95"/>
        <v>6.3247544614128293E-2</v>
      </c>
      <c r="K319" s="268">
        <v>185263</v>
      </c>
      <c r="L319" s="269">
        <v>137378</v>
      </c>
      <c r="M319" s="270"/>
      <c r="N319" s="271">
        <f t="shared" si="96"/>
        <v>0.74152960925818967</v>
      </c>
      <c r="O319" s="272">
        <f t="shared" si="97"/>
        <v>144.93097035187583</v>
      </c>
      <c r="P319" s="273">
        <f t="shared" si="98"/>
        <v>302231600</v>
      </c>
      <c r="Q319" s="274">
        <f t="shared" si="99"/>
        <v>15.179640311926784</v>
      </c>
      <c r="R319" s="275">
        <v>2200</v>
      </c>
    </row>
    <row r="320" spans="2:18" ht="18" customHeight="1">
      <c r="B320" s="276" t="s">
        <v>777</v>
      </c>
      <c r="C320" s="277" t="s">
        <v>93</v>
      </c>
      <c r="D320" s="285">
        <v>4505142.5</v>
      </c>
      <c r="E320" s="278">
        <v>2272335</v>
      </c>
      <c r="F320" s="279"/>
      <c r="G320" s="280">
        <v>301622</v>
      </c>
      <c r="H320" s="281"/>
      <c r="I320" s="728">
        <f t="shared" si="94"/>
        <v>0.1327365903354919</v>
      </c>
      <c r="J320" s="728">
        <f t="shared" si="95"/>
        <v>0.14511209394540187</v>
      </c>
      <c r="K320" s="282">
        <v>43769</v>
      </c>
      <c r="L320" s="283">
        <v>35990</v>
      </c>
      <c r="M320" s="281"/>
      <c r="N320" s="271">
        <f t="shared" si="96"/>
        <v>0.82227147067559236</v>
      </c>
      <c r="O320" s="272">
        <f t="shared" si="97"/>
        <v>125.17761878299528</v>
      </c>
      <c r="P320" s="273">
        <f t="shared" si="98"/>
        <v>16555400</v>
      </c>
      <c r="Q320" s="274">
        <f t="shared" si="99"/>
        <v>3.6747783227722541</v>
      </c>
      <c r="R320" s="284">
        <v>460</v>
      </c>
    </row>
    <row r="321" spans="2:18" ht="18" customHeight="1">
      <c r="B321" s="276" t="s">
        <v>778</v>
      </c>
      <c r="C321" s="277" t="s">
        <v>93</v>
      </c>
      <c r="D321" s="285">
        <v>1522830</v>
      </c>
      <c r="E321" s="268">
        <v>1533029</v>
      </c>
      <c r="F321" s="286"/>
      <c r="G321" s="269">
        <v>93216</v>
      </c>
      <c r="H321" s="270"/>
      <c r="I321" s="728">
        <f t="shared" si="94"/>
        <v>6.0805111971136881E-2</v>
      </c>
      <c r="J321" s="728">
        <f t="shared" si="95"/>
        <v>0.15249527978029523</v>
      </c>
      <c r="K321" s="268">
        <v>14215</v>
      </c>
      <c r="L321" s="269">
        <v>10316</v>
      </c>
      <c r="M321" s="270"/>
      <c r="N321" s="287">
        <f t="shared" si="96"/>
        <v>0.72571227576503694</v>
      </c>
      <c r="O321" s="288">
        <f t="shared" si="97"/>
        <v>147.61826289259403</v>
      </c>
      <c r="P321" s="273">
        <f t="shared" si="98"/>
        <v>2094148</v>
      </c>
      <c r="Q321" s="289">
        <f t="shared" si="99"/>
        <v>1.3751686005660513</v>
      </c>
      <c r="R321" s="275">
        <v>203</v>
      </c>
    </row>
    <row r="322" spans="2:18" ht="18" customHeight="1">
      <c r="B322" s="276" t="s">
        <v>779</v>
      </c>
      <c r="C322" s="277" t="s">
        <v>93</v>
      </c>
      <c r="D322" s="285">
        <v>1389344.19</v>
      </c>
      <c r="E322" s="268">
        <v>618044</v>
      </c>
      <c r="F322" s="286"/>
      <c r="G322" s="269">
        <v>37278</v>
      </c>
      <c r="H322" s="270"/>
      <c r="I322" s="728">
        <f t="shared" si="94"/>
        <v>6.0316093999779948E-2</v>
      </c>
      <c r="J322" s="728">
        <f t="shared" si="95"/>
        <v>0.20459788615269059</v>
      </c>
      <c r="K322" s="268">
        <v>7627</v>
      </c>
      <c r="L322" s="269">
        <v>5875</v>
      </c>
      <c r="M322" s="270"/>
      <c r="N322" s="287">
        <f t="shared" si="96"/>
        <v>0.77028976006293426</v>
      </c>
      <c r="O322" s="288">
        <f t="shared" si="97"/>
        <v>236.48411744680851</v>
      </c>
      <c r="P322" s="273">
        <f t="shared" si="98"/>
        <v>1909375</v>
      </c>
      <c r="Q322" s="289">
        <f t="shared" si="99"/>
        <v>1.3742994815417193</v>
      </c>
      <c r="R322" s="275">
        <v>325</v>
      </c>
    </row>
    <row r="323" spans="2:18" ht="18" customHeight="1">
      <c r="B323" s="276" t="s">
        <v>780</v>
      </c>
      <c r="C323" s="277" t="s">
        <v>93</v>
      </c>
      <c r="D323" s="285">
        <v>3630487.58</v>
      </c>
      <c r="E323" s="268">
        <v>2891998</v>
      </c>
      <c r="F323" s="286"/>
      <c r="G323" s="269">
        <v>141079</v>
      </c>
      <c r="H323" s="270"/>
      <c r="I323" s="728">
        <f t="shared" si="94"/>
        <v>4.8782537194009122E-2</v>
      </c>
      <c r="J323" s="728">
        <f t="shared" si="95"/>
        <v>0.17931797078232764</v>
      </c>
      <c r="K323" s="268">
        <v>25298</v>
      </c>
      <c r="L323" s="269">
        <v>19684</v>
      </c>
      <c r="M323" s="270"/>
      <c r="N323" s="287">
        <f t="shared" si="96"/>
        <v>0.77808522412838954</v>
      </c>
      <c r="O323" s="288">
        <f t="shared" si="97"/>
        <v>184.43850741719163</v>
      </c>
      <c r="P323" s="273">
        <f t="shared" si="98"/>
        <v>15924356</v>
      </c>
      <c r="Q323" s="289">
        <f t="shared" si="99"/>
        <v>4.3862857671585811</v>
      </c>
      <c r="R323" s="275">
        <v>809</v>
      </c>
    </row>
    <row r="324" spans="2:18" ht="18" customHeight="1">
      <c r="B324" s="290" t="s">
        <v>781</v>
      </c>
      <c r="C324" s="277" t="s">
        <v>93</v>
      </c>
      <c r="D324" s="291">
        <v>834969.67999999993</v>
      </c>
      <c r="E324" s="292">
        <v>477146</v>
      </c>
      <c r="F324" s="293"/>
      <c r="G324" s="294">
        <v>24250</v>
      </c>
      <c r="H324" s="295"/>
      <c r="I324" s="728">
        <f t="shared" si="94"/>
        <v>5.0823018531015667E-2</v>
      </c>
      <c r="J324" s="728">
        <f t="shared" si="95"/>
        <v>0.1002061855670103</v>
      </c>
      <c r="K324" s="292">
        <v>2430</v>
      </c>
      <c r="L324" s="294">
        <v>1912</v>
      </c>
      <c r="M324" s="295"/>
      <c r="N324" s="287">
        <f t="shared" si="96"/>
        <v>0.78683127572016465</v>
      </c>
      <c r="O324" s="288">
        <f t="shared" si="97"/>
        <v>436.69962343096233</v>
      </c>
      <c r="P324" s="273">
        <f t="shared" si="98"/>
        <v>1351784</v>
      </c>
      <c r="Q324" s="289">
        <f t="shared" si="99"/>
        <v>1.6189617807439429</v>
      </c>
      <c r="R324" s="275">
        <v>707</v>
      </c>
    </row>
    <row r="325" spans="2:18" ht="18" customHeight="1">
      <c r="B325" s="276" t="s">
        <v>782</v>
      </c>
      <c r="C325" s="277" t="s">
        <v>94</v>
      </c>
      <c r="D325" s="285">
        <v>826722.69</v>
      </c>
      <c r="E325" s="278">
        <v>339559</v>
      </c>
      <c r="F325" s="279"/>
      <c r="G325" s="280">
        <v>22417</v>
      </c>
      <c r="H325" s="281"/>
      <c r="I325" s="728">
        <f t="shared" si="94"/>
        <v>6.6017982147432402E-2</v>
      </c>
      <c r="J325" s="728">
        <f t="shared" si="95"/>
        <v>0.23776598117500111</v>
      </c>
      <c r="K325" s="282">
        <v>5330</v>
      </c>
      <c r="L325" s="283">
        <v>4192</v>
      </c>
      <c r="M325" s="281"/>
      <c r="N325" s="271">
        <f t="shared" si="96"/>
        <v>0.78649155722326458</v>
      </c>
      <c r="O325" s="272">
        <f t="shared" si="97"/>
        <v>197.21438215648854</v>
      </c>
      <c r="P325" s="273">
        <f t="shared" si="98"/>
        <v>1257600</v>
      </c>
      <c r="Q325" s="274">
        <f t="shared" si="99"/>
        <v>1.5211872314766153</v>
      </c>
      <c r="R325" s="284">
        <v>300</v>
      </c>
    </row>
    <row r="326" spans="2:18" ht="18" customHeight="1">
      <c r="B326" s="296" t="s">
        <v>783</v>
      </c>
      <c r="C326" s="297" t="s">
        <v>93</v>
      </c>
      <c r="D326" s="306">
        <v>4353511.6100000003</v>
      </c>
      <c r="E326" s="273">
        <v>2977598</v>
      </c>
      <c r="F326" s="298"/>
      <c r="G326" s="299">
        <v>158601</v>
      </c>
      <c r="H326" s="300"/>
      <c r="I326" s="728">
        <f t="shared" si="94"/>
        <v>5.3264745610387972E-2</v>
      </c>
      <c r="J326" s="728">
        <f t="shared" si="95"/>
        <v>0.15045932875580861</v>
      </c>
      <c r="K326" s="301">
        <v>23863</v>
      </c>
      <c r="L326" s="302">
        <v>21867</v>
      </c>
      <c r="M326" s="300"/>
      <c r="N326" s="271">
        <f t="shared" si="96"/>
        <v>0.91635586472782127</v>
      </c>
      <c r="O326" s="272">
        <f t="shared" si="97"/>
        <v>199.09048383408791</v>
      </c>
      <c r="P326" s="273">
        <f t="shared" si="98"/>
        <v>2405370</v>
      </c>
      <c r="Q326" s="274">
        <f t="shared" si="99"/>
        <v>0.55251259568824251</v>
      </c>
      <c r="R326" s="303">
        <v>110</v>
      </c>
    </row>
    <row r="327" spans="2:18" ht="18" customHeight="1">
      <c r="B327" s="304" t="s">
        <v>784</v>
      </c>
      <c r="C327" s="305" t="s">
        <v>93</v>
      </c>
      <c r="D327" s="710">
        <v>3614300.14</v>
      </c>
      <c r="E327" s="307">
        <v>4933298</v>
      </c>
      <c r="F327" s="307"/>
      <c r="G327" s="308">
        <v>292522</v>
      </c>
      <c r="H327" s="309"/>
      <c r="I327" s="728">
        <f t="shared" si="94"/>
        <v>5.9295424683447055E-2</v>
      </c>
      <c r="J327" s="728">
        <f t="shared" si="95"/>
        <v>6.9618695345991077E-2</v>
      </c>
      <c r="K327" s="310">
        <v>20365</v>
      </c>
      <c r="L327" s="311">
        <v>17063</v>
      </c>
      <c r="M327" s="309"/>
      <c r="N327" s="271">
        <f t="shared" si="96"/>
        <v>0.83785907193714704</v>
      </c>
      <c r="O327" s="272">
        <f t="shared" si="97"/>
        <v>211.82090722616186</v>
      </c>
      <c r="P327" s="273">
        <f t="shared" si="98"/>
        <v>11432210</v>
      </c>
      <c r="Q327" s="274">
        <f t="shared" si="99"/>
        <v>3.1630494306430235</v>
      </c>
      <c r="R327" s="312">
        <v>670</v>
      </c>
    </row>
    <row r="328" spans="2:18" ht="18" customHeight="1">
      <c r="B328" s="276" t="s">
        <v>785</v>
      </c>
      <c r="C328" s="277" t="s">
        <v>93</v>
      </c>
      <c r="D328" s="285"/>
      <c r="E328" s="268"/>
      <c r="F328" s="286"/>
      <c r="G328" s="269"/>
      <c r="H328" s="270"/>
      <c r="I328" s="728" t="e">
        <f t="shared" si="94"/>
        <v>#DIV/0!</v>
      </c>
      <c r="J328" s="728" t="e">
        <f t="shared" si="95"/>
        <v>#DIV/0!</v>
      </c>
      <c r="K328" s="268"/>
      <c r="L328" s="269"/>
      <c r="M328" s="270"/>
      <c r="N328" s="271" t="e">
        <f t="shared" si="96"/>
        <v>#DIV/0!</v>
      </c>
      <c r="O328" s="272" t="e">
        <f t="shared" si="97"/>
        <v>#DIV/0!</v>
      </c>
      <c r="P328" s="273">
        <f t="shared" si="98"/>
        <v>0</v>
      </c>
      <c r="Q328" s="274" t="e">
        <f t="shared" si="99"/>
        <v>#DIV/0!</v>
      </c>
      <c r="R328" s="275"/>
    </row>
    <row r="329" spans="2:18" ht="18" customHeight="1">
      <c r="B329" s="276" t="s">
        <v>785</v>
      </c>
      <c r="C329" s="277" t="s">
        <v>93</v>
      </c>
      <c r="D329" s="318" t="s">
        <v>167</v>
      </c>
      <c r="E329" s="268" t="s">
        <v>167</v>
      </c>
      <c r="F329" s="268" t="s">
        <v>167</v>
      </c>
      <c r="G329" s="269" t="s">
        <v>167</v>
      </c>
      <c r="H329" s="270" t="s">
        <v>167</v>
      </c>
      <c r="I329" s="728" t="s">
        <v>167</v>
      </c>
      <c r="J329" s="728" t="s">
        <v>167</v>
      </c>
      <c r="K329" s="282" t="s">
        <v>167</v>
      </c>
      <c r="L329" s="319" t="s">
        <v>167</v>
      </c>
      <c r="M329" s="270" t="s">
        <v>167</v>
      </c>
      <c r="N329" s="271" t="s">
        <v>167</v>
      </c>
      <c r="O329" s="272" t="s">
        <v>167</v>
      </c>
      <c r="P329" s="273" t="e">
        <f t="shared" si="98"/>
        <v>#VALUE!</v>
      </c>
      <c r="Q329" s="274" t="e">
        <f t="shared" si="99"/>
        <v>#VALUE!</v>
      </c>
      <c r="R329" s="275">
        <v>781.92499999999995</v>
      </c>
    </row>
    <row r="330" spans="2:18" ht="18" customHeight="1">
      <c r="B330" s="276" t="s">
        <v>786</v>
      </c>
      <c r="C330" s="277" t="s">
        <v>94</v>
      </c>
      <c r="D330" s="318">
        <v>5305988.1100000003</v>
      </c>
      <c r="E330" s="268"/>
      <c r="F330" s="286"/>
      <c r="G330" s="269"/>
      <c r="H330" s="270"/>
      <c r="I330" s="728" t="e">
        <f>G330/E330</f>
        <v>#DIV/0!</v>
      </c>
      <c r="J330" s="728" t="e">
        <f>K330/G330</f>
        <v>#DIV/0!</v>
      </c>
      <c r="K330" s="282"/>
      <c r="L330" s="319"/>
      <c r="M330" s="270"/>
      <c r="N330" s="287" t="e">
        <f>L330/K330</f>
        <v>#DIV/0!</v>
      </c>
      <c r="O330" s="288" t="e">
        <f>D330/L330</f>
        <v>#DIV/0!</v>
      </c>
      <c r="P330" s="268">
        <f t="shared" si="98"/>
        <v>0</v>
      </c>
      <c r="Q330" s="289">
        <f t="shared" si="99"/>
        <v>0</v>
      </c>
      <c r="R330" s="275"/>
    </row>
    <row r="331" spans="2:18" ht="18" customHeight="1">
      <c r="B331" s="320" t="s">
        <v>787</v>
      </c>
      <c r="C331" s="321" t="s">
        <v>93</v>
      </c>
      <c r="D331" s="322">
        <v>3177287.45</v>
      </c>
      <c r="E331" s="332">
        <v>3441353</v>
      </c>
      <c r="F331" s="324"/>
      <c r="G331" s="325">
        <v>325996</v>
      </c>
      <c r="H331" s="326"/>
      <c r="I331" s="731">
        <f>G331/E331</f>
        <v>9.472902082407704E-2</v>
      </c>
      <c r="J331" s="731">
        <f>K331/G331</f>
        <v>0.12282972797212235</v>
      </c>
      <c r="K331" s="713">
        <v>40042</v>
      </c>
      <c r="L331" s="329">
        <v>32513</v>
      </c>
      <c r="M331" s="326"/>
      <c r="N331" s="330">
        <f>L331/K331</f>
        <v>0.81197242894960286</v>
      </c>
      <c r="O331" s="331">
        <f>D331/L331</f>
        <v>97.723601328699289</v>
      </c>
      <c r="P331" s="332">
        <f t="shared" si="98"/>
        <v>20125547</v>
      </c>
      <c r="Q331" s="333">
        <f t="shared" si="99"/>
        <v>6.3341914500055694</v>
      </c>
      <c r="R331" s="719">
        <v>619</v>
      </c>
    </row>
    <row r="332" spans="2:18" ht="18" customHeight="1">
      <c r="G332" s="335" t="s">
        <v>788</v>
      </c>
      <c r="H332" s="336"/>
      <c r="I332" s="337">
        <f>SUM(G318:G324,G326)/SUM(E318:F324,E326)</f>
        <v>0.12064497453893719</v>
      </c>
      <c r="J332" s="337">
        <f>SUM(K318:K324,K326)/SUM(G318:H324,G326)</f>
        <v>9.7759219289427324E-2</v>
      </c>
      <c r="K332" s="338"/>
      <c r="L332" s="338"/>
      <c r="M332" s="338"/>
      <c r="N332" s="338"/>
      <c r="O332" s="339">
        <f>SUM(D318:D324,D326)/SUM(L318:L324,L326)</f>
        <v>97.446537393079652</v>
      </c>
    </row>
    <row r="333" spans="2:18" ht="18" customHeight="1">
      <c r="G333" s="335" t="s">
        <v>793</v>
      </c>
      <c r="H333" s="336"/>
      <c r="I333" s="337">
        <f>I325</f>
        <v>6.6017982147432402E-2</v>
      </c>
      <c r="J333" s="337">
        <f>J325</f>
        <v>0.23776598117500111</v>
      </c>
      <c r="K333" s="338"/>
      <c r="L333" s="338"/>
      <c r="M333" s="338"/>
      <c r="N333" s="338"/>
      <c r="O333" s="339">
        <f>O325</f>
        <v>197.21438215648854</v>
      </c>
    </row>
    <row r="334" spans="2:18" ht="18" customHeight="1">
      <c r="D334" s="340"/>
      <c r="G334" s="335" t="s">
        <v>789</v>
      </c>
      <c r="H334" s="336"/>
      <c r="I334" s="337">
        <f>SUM(G327:G328)/SUM(E327:E328)</f>
        <v>5.9295424683447055E-2</v>
      </c>
      <c r="J334" s="337">
        <f>SUM(K327:K328)/SUM(G327:H328)</f>
        <v>6.9618695345991077E-2</v>
      </c>
      <c r="K334" s="338"/>
      <c r="L334" s="338"/>
      <c r="M334" s="338"/>
      <c r="N334" s="338"/>
      <c r="O334" s="339">
        <f>SUM(D327:D328)/SUM(L327:L328)</f>
        <v>211.82090722616186</v>
      </c>
    </row>
    <row r="335" spans="2:18" ht="18" customHeight="1">
      <c r="G335" s="335" t="s">
        <v>790</v>
      </c>
      <c r="H335" s="336"/>
      <c r="I335" s="732">
        <f>SUM(G329:G331)/SUM(E329:E331)</f>
        <v>9.472902082407704E-2</v>
      </c>
      <c r="J335" s="732">
        <f>SUM(K329:K331)/SUM(G329:G331)</f>
        <v>0.12282972797212235</v>
      </c>
      <c r="K335" s="338"/>
      <c r="L335" s="338"/>
      <c r="M335" s="338"/>
      <c r="N335" s="338"/>
      <c r="O335" s="339">
        <f>SUM(D329:D331)/SUM(L329:L331)</f>
        <v>260.91949558638083</v>
      </c>
    </row>
    <row r="336" spans="2:18" ht="18" customHeight="1">
      <c r="G336" s="335" t="s">
        <v>791</v>
      </c>
      <c r="H336" s="336"/>
      <c r="I336" s="337">
        <f>SUM(G318:G331)/SUM(E318:E331)</f>
        <v>0.11609235474906478</v>
      </c>
      <c r="J336" s="337">
        <f>SUM(K318:K331)/SUM(G318:G331)</f>
        <v>9.8053504196029984E-2</v>
      </c>
      <c r="K336" s="338"/>
      <c r="L336" s="338"/>
      <c r="M336" s="338"/>
      <c r="N336" s="338"/>
      <c r="O336" s="339">
        <f>SUM(D318:D331)/SUM(L318:L331)</f>
        <v>107.50525909268802</v>
      </c>
    </row>
    <row r="337" spans="2:18" ht="18" customHeight="1"/>
    <row r="338" spans="2:18" ht="18" customHeight="1">
      <c r="B338" s="812"/>
      <c r="I338" s="813"/>
    </row>
    <row r="339" spans="2:18" ht="18" customHeight="1"/>
    <row r="340" spans="2:18" ht="18" customHeight="1">
      <c r="B340" s="248" t="s">
        <v>41</v>
      </c>
      <c r="G340" s="814"/>
      <c r="H340" s="336"/>
      <c r="I340" s="815"/>
      <c r="J340" s="815"/>
      <c r="O340" s="816"/>
    </row>
    <row r="341" spans="2:18" ht="49.5">
      <c r="B341" s="249" t="s">
        <v>85</v>
      </c>
      <c r="C341" s="250" t="s">
        <v>86</v>
      </c>
      <c r="D341" s="251" t="s">
        <v>87</v>
      </c>
      <c r="E341" s="252" t="s">
        <v>23</v>
      </c>
      <c r="F341" s="251" t="s">
        <v>88</v>
      </c>
      <c r="G341" s="251" t="s">
        <v>21</v>
      </c>
      <c r="H341" s="251" t="s">
        <v>89</v>
      </c>
      <c r="I341" s="251" t="s">
        <v>20</v>
      </c>
      <c r="J341" s="251" t="s">
        <v>19</v>
      </c>
      <c r="K341" s="252" t="s">
        <v>18</v>
      </c>
      <c r="L341" s="251" t="s">
        <v>17</v>
      </c>
      <c r="M341" s="251" t="s">
        <v>90</v>
      </c>
      <c r="N341" s="251" t="s">
        <v>16</v>
      </c>
      <c r="O341" s="251" t="s">
        <v>14</v>
      </c>
      <c r="P341" s="251" t="s">
        <v>91</v>
      </c>
      <c r="Q341" s="251" t="s">
        <v>12</v>
      </c>
      <c r="R341" s="253" t="s">
        <v>92</v>
      </c>
    </row>
    <row r="342" spans="2:18" ht="18" customHeight="1">
      <c r="B342" s="810" t="s">
        <v>775</v>
      </c>
      <c r="C342" s="811" t="s">
        <v>93</v>
      </c>
      <c r="D342" s="737">
        <v>28862026.399999999</v>
      </c>
      <c r="E342" s="257">
        <v>30155300</v>
      </c>
      <c r="F342" s="257"/>
      <c r="G342" s="258">
        <v>4088877</v>
      </c>
      <c r="H342" s="259"/>
      <c r="I342" s="728">
        <f t="shared" ref="I342:I355" si="100">G342/E342</f>
        <v>0.13559397518844116</v>
      </c>
      <c r="J342" s="728">
        <f t="shared" ref="J342:J355" si="101">K342/G342</f>
        <v>0.11444560450216526</v>
      </c>
      <c r="K342" s="257">
        <v>467954</v>
      </c>
      <c r="L342" s="258">
        <v>334639</v>
      </c>
      <c r="M342" s="259" t="e">
        <v>#REF!</v>
      </c>
      <c r="N342" s="261">
        <f t="shared" ref="N342:N355" si="102">L342/K342</f>
        <v>0.71511088696752245</v>
      </c>
      <c r="O342" s="262">
        <f t="shared" ref="O342:O355" si="103">D342/L342</f>
        <v>86.248244825020393</v>
      </c>
      <c r="P342" s="257">
        <f t="shared" ref="P342:P355" si="104">L342*$R342</f>
        <v>334639000</v>
      </c>
      <c r="Q342" s="263">
        <f t="shared" ref="Q342:Q355" si="105">P342/D342</f>
        <v>11.5944388436981</v>
      </c>
      <c r="R342" s="264">
        <v>1000</v>
      </c>
    </row>
    <row r="343" spans="2:18" ht="18" customHeight="1">
      <c r="B343" s="265" t="s">
        <v>776</v>
      </c>
      <c r="C343" s="266" t="s">
        <v>93</v>
      </c>
      <c r="D343" s="764">
        <v>14567154.379999999</v>
      </c>
      <c r="E343" s="268">
        <v>24079552</v>
      </c>
      <c r="F343" s="268"/>
      <c r="G343" s="269">
        <v>1788762</v>
      </c>
      <c r="H343" s="270"/>
      <c r="I343" s="728">
        <f t="shared" si="100"/>
        <v>7.4285518268778425E-2</v>
      </c>
      <c r="J343" s="728">
        <f t="shared" si="101"/>
        <v>7.5165393719231519E-2</v>
      </c>
      <c r="K343" s="268">
        <v>134453</v>
      </c>
      <c r="L343" s="269">
        <v>98377</v>
      </c>
      <c r="M343" s="270"/>
      <c r="N343" s="271">
        <f t="shared" si="102"/>
        <v>0.73168319040854424</v>
      </c>
      <c r="O343" s="272">
        <f t="shared" si="103"/>
        <v>148.07479776777092</v>
      </c>
      <c r="P343" s="273">
        <f t="shared" si="104"/>
        <v>216429400</v>
      </c>
      <c r="Q343" s="274">
        <f t="shared" si="105"/>
        <v>14.857356100869442</v>
      </c>
      <c r="R343" s="275">
        <v>2200</v>
      </c>
    </row>
    <row r="344" spans="2:18" ht="18" customHeight="1">
      <c r="B344" s="276" t="s">
        <v>777</v>
      </c>
      <c r="C344" s="277" t="s">
        <v>93</v>
      </c>
      <c r="D344" s="285">
        <v>3914403.89</v>
      </c>
      <c r="E344" s="278">
        <v>1865142</v>
      </c>
      <c r="F344" s="279"/>
      <c r="G344" s="280">
        <v>224473</v>
      </c>
      <c r="H344" s="281"/>
      <c r="I344" s="728">
        <f t="shared" si="100"/>
        <v>0.12035169440182035</v>
      </c>
      <c r="J344" s="728">
        <f t="shared" si="101"/>
        <v>0.15127877294819422</v>
      </c>
      <c r="K344" s="282">
        <v>33958</v>
      </c>
      <c r="L344" s="283">
        <v>27793</v>
      </c>
      <c r="M344" s="281"/>
      <c r="N344" s="271">
        <f t="shared" si="102"/>
        <v>0.81845220566582244</v>
      </c>
      <c r="O344" s="272">
        <f t="shared" si="103"/>
        <v>140.84135897528154</v>
      </c>
      <c r="P344" s="273">
        <f t="shared" si="104"/>
        <v>12784780</v>
      </c>
      <c r="Q344" s="274">
        <f t="shared" si="105"/>
        <v>3.2660860655337229</v>
      </c>
      <c r="R344" s="284">
        <v>460</v>
      </c>
    </row>
    <row r="345" spans="2:18" ht="18" customHeight="1">
      <c r="B345" s="276" t="s">
        <v>778</v>
      </c>
      <c r="C345" s="277" t="s">
        <v>93</v>
      </c>
      <c r="D345" s="285">
        <v>1432477.1400000001</v>
      </c>
      <c r="E345" s="268">
        <v>881143</v>
      </c>
      <c r="F345" s="286"/>
      <c r="G345" s="269">
        <v>45069</v>
      </c>
      <c r="H345" s="270"/>
      <c r="I345" s="728">
        <f t="shared" si="100"/>
        <v>5.1148338010969845E-2</v>
      </c>
      <c r="J345" s="728">
        <f t="shared" si="101"/>
        <v>0.20091415385298098</v>
      </c>
      <c r="K345" s="268">
        <v>9055</v>
      </c>
      <c r="L345" s="269">
        <v>6562</v>
      </c>
      <c r="M345" s="270"/>
      <c r="N345" s="287">
        <f t="shared" si="102"/>
        <v>0.72468249585864164</v>
      </c>
      <c r="O345" s="288">
        <f t="shared" si="103"/>
        <v>218.29886315147823</v>
      </c>
      <c r="P345" s="273">
        <f t="shared" si="104"/>
        <v>1332086</v>
      </c>
      <c r="Q345" s="289">
        <f t="shared" si="105"/>
        <v>0.9299178065766549</v>
      </c>
      <c r="R345" s="275">
        <v>203</v>
      </c>
    </row>
    <row r="346" spans="2:18" ht="18" customHeight="1">
      <c r="B346" s="276" t="s">
        <v>779</v>
      </c>
      <c r="C346" s="277" t="s">
        <v>93</v>
      </c>
      <c r="D346" s="285">
        <v>1128463.8500000001</v>
      </c>
      <c r="E346" s="268">
        <v>498548</v>
      </c>
      <c r="F346" s="286"/>
      <c r="G346" s="269">
        <v>25397</v>
      </c>
      <c r="H346" s="270"/>
      <c r="I346" s="728">
        <f t="shared" si="100"/>
        <v>5.094193538034452E-2</v>
      </c>
      <c r="J346" s="728">
        <f t="shared" si="101"/>
        <v>0.22353033822892468</v>
      </c>
      <c r="K346" s="268">
        <v>5677</v>
      </c>
      <c r="L346" s="269">
        <v>4386</v>
      </c>
      <c r="M346" s="270"/>
      <c r="N346" s="287">
        <f t="shared" si="102"/>
        <v>0.77259115730139161</v>
      </c>
      <c r="O346" s="288">
        <f t="shared" si="103"/>
        <v>257.28769949840404</v>
      </c>
      <c r="P346" s="273">
        <f t="shared" si="104"/>
        <v>1425450</v>
      </c>
      <c r="Q346" s="289">
        <f t="shared" si="105"/>
        <v>1.2631773716100874</v>
      </c>
      <c r="R346" s="275">
        <v>325</v>
      </c>
    </row>
    <row r="347" spans="2:18" ht="18" customHeight="1">
      <c r="B347" s="276" t="s">
        <v>780</v>
      </c>
      <c r="C347" s="277" t="s">
        <v>93</v>
      </c>
      <c r="D347" s="285">
        <v>3124840.04</v>
      </c>
      <c r="E347" s="268">
        <v>2470437</v>
      </c>
      <c r="F347" s="286"/>
      <c r="G347" s="269">
        <v>108505</v>
      </c>
      <c r="H347" s="270"/>
      <c r="I347" s="728">
        <f t="shared" si="100"/>
        <v>4.3921379092039178E-2</v>
      </c>
      <c r="J347" s="728">
        <f t="shared" si="101"/>
        <v>0.18510667711165385</v>
      </c>
      <c r="K347" s="268">
        <v>20085</v>
      </c>
      <c r="L347" s="269">
        <v>15429</v>
      </c>
      <c r="M347" s="270"/>
      <c r="N347" s="287">
        <f t="shared" si="102"/>
        <v>0.76818521284540697</v>
      </c>
      <c r="O347" s="288">
        <f t="shared" si="103"/>
        <v>202.5303026767775</v>
      </c>
      <c r="P347" s="273">
        <f t="shared" si="104"/>
        <v>12482061</v>
      </c>
      <c r="Q347" s="289">
        <f t="shared" si="105"/>
        <v>3.9944639854269148</v>
      </c>
      <c r="R347" s="275">
        <v>809</v>
      </c>
    </row>
    <row r="348" spans="2:18" ht="18" customHeight="1">
      <c r="B348" s="290" t="s">
        <v>781</v>
      </c>
      <c r="C348" s="277" t="s">
        <v>93</v>
      </c>
      <c r="D348" s="291">
        <v>558124.46</v>
      </c>
      <c r="E348" s="292">
        <v>161168</v>
      </c>
      <c r="F348" s="293"/>
      <c r="G348" s="294">
        <v>7461</v>
      </c>
      <c r="H348" s="295"/>
      <c r="I348" s="728">
        <f t="shared" si="100"/>
        <v>4.6293308845428371E-2</v>
      </c>
      <c r="J348" s="728">
        <f t="shared" si="101"/>
        <v>0.10186302104275566</v>
      </c>
      <c r="K348" s="292">
        <v>760</v>
      </c>
      <c r="L348" s="294">
        <v>565</v>
      </c>
      <c r="M348" s="295"/>
      <c r="N348" s="287">
        <f t="shared" si="102"/>
        <v>0.74342105263157898</v>
      </c>
      <c r="O348" s="288">
        <f t="shared" si="103"/>
        <v>987.83090265486715</v>
      </c>
      <c r="P348" s="273">
        <f t="shared" si="104"/>
        <v>399455</v>
      </c>
      <c r="Q348" s="289">
        <f t="shared" si="105"/>
        <v>0.71570953905155854</v>
      </c>
      <c r="R348" s="275">
        <v>707</v>
      </c>
    </row>
    <row r="349" spans="2:18" ht="18" customHeight="1">
      <c r="B349" s="276" t="s">
        <v>782</v>
      </c>
      <c r="C349" s="277" t="s">
        <v>94</v>
      </c>
      <c r="D349" s="285">
        <v>676588.46</v>
      </c>
      <c r="E349" s="278">
        <v>320470</v>
      </c>
      <c r="F349" s="279"/>
      <c r="G349" s="280">
        <v>13896</v>
      </c>
      <c r="H349" s="281"/>
      <c r="I349" s="728">
        <f t="shared" si="100"/>
        <v>4.3361313071426343E-2</v>
      </c>
      <c r="J349" s="728">
        <f t="shared" si="101"/>
        <v>0.19703511801957399</v>
      </c>
      <c r="K349" s="282">
        <v>2738</v>
      </c>
      <c r="L349" s="283">
        <v>2205</v>
      </c>
      <c r="M349" s="281"/>
      <c r="N349" s="271">
        <f t="shared" si="102"/>
        <v>0.80533235938641345</v>
      </c>
      <c r="O349" s="272">
        <f t="shared" si="103"/>
        <v>306.84283900226757</v>
      </c>
      <c r="P349" s="273">
        <f t="shared" si="104"/>
        <v>661500</v>
      </c>
      <c r="Q349" s="274">
        <f t="shared" si="105"/>
        <v>0.97769920580673231</v>
      </c>
      <c r="R349" s="284">
        <v>300</v>
      </c>
    </row>
    <row r="350" spans="2:18" ht="18" customHeight="1">
      <c r="B350" s="296" t="s">
        <v>783</v>
      </c>
      <c r="C350" s="297" t="s">
        <v>93</v>
      </c>
      <c r="D350" s="306">
        <v>2271802.37</v>
      </c>
      <c r="E350" s="273">
        <v>810067</v>
      </c>
      <c r="F350" s="298"/>
      <c r="G350" s="299">
        <v>65828</v>
      </c>
      <c r="H350" s="300"/>
      <c r="I350" s="728">
        <f t="shared" si="100"/>
        <v>8.1262414096611765E-2</v>
      </c>
      <c r="J350" s="728">
        <f t="shared" si="101"/>
        <v>0.17527495898401896</v>
      </c>
      <c r="K350" s="301">
        <v>11538</v>
      </c>
      <c r="L350" s="302">
        <v>10575</v>
      </c>
      <c r="M350" s="300"/>
      <c r="N350" s="271">
        <f t="shared" si="102"/>
        <v>0.91653666146645862</v>
      </c>
      <c r="O350" s="272">
        <f t="shared" si="103"/>
        <v>214.82764728132389</v>
      </c>
      <c r="P350" s="273">
        <f t="shared" si="104"/>
        <v>1163250</v>
      </c>
      <c r="Q350" s="274">
        <f t="shared" si="105"/>
        <v>0.51203837770448313</v>
      </c>
      <c r="R350" s="303">
        <v>110</v>
      </c>
    </row>
    <row r="351" spans="2:18" ht="18" customHeight="1">
      <c r="B351" s="304" t="s">
        <v>784</v>
      </c>
      <c r="C351" s="305" t="s">
        <v>93</v>
      </c>
      <c r="D351" s="710">
        <v>1283541.78</v>
      </c>
      <c r="E351" s="307">
        <v>2909511</v>
      </c>
      <c r="F351" s="307"/>
      <c r="G351" s="308">
        <v>170149</v>
      </c>
      <c r="H351" s="309"/>
      <c r="I351" s="728">
        <f t="shared" si="100"/>
        <v>5.8480273832956807E-2</v>
      </c>
      <c r="J351" s="728">
        <f t="shared" si="101"/>
        <v>7.3629583482712216E-2</v>
      </c>
      <c r="K351" s="310">
        <v>12528</v>
      </c>
      <c r="L351" s="311">
        <v>10304</v>
      </c>
      <c r="M351" s="309"/>
      <c r="N351" s="271">
        <f t="shared" si="102"/>
        <v>0.82247765006385698</v>
      </c>
      <c r="O351" s="272">
        <f t="shared" si="103"/>
        <v>124.56733113354038</v>
      </c>
      <c r="P351" s="273">
        <f t="shared" si="104"/>
        <v>6903680</v>
      </c>
      <c r="Q351" s="274">
        <f t="shared" si="105"/>
        <v>5.3786172819399773</v>
      </c>
      <c r="R351" s="312">
        <v>670</v>
      </c>
    </row>
    <row r="352" spans="2:18" ht="18" customHeight="1">
      <c r="B352" s="276" t="s">
        <v>785</v>
      </c>
      <c r="C352" s="277" t="s">
        <v>93</v>
      </c>
      <c r="D352" s="285"/>
      <c r="E352" s="268"/>
      <c r="F352" s="286"/>
      <c r="G352" s="269"/>
      <c r="H352" s="270"/>
      <c r="I352" s="728" t="e">
        <f t="shared" si="100"/>
        <v>#DIV/0!</v>
      </c>
      <c r="J352" s="728" t="e">
        <f t="shared" si="101"/>
        <v>#DIV/0!</v>
      </c>
      <c r="K352" s="268"/>
      <c r="L352" s="269"/>
      <c r="M352" s="270"/>
      <c r="N352" s="271" t="e">
        <f t="shared" si="102"/>
        <v>#DIV/0!</v>
      </c>
      <c r="O352" s="272" t="e">
        <f t="shared" si="103"/>
        <v>#DIV/0!</v>
      </c>
      <c r="P352" s="273">
        <f t="shared" si="104"/>
        <v>0</v>
      </c>
      <c r="Q352" s="274" t="e">
        <f t="shared" si="105"/>
        <v>#DIV/0!</v>
      </c>
      <c r="R352" s="275"/>
    </row>
    <row r="353" spans="2:18" ht="18" customHeight="1">
      <c r="B353" s="276" t="s">
        <v>785</v>
      </c>
      <c r="C353" s="277" t="s">
        <v>93</v>
      </c>
      <c r="D353" s="318">
        <v>5305988.1100000003</v>
      </c>
      <c r="E353" s="268">
        <v>5548264</v>
      </c>
      <c r="F353" s="268"/>
      <c r="G353" s="269">
        <v>392095</v>
      </c>
      <c r="H353" s="270"/>
      <c r="I353" s="728">
        <f t="shared" si="100"/>
        <v>7.0669852768361421E-2</v>
      </c>
      <c r="J353" s="728">
        <f t="shared" si="101"/>
        <v>7.4091737971665031E-2</v>
      </c>
      <c r="K353" s="282">
        <v>29051</v>
      </c>
      <c r="L353" s="319">
        <v>23130</v>
      </c>
      <c r="M353" s="270"/>
      <c r="N353" s="271">
        <f t="shared" si="102"/>
        <v>0.79618601769302266</v>
      </c>
      <c r="O353" s="272">
        <f t="shared" si="103"/>
        <v>229.3985348032858</v>
      </c>
      <c r="P353" s="273">
        <f t="shared" si="104"/>
        <v>18085925.25</v>
      </c>
      <c r="Q353" s="274">
        <f t="shared" si="105"/>
        <v>3.4085875948184134</v>
      </c>
      <c r="R353" s="275">
        <v>781.92499999999995</v>
      </c>
    </row>
    <row r="354" spans="2:18" ht="18" customHeight="1">
      <c r="B354" s="276" t="s">
        <v>786</v>
      </c>
      <c r="C354" s="277" t="s">
        <v>94</v>
      </c>
      <c r="D354" s="318"/>
      <c r="E354" s="268"/>
      <c r="F354" s="286"/>
      <c r="G354" s="269"/>
      <c r="H354" s="270"/>
      <c r="I354" s="728" t="e">
        <f t="shared" si="100"/>
        <v>#DIV/0!</v>
      </c>
      <c r="J354" s="728" t="e">
        <f t="shared" si="101"/>
        <v>#DIV/0!</v>
      </c>
      <c r="K354" s="282"/>
      <c r="L354" s="319"/>
      <c r="M354" s="270"/>
      <c r="N354" s="287" t="e">
        <f t="shared" si="102"/>
        <v>#DIV/0!</v>
      </c>
      <c r="O354" s="288" t="e">
        <f t="shared" si="103"/>
        <v>#DIV/0!</v>
      </c>
      <c r="P354" s="268">
        <f t="shared" si="104"/>
        <v>0</v>
      </c>
      <c r="Q354" s="289" t="e">
        <f t="shared" si="105"/>
        <v>#DIV/0!</v>
      </c>
      <c r="R354" s="275">
        <v>781.92499999999995</v>
      </c>
    </row>
    <row r="355" spans="2:18" ht="18" customHeight="1">
      <c r="B355" s="320" t="s">
        <v>787</v>
      </c>
      <c r="C355" s="321" t="s">
        <v>93</v>
      </c>
      <c r="D355" s="322">
        <v>2757759.7</v>
      </c>
      <c r="E355" s="332">
        <v>2446663</v>
      </c>
      <c r="F355" s="324"/>
      <c r="G355" s="325">
        <v>177427</v>
      </c>
      <c r="H355" s="326"/>
      <c r="I355" s="731">
        <f t="shared" si="100"/>
        <v>7.2517956089579977E-2</v>
      </c>
      <c r="J355" s="731">
        <f t="shared" si="101"/>
        <v>0.13156396715268814</v>
      </c>
      <c r="K355" s="713">
        <v>23343</v>
      </c>
      <c r="L355" s="329">
        <v>18938</v>
      </c>
      <c r="M355" s="326"/>
      <c r="N355" s="330">
        <f t="shared" si="102"/>
        <v>0.81129246455040049</v>
      </c>
      <c r="O355" s="331">
        <f t="shared" si="103"/>
        <v>145.62042982363502</v>
      </c>
      <c r="P355" s="332">
        <f t="shared" si="104"/>
        <v>11810115.560000001</v>
      </c>
      <c r="Q355" s="333">
        <f t="shared" si="105"/>
        <v>4.2825034973134173</v>
      </c>
      <c r="R355" s="719">
        <v>623.62</v>
      </c>
    </row>
    <row r="356" spans="2:18" ht="18" customHeight="1">
      <c r="G356" s="335" t="s">
        <v>788</v>
      </c>
      <c r="H356" s="336"/>
      <c r="I356" s="337">
        <f>SUM(G342:G348,G350)/SUM(E342:F348,E350)</f>
        <v>0.10430450523286933</v>
      </c>
      <c r="J356" s="337">
        <f>SUM(K342:K348,K350)/SUM(G342:H348,G350)</f>
        <v>0.10756058977976109</v>
      </c>
      <c r="K356" s="338"/>
      <c r="L356" s="338"/>
      <c r="M356" s="338"/>
      <c r="N356" s="338"/>
      <c r="O356" s="339">
        <f>SUM(D342:D348,D350)/SUM(L342:L348,L350)</f>
        <v>112.0938753546875</v>
      </c>
    </row>
    <row r="357" spans="2:18" ht="18" customHeight="1">
      <c r="G357" s="335" t="s">
        <v>793</v>
      </c>
      <c r="H357" s="336"/>
      <c r="I357" s="337">
        <f>I349</f>
        <v>4.3361313071426343E-2</v>
      </c>
      <c r="J357" s="337">
        <f>J349</f>
        <v>0.19703511801957399</v>
      </c>
      <c r="K357" s="338"/>
      <c r="L357" s="338"/>
      <c r="M357" s="338"/>
      <c r="N357" s="338"/>
      <c r="O357" s="339">
        <f>O349</f>
        <v>306.84283900226757</v>
      </c>
    </row>
    <row r="358" spans="2:18" ht="18" customHeight="1">
      <c r="D358" s="340"/>
      <c r="G358" s="335" t="s">
        <v>789</v>
      </c>
      <c r="H358" s="336"/>
      <c r="I358" s="337">
        <f>SUM(G351:G352)/SUM(E351:E352)</f>
        <v>5.8480273832956807E-2</v>
      </c>
      <c r="J358" s="337">
        <f>SUM(K351:K352)/SUM(G351:H352)</f>
        <v>7.3629583482712216E-2</v>
      </c>
      <c r="K358" s="338"/>
      <c r="L358" s="338"/>
      <c r="M358" s="338"/>
      <c r="N358" s="338"/>
      <c r="O358" s="339">
        <f>SUM(D351:D352)/SUM(L351:L352)</f>
        <v>124.56733113354038</v>
      </c>
    </row>
    <row r="359" spans="2:18" ht="18" customHeight="1">
      <c r="G359" s="335" t="s">
        <v>790</v>
      </c>
      <c r="H359" s="336"/>
      <c r="I359" s="732">
        <f>SUM(G353:G355)/SUM(E353:E355)</f>
        <v>7.1235422162078524E-2</v>
      </c>
      <c r="J359" s="732">
        <f>SUM(K353:K355)/SUM(G353:G355)</f>
        <v>9.199644614255463E-2</v>
      </c>
      <c r="K359" s="338"/>
      <c r="L359" s="338"/>
      <c r="M359" s="338"/>
      <c r="N359" s="338"/>
      <c r="O359" s="339">
        <f>SUM(D353:D355)/SUM(L353:L355)</f>
        <v>191.68365051820862</v>
      </c>
    </row>
    <row r="360" spans="2:18" ht="18" customHeight="1">
      <c r="G360" s="335" t="s">
        <v>791</v>
      </c>
      <c r="H360" s="336"/>
      <c r="I360" s="337">
        <f>SUM(G342:G355)/SUM(E342:E355)</f>
        <v>9.8521233219765428E-2</v>
      </c>
      <c r="J360" s="337">
        <f>SUM(K342:K355)/SUM(G342:G355)</f>
        <v>0.10567620234219793</v>
      </c>
      <c r="K360" s="338"/>
      <c r="L360" s="338"/>
      <c r="M360" s="338"/>
      <c r="N360" s="338"/>
      <c r="O360" s="339">
        <f>SUM(D342:D355)/SUM(L342:L355)</f>
        <v>119.15864189559471</v>
      </c>
    </row>
    <row r="361" spans="2:18" ht="18" customHeight="1"/>
    <row r="362" spans="2:18" ht="18" customHeight="1">
      <c r="B362" s="812"/>
      <c r="I362" s="813"/>
    </row>
    <row r="363" spans="2:18" ht="18" customHeight="1"/>
    <row r="364" spans="2:18" ht="18" customHeight="1">
      <c r="B364" s="248" t="s">
        <v>39</v>
      </c>
      <c r="G364" s="814"/>
      <c r="H364" s="336"/>
      <c r="I364" s="815"/>
      <c r="J364" s="815"/>
      <c r="O364" s="816"/>
    </row>
    <row r="365" spans="2:18" ht="49.5">
      <c r="B365" s="249" t="s">
        <v>85</v>
      </c>
      <c r="C365" s="250" t="s">
        <v>86</v>
      </c>
      <c r="D365" s="251" t="s">
        <v>87</v>
      </c>
      <c r="E365" s="252" t="s">
        <v>23</v>
      </c>
      <c r="F365" s="251" t="s">
        <v>88</v>
      </c>
      <c r="G365" s="251" t="s">
        <v>21</v>
      </c>
      <c r="H365" s="251" t="s">
        <v>89</v>
      </c>
      <c r="I365" s="251" t="s">
        <v>20</v>
      </c>
      <c r="J365" s="251" t="s">
        <v>19</v>
      </c>
      <c r="K365" s="252" t="s">
        <v>18</v>
      </c>
      <c r="L365" s="251" t="s">
        <v>17</v>
      </c>
      <c r="M365" s="251" t="s">
        <v>90</v>
      </c>
      <c r="N365" s="251" t="s">
        <v>16</v>
      </c>
      <c r="O365" s="251" t="s">
        <v>14</v>
      </c>
      <c r="P365" s="251" t="s">
        <v>91</v>
      </c>
      <c r="Q365" s="251" t="s">
        <v>12</v>
      </c>
      <c r="R365" s="253" t="s">
        <v>92</v>
      </c>
    </row>
    <row r="366" spans="2:18" ht="18" customHeight="1">
      <c r="B366" s="810" t="s">
        <v>775</v>
      </c>
      <c r="C366" s="811" t="s">
        <v>93</v>
      </c>
      <c r="D366" s="737">
        <v>26108322.759999998</v>
      </c>
      <c r="E366" s="257">
        <v>24155551</v>
      </c>
      <c r="F366" s="257">
        <v>1.3405776550534716</v>
      </c>
      <c r="G366" s="258">
        <v>2896527</v>
      </c>
      <c r="H366" s="259"/>
      <c r="I366" s="728">
        <f t="shared" ref="I366:I379" si="106">G366/E366</f>
        <v>0.11991144395754003</v>
      </c>
      <c r="J366" s="728">
        <f t="shared" ref="J366:J379" si="107">K366/G366</f>
        <v>0.12976402429530262</v>
      </c>
      <c r="K366" s="257">
        <v>375865</v>
      </c>
      <c r="L366" s="258">
        <v>266496</v>
      </c>
      <c r="M366" s="259" t="e">
        <v>#REF!</v>
      </c>
      <c r="N366" s="261">
        <f t="shared" ref="N366:N379" si="108">L366/K366</f>
        <v>0.70902052598672394</v>
      </c>
      <c r="O366" s="262">
        <f t="shared" ref="O366:O379" si="109">D366/L366</f>
        <v>97.968910452689713</v>
      </c>
      <c r="P366" s="257">
        <f t="shared" ref="P366:P379" si="110">L366*$R366</f>
        <v>266496000</v>
      </c>
      <c r="Q366" s="263">
        <f t="shared" ref="Q366:Q379" si="111">P366/D366</f>
        <v>10.207319805632739</v>
      </c>
      <c r="R366" s="264">
        <v>1000</v>
      </c>
    </row>
    <row r="367" spans="2:18" ht="18" customHeight="1">
      <c r="B367" s="265" t="s">
        <v>776</v>
      </c>
      <c r="C367" s="266" t="s">
        <v>93</v>
      </c>
      <c r="D367" s="764">
        <v>13484543.469999999</v>
      </c>
      <c r="E367" s="268">
        <v>18886759</v>
      </c>
      <c r="F367" s="268"/>
      <c r="G367" s="269">
        <v>950298</v>
      </c>
      <c r="H367" s="270"/>
      <c r="I367" s="728">
        <f t="shared" si="106"/>
        <v>5.0315567641859571E-2</v>
      </c>
      <c r="J367" s="728">
        <f t="shared" si="107"/>
        <v>5.8875215984880533E-2</v>
      </c>
      <c r="K367" s="268">
        <v>55949</v>
      </c>
      <c r="L367" s="269">
        <v>41173</v>
      </c>
      <c r="M367" s="270"/>
      <c r="N367" s="271">
        <f t="shared" si="108"/>
        <v>0.73590233963073515</v>
      </c>
      <c r="O367" s="272">
        <f t="shared" si="109"/>
        <v>327.50937434726637</v>
      </c>
      <c r="P367" s="273">
        <f t="shared" si="110"/>
        <v>90580600</v>
      </c>
      <c r="Q367" s="274">
        <f t="shared" si="111"/>
        <v>6.7173649743145516</v>
      </c>
      <c r="R367" s="275">
        <v>2200</v>
      </c>
    </row>
    <row r="368" spans="2:18" ht="18" customHeight="1">
      <c r="B368" s="276" t="s">
        <v>777</v>
      </c>
      <c r="C368" s="277" t="s">
        <v>93</v>
      </c>
      <c r="D368" s="285">
        <v>3697945.36</v>
      </c>
      <c r="E368" s="278">
        <v>1653698</v>
      </c>
      <c r="F368" s="279"/>
      <c r="G368" s="280">
        <v>188399</v>
      </c>
      <c r="H368" s="281"/>
      <c r="I368" s="728">
        <f t="shared" si="106"/>
        <v>0.11392588005790659</v>
      </c>
      <c r="J368" s="728">
        <f t="shared" si="107"/>
        <v>0.15725667333690732</v>
      </c>
      <c r="K368" s="282">
        <v>29627</v>
      </c>
      <c r="L368" s="283">
        <v>24139</v>
      </c>
      <c r="M368" s="281"/>
      <c r="N368" s="271">
        <f t="shared" si="108"/>
        <v>0.81476356026597363</v>
      </c>
      <c r="O368" s="272">
        <f t="shared" si="109"/>
        <v>153.19380918845022</v>
      </c>
      <c r="P368" s="273">
        <f t="shared" si="110"/>
        <v>11103940</v>
      </c>
      <c r="Q368" s="274">
        <f t="shared" si="111"/>
        <v>3.0027323064611209</v>
      </c>
      <c r="R368" s="284">
        <v>460</v>
      </c>
    </row>
    <row r="369" spans="2:18" ht="18" customHeight="1">
      <c r="B369" s="276" t="s">
        <v>778</v>
      </c>
      <c r="C369" s="277" t="s">
        <v>93</v>
      </c>
      <c r="D369" s="285">
        <v>1334378.27</v>
      </c>
      <c r="E369" s="268">
        <v>850263</v>
      </c>
      <c r="F369" s="286"/>
      <c r="G369" s="269">
        <v>41153</v>
      </c>
      <c r="H369" s="270"/>
      <c r="I369" s="728">
        <f t="shared" si="106"/>
        <v>4.8400318489690834E-2</v>
      </c>
      <c r="J369" s="728">
        <f t="shared" si="107"/>
        <v>0.19716667071659416</v>
      </c>
      <c r="K369" s="268">
        <v>8114</v>
      </c>
      <c r="L369" s="269">
        <v>5802</v>
      </c>
      <c r="M369" s="270"/>
      <c r="N369" s="287">
        <f t="shared" si="108"/>
        <v>0.71506038945033279</v>
      </c>
      <c r="O369" s="288">
        <f t="shared" si="109"/>
        <v>229.985913478111</v>
      </c>
      <c r="P369" s="273">
        <f t="shared" si="110"/>
        <v>1177806</v>
      </c>
      <c r="Q369" s="289">
        <f t="shared" si="111"/>
        <v>0.88266275499225566</v>
      </c>
      <c r="R369" s="275">
        <v>203</v>
      </c>
    </row>
    <row r="370" spans="2:18" ht="18" customHeight="1">
      <c r="B370" s="276" t="s">
        <v>779</v>
      </c>
      <c r="C370" s="277" t="s">
        <v>93</v>
      </c>
      <c r="D370" s="285">
        <v>1007899.84</v>
      </c>
      <c r="E370" s="268">
        <v>357326</v>
      </c>
      <c r="F370" s="286"/>
      <c r="G370" s="269">
        <v>17906</v>
      </c>
      <c r="H370" s="270"/>
      <c r="I370" s="728">
        <f t="shared" si="106"/>
        <v>5.0111103026368078E-2</v>
      </c>
      <c r="J370" s="728">
        <f t="shared" si="107"/>
        <v>0.24745895230648945</v>
      </c>
      <c r="K370" s="268">
        <v>4431</v>
      </c>
      <c r="L370" s="269">
        <v>3440</v>
      </c>
      <c r="M370" s="270"/>
      <c r="N370" s="287">
        <f t="shared" si="108"/>
        <v>0.77634845407357256</v>
      </c>
      <c r="O370" s="288">
        <f t="shared" si="109"/>
        <v>292.99413953488369</v>
      </c>
      <c r="P370" s="273">
        <f t="shared" si="110"/>
        <v>1118000</v>
      </c>
      <c r="Q370" s="289">
        <f t="shared" si="111"/>
        <v>1.1092372035697515</v>
      </c>
      <c r="R370" s="275">
        <v>325</v>
      </c>
    </row>
    <row r="371" spans="2:18" ht="18" customHeight="1">
      <c r="B371" s="276" t="s">
        <v>780</v>
      </c>
      <c r="C371" s="277" t="s">
        <v>93</v>
      </c>
      <c r="D371" s="285">
        <v>2924385.46</v>
      </c>
      <c r="E371" s="268">
        <v>2119941</v>
      </c>
      <c r="F371" s="286"/>
      <c r="G371" s="269">
        <v>88741</v>
      </c>
      <c r="H371" s="270"/>
      <c r="I371" s="728">
        <f t="shared" si="106"/>
        <v>4.1860127239390151E-2</v>
      </c>
      <c r="J371" s="728">
        <f t="shared" si="107"/>
        <v>0.19510710945335302</v>
      </c>
      <c r="K371" s="268">
        <v>17314</v>
      </c>
      <c r="L371" s="269">
        <v>13215</v>
      </c>
      <c r="M371" s="270"/>
      <c r="N371" s="287">
        <f t="shared" si="108"/>
        <v>0.76325516922721492</v>
      </c>
      <c r="O371" s="288">
        <f t="shared" si="109"/>
        <v>221.29288384411655</v>
      </c>
      <c r="P371" s="273">
        <f t="shared" si="110"/>
        <v>10690935</v>
      </c>
      <c r="Q371" s="289">
        <f t="shared" si="111"/>
        <v>3.655788590878851</v>
      </c>
      <c r="R371" s="275">
        <v>809</v>
      </c>
    </row>
    <row r="372" spans="2:18" ht="18" customHeight="1">
      <c r="B372" s="290" t="s">
        <v>781</v>
      </c>
      <c r="C372" s="277" t="s">
        <v>93</v>
      </c>
      <c r="D372" s="291" t="s">
        <v>62</v>
      </c>
      <c r="E372" s="292">
        <v>362</v>
      </c>
      <c r="F372" s="293"/>
      <c r="G372" s="294" t="s">
        <v>62</v>
      </c>
      <c r="H372" s="295"/>
      <c r="I372" s="728" t="e">
        <f t="shared" si="106"/>
        <v>#VALUE!</v>
      </c>
      <c r="J372" s="728" t="e">
        <f t="shared" si="107"/>
        <v>#VALUE!</v>
      </c>
      <c r="K372" s="292" t="s">
        <v>62</v>
      </c>
      <c r="L372" s="294" t="s">
        <v>62</v>
      </c>
      <c r="M372" s="295"/>
      <c r="N372" s="287" t="e">
        <f t="shared" si="108"/>
        <v>#VALUE!</v>
      </c>
      <c r="O372" s="288" t="e">
        <f t="shared" si="109"/>
        <v>#VALUE!</v>
      </c>
      <c r="P372" s="273" t="e">
        <f t="shared" si="110"/>
        <v>#VALUE!</v>
      </c>
      <c r="Q372" s="289" t="e">
        <f t="shared" si="111"/>
        <v>#VALUE!</v>
      </c>
      <c r="R372" s="275" t="s">
        <v>62</v>
      </c>
    </row>
    <row r="373" spans="2:18" ht="18" customHeight="1">
      <c r="B373" s="276" t="s">
        <v>782</v>
      </c>
      <c r="C373" s="277" t="s">
        <v>94</v>
      </c>
      <c r="D373" s="285">
        <v>623274</v>
      </c>
      <c r="E373" s="278">
        <v>285075</v>
      </c>
      <c r="F373" s="279"/>
      <c r="G373" s="280">
        <v>10829</v>
      </c>
      <c r="H373" s="281"/>
      <c r="I373" s="728">
        <f t="shared" si="106"/>
        <v>3.7986494782074894E-2</v>
      </c>
      <c r="J373" s="728">
        <f t="shared" si="107"/>
        <v>0.18145719826392095</v>
      </c>
      <c r="K373" s="282">
        <v>1965</v>
      </c>
      <c r="L373" s="283">
        <v>1576</v>
      </c>
      <c r="M373" s="281"/>
      <c r="N373" s="271">
        <f t="shared" si="108"/>
        <v>0.80203562340966916</v>
      </c>
      <c r="O373" s="272">
        <f t="shared" si="109"/>
        <v>395.4784263959391</v>
      </c>
      <c r="P373" s="273">
        <f t="shared" si="110"/>
        <v>472800</v>
      </c>
      <c r="Q373" s="274">
        <f t="shared" si="111"/>
        <v>0.75857488038968413</v>
      </c>
      <c r="R373" s="284">
        <v>300</v>
      </c>
    </row>
    <row r="374" spans="2:18" ht="18" customHeight="1">
      <c r="B374" s="296" t="s">
        <v>783</v>
      </c>
      <c r="C374" s="297" t="s">
        <v>93</v>
      </c>
      <c r="D374" s="306">
        <v>1405556.18</v>
      </c>
      <c r="E374" s="273">
        <v>790220</v>
      </c>
      <c r="F374" s="298"/>
      <c r="G374" s="299">
        <v>58722</v>
      </c>
      <c r="H374" s="300"/>
      <c r="I374" s="728">
        <f t="shared" si="106"/>
        <v>7.4310951380628182E-2</v>
      </c>
      <c r="J374" s="728">
        <f t="shared" si="107"/>
        <v>0.1655938149245598</v>
      </c>
      <c r="K374" s="301">
        <v>9724</v>
      </c>
      <c r="L374" s="302">
        <v>8794</v>
      </c>
      <c r="M374" s="300"/>
      <c r="N374" s="271">
        <f t="shared" si="108"/>
        <v>0.9043603455368161</v>
      </c>
      <c r="O374" s="272">
        <f t="shared" si="109"/>
        <v>159.83126904707754</v>
      </c>
      <c r="P374" s="273">
        <f t="shared" si="110"/>
        <v>967340</v>
      </c>
      <c r="Q374" s="274">
        <f t="shared" si="111"/>
        <v>0.68822578119929723</v>
      </c>
      <c r="R374" s="303">
        <v>110</v>
      </c>
    </row>
    <row r="375" spans="2:18" ht="18" customHeight="1">
      <c r="B375" s="304" t="s">
        <v>784</v>
      </c>
      <c r="C375" s="305" t="s">
        <v>93</v>
      </c>
      <c r="D375" s="710">
        <v>1071838.76</v>
      </c>
      <c r="E375" s="307">
        <v>1857627</v>
      </c>
      <c r="F375" s="307"/>
      <c r="G375" s="308">
        <v>105213</v>
      </c>
      <c r="H375" s="309"/>
      <c r="I375" s="728">
        <f t="shared" si="106"/>
        <v>5.6638388653911687E-2</v>
      </c>
      <c r="J375" s="728">
        <f t="shared" si="107"/>
        <v>7.879254464752454E-2</v>
      </c>
      <c r="K375" s="310">
        <v>8290</v>
      </c>
      <c r="L375" s="311">
        <v>6760</v>
      </c>
      <c r="M375" s="309"/>
      <c r="N375" s="271">
        <f t="shared" si="108"/>
        <v>0.81544028950542824</v>
      </c>
      <c r="O375" s="272">
        <f t="shared" si="109"/>
        <v>158.55602958579883</v>
      </c>
      <c r="P375" s="273">
        <f t="shared" si="110"/>
        <v>4529200</v>
      </c>
      <c r="Q375" s="274">
        <f t="shared" si="111"/>
        <v>4.2256355797396239</v>
      </c>
      <c r="R375" s="312">
        <v>670</v>
      </c>
    </row>
    <row r="376" spans="2:18" ht="18" customHeight="1">
      <c r="B376" s="276" t="s">
        <v>785</v>
      </c>
      <c r="C376" s="277" t="s">
        <v>93</v>
      </c>
      <c r="D376" s="285"/>
      <c r="E376" s="268"/>
      <c r="F376" s="286"/>
      <c r="G376" s="269"/>
      <c r="H376" s="270"/>
      <c r="I376" s="728" t="e">
        <f t="shared" si="106"/>
        <v>#DIV/0!</v>
      </c>
      <c r="J376" s="728" t="e">
        <f t="shared" si="107"/>
        <v>#DIV/0!</v>
      </c>
      <c r="K376" s="268"/>
      <c r="L376" s="269"/>
      <c r="M376" s="270"/>
      <c r="N376" s="271" t="e">
        <f t="shared" si="108"/>
        <v>#DIV/0!</v>
      </c>
      <c r="O376" s="272" t="e">
        <f t="shared" si="109"/>
        <v>#DIV/0!</v>
      </c>
      <c r="P376" s="273">
        <f t="shared" si="110"/>
        <v>0</v>
      </c>
      <c r="Q376" s="274" t="e">
        <f t="shared" si="111"/>
        <v>#DIV/0!</v>
      </c>
      <c r="R376" s="275"/>
    </row>
    <row r="377" spans="2:18" ht="18" customHeight="1">
      <c r="B377" s="276" t="s">
        <v>785</v>
      </c>
      <c r="C377" s="277" t="s">
        <v>93</v>
      </c>
      <c r="D377" s="318">
        <v>502079.33</v>
      </c>
      <c r="E377" s="268">
        <v>3365093</v>
      </c>
      <c r="F377" s="268"/>
      <c r="G377" s="269">
        <v>201724</v>
      </c>
      <c r="H377" s="270"/>
      <c r="I377" s="728">
        <f t="shared" si="106"/>
        <v>5.9946040124299688E-2</v>
      </c>
      <c r="J377" s="728">
        <f t="shared" si="107"/>
        <v>8.6573734409391048E-2</v>
      </c>
      <c r="K377" s="282">
        <v>17464</v>
      </c>
      <c r="L377" s="319">
        <v>13785</v>
      </c>
      <c r="M377" s="270"/>
      <c r="N377" s="271">
        <f t="shared" si="108"/>
        <v>0.78933806688043973</v>
      </c>
      <c r="O377" s="272">
        <f t="shared" si="109"/>
        <v>36.422149437794708</v>
      </c>
      <c r="P377" s="273">
        <f t="shared" si="110"/>
        <v>8822400</v>
      </c>
      <c r="Q377" s="274">
        <f t="shared" si="111"/>
        <v>17.571725169406992</v>
      </c>
      <c r="R377" s="275">
        <v>640</v>
      </c>
    </row>
    <row r="378" spans="2:18" ht="18" customHeight="1">
      <c r="B378" s="276" t="s">
        <v>786</v>
      </c>
      <c r="C378" s="277" t="s">
        <v>94</v>
      </c>
      <c r="D378" s="318"/>
      <c r="E378" s="268"/>
      <c r="F378" s="286"/>
      <c r="G378" s="269"/>
      <c r="H378" s="270"/>
      <c r="I378" s="728" t="e">
        <f t="shared" si="106"/>
        <v>#DIV/0!</v>
      </c>
      <c r="J378" s="728" t="e">
        <f t="shared" si="107"/>
        <v>#DIV/0!</v>
      </c>
      <c r="K378" s="282"/>
      <c r="L378" s="319"/>
      <c r="M378" s="270"/>
      <c r="N378" s="287" t="e">
        <f t="shared" si="108"/>
        <v>#DIV/0!</v>
      </c>
      <c r="O378" s="288" t="e">
        <f t="shared" si="109"/>
        <v>#DIV/0!</v>
      </c>
      <c r="P378" s="268">
        <f t="shared" si="110"/>
        <v>0</v>
      </c>
      <c r="Q378" s="289" t="e">
        <f t="shared" si="111"/>
        <v>#DIV/0!</v>
      </c>
      <c r="R378" s="275"/>
    </row>
    <row r="379" spans="2:18" ht="18" customHeight="1">
      <c r="B379" s="320" t="s">
        <v>787</v>
      </c>
      <c r="C379" s="321" t="s">
        <v>93</v>
      </c>
      <c r="D379" s="322">
        <v>2582875.7999999998</v>
      </c>
      <c r="E379" s="332">
        <v>2068784</v>
      </c>
      <c r="F379" s="324"/>
      <c r="G379" s="325">
        <v>138354</v>
      </c>
      <c r="H379" s="326"/>
      <c r="I379" s="731">
        <f t="shared" si="106"/>
        <v>6.6876967339267901E-2</v>
      </c>
      <c r="J379" s="731">
        <f t="shared" si="107"/>
        <v>0.13731442531477225</v>
      </c>
      <c r="K379" s="713">
        <v>18998</v>
      </c>
      <c r="L379" s="329">
        <v>15386</v>
      </c>
      <c r="M379" s="326"/>
      <c r="N379" s="330">
        <f t="shared" si="108"/>
        <v>0.80987472365512159</v>
      </c>
      <c r="O379" s="331">
        <f t="shared" si="109"/>
        <v>167.87181853633172</v>
      </c>
      <c r="P379" s="332">
        <f t="shared" si="110"/>
        <v>8616160</v>
      </c>
      <c r="Q379" s="333">
        <f t="shared" si="111"/>
        <v>3.3358785583108568</v>
      </c>
      <c r="R379" s="719">
        <v>560</v>
      </c>
    </row>
    <row r="380" spans="2:18" ht="18" customHeight="1">
      <c r="G380" s="335" t="s">
        <v>788</v>
      </c>
      <c r="H380" s="336"/>
      <c r="I380" s="337">
        <f>SUM(G366:G372,G374)/SUM(E366:F372,E374)</f>
        <v>8.6895879378944579E-2</v>
      </c>
      <c r="J380" s="337">
        <f>SUM(K366:K372,K374)/SUM(G366:H372,G374)</f>
        <v>0.11811739788285296</v>
      </c>
      <c r="K380" s="338"/>
      <c r="L380" s="338"/>
      <c r="M380" s="338"/>
      <c r="N380" s="338"/>
      <c r="O380" s="339">
        <f>SUM(D366:D372,D374)/SUM(L366:L372,L374)</f>
        <v>137.61683731845238</v>
      </c>
    </row>
    <row r="381" spans="2:18" ht="18" customHeight="1">
      <c r="G381" s="335" t="s">
        <v>793</v>
      </c>
      <c r="H381" s="336"/>
      <c r="I381" s="337">
        <f>I373</f>
        <v>3.7986494782074894E-2</v>
      </c>
      <c r="J381" s="337">
        <f>J373</f>
        <v>0.18145719826392095</v>
      </c>
      <c r="K381" s="338"/>
      <c r="L381" s="338"/>
      <c r="M381" s="338"/>
      <c r="N381" s="338"/>
      <c r="O381" s="339">
        <f>O373</f>
        <v>395.4784263959391</v>
      </c>
    </row>
    <row r="382" spans="2:18" ht="18" customHeight="1">
      <c r="D382" s="340"/>
      <c r="G382" s="335" t="s">
        <v>789</v>
      </c>
      <c r="H382" s="336"/>
      <c r="I382" s="337">
        <f>SUM(G375:G376)/SUM(E375:E376)</f>
        <v>5.6638388653911687E-2</v>
      </c>
      <c r="J382" s="337">
        <f>SUM(K375:K376)/SUM(G375:H376)</f>
        <v>7.879254464752454E-2</v>
      </c>
      <c r="K382" s="338"/>
      <c r="L382" s="338"/>
      <c r="M382" s="338"/>
      <c r="N382" s="338"/>
      <c r="O382" s="339">
        <f>SUM(D375:D376)/SUM(L375:L376)</f>
        <v>158.55602958579883</v>
      </c>
    </row>
    <row r="383" spans="2:18" ht="18" customHeight="1">
      <c r="G383" s="335" t="s">
        <v>790</v>
      </c>
      <c r="H383" s="336"/>
      <c r="I383" s="732">
        <f>SUM(G377:G379)/SUM(E377:E379)</f>
        <v>6.2584780627165465E-2</v>
      </c>
      <c r="J383" s="732">
        <f>SUM(K377:K379)/SUM(G377:G379)</f>
        <v>0.1072165797258276</v>
      </c>
      <c r="K383" s="338"/>
      <c r="L383" s="338"/>
      <c r="M383" s="338"/>
      <c r="N383" s="338"/>
      <c r="O383" s="339">
        <f>SUM(D377:D379)/SUM(L377:L379)</f>
        <v>105.75417812210758</v>
      </c>
    </row>
    <row r="384" spans="2:18" ht="18" customHeight="1">
      <c r="G384" s="335" t="s">
        <v>791</v>
      </c>
      <c r="H384" s="336"/>
      <c r="I384" s="337">
        <f>SUM(G366:G379)/SUM(E366:E379)</f>
        <v>8.3309235092120418E-2</v>
      </c>
      <c r="J384" s="337">
        <f>SUM(K366:K379)/SUM(G366:G379)</f>
        <v>0.11659357674314252</v>
      </c>
      <c r="K384" s="338"/>
      <c r="L384" s="338"/>
      <c r="M384" s="338"/>
      <c r="N384" s="338"/>
      <c r="O384" s="339">
        <f>SUM(D366:D379)/SUM(L366:L379)</f>
        <v>136.66436799428809</v>
      </c>
    </row>
    <row r="385" spans="2:18" ht="18" customHeight="1">
      <c r="G385" s="814"/>
      <c r="H385" s="336"/>
      <c r="I385" s="815"/>
      <c r="J385" s="815"/>
      <c r="O385" s="816"/>
    </row>
    <row r="386" spans="2:18" ht="18" customHeight="1">
      <c r="G386" s="814"/>
      <c r="H386" s="336"/>
      <c r="I386" s="815"/>
      <c r="J386" s="815"/>
      <c r="O386" s="816"/>
    </row>
    <row r="387" spans="2:18" ht="18" customHeight="1">
      <c r="I387" s="813"/>
    </row>
    <row r="388" spans="2:18" ht="18" customHeight="1">
      <c r="B388" s="248" t="s">
        <v>35</v>
      </c>
    </row>
    <row r="389" spans="2:18" ht="49.5">
      <c r="B389" s="249" t="s">
        <v>85</v>
      </c>
      <c r="C389" s="250" t="s">
        <v>86</v>
      </c>
      <c r="D389" s="251" t="s">
        <v>87</v>
      </c>
      <c r="E389" s="252" t="s">
        <v>23</v>
      </c>
      <c r="F389" s="251" t="s">
        <v>88</v>
      </c>
      <c r="G389" s="251" t="s">
        <v>21</v>
      </c>
      <c r="H389" s="251" t="s">
        <v>89</v>
      </c>
      <c r="I389" s="251" t="s">
        <v>20</v>
      </c>
      <c r="J389" s="251" t="s">
        <v>19</v>
      </c>
      <c r="K389" s="252" t="s">
        <v>18</v>
      </c>
      <c r="L389" s="251" t="s">
        <v>17</v>
      </c>
      <c r="M389" s="251" t="s">
        <v>90</v>
      </c>
      <c r="N389" s="251" t="s">
        <v>16</v>
      </c>
      <c r="O389" s="251" t="s">
        <v>14</v>
      </c>
      <c r="P389" s="251" t="s">
        <v>91</v>
      </c>
      <c r="Q389" s="251" t="s">
        <v>12</v>
      </c>
      <c r="R389" s="253" t="s">
        <v>92</v>
      </c>
    </row>
    <row r="390" spans="2:18" ht="18" customHeight="1">
      <c r="B390" s="810" t="s">
        <v>775</v>
      </c>
      <c r="C390" s="255" t="s">
        <v>93</v>
      </c>
      <c r="D390" s="256">
        <v>20523780.059</v>
      </c>
      <c r="E390" s="257">
        <v>15309654</v>
      </c>
      <c r="F390" s="257">
        <v>1.3405776550534716</v>
      </c>
      <c r="G390" s="258">
        <v>1546380</v>
      </c>
      <c r="H390" s="259"/>
      <c r="I390" s="817">
        <v>0.10100685489038486</v>
      </c>
      <c r="J390" s="261">
        <v>0.13617286824713201</v>
      </c>
      <c r="K390" s="257">
        <v>210575</v>
      </c>
      <c r="L390" s="258">
        <v>148222</v>
      </c>
      <c r="M390" s="259" t="e">
        <v>#REF!</v>
      </c>
      <c r="N390" s="261">
        <v>0.70389172503858488</v>
      </c>
      <c r="O390" s="262">
        <v>138.46648985305825</v>
      </c>
      <c r="P390" s="257">
        <v>148222000</v>
      </c>
      <c r="Q390" s="263">
        <v>7.2219639644307296</v>
      </c>
      <c r="R390" s="264">
        <v>1000</v>
      </c>
    </row>
    <row r="391" spans="2:18" ht="18" customHeight="1">
      <c r="B391" s="265" t="s">
        <v>776</v>
      </c>
      <c r="C391" s="266" t="s">
        <v>93</v>
      </c>
      <c r="D391" s="267">
        <v>12321658.539999999</v>
      </c>
      <c r="E391" s="268">
        <v>12127245</v>
      </c>
      <c r="F391" s="268"/>
      <c r="G391" s="269">
        <v>479048</v>
      </c>
      <c r="H391" s="270"/>
      <c r="I391" s="260">
        <f t="shared" ref="I391:I402" si="112">G391/E391</f>
        <v>3.950179946063595E-2</v>
      </c>
      <c r="J391" s="271">
        <f t="shared" ref="J391:J402" si="113">K391/G391</f>
        <v>5.2996776940932848E-2</v>
      </c>
      <c r="K391" s="268">
        <v>25388</v>
      </c>
      <c r="L391" s="269">
        <v>18438</v>
      </c>
      <c r="M391" s="270"/>
      <c r="N391" s="271">
        <f t="shared" ref="N391:N402" si="114">L391/K391</f>
        <v>0.72624862139593505</v>
      </c>
      <c r="O391" s="272">
        <f t="shared" ref="O391:O402" si="115">D391/L391</f>
        <v>668.27522182449286</v>
      </c>
      <c r="P391" s="273">
        <f t="shared" ref="P391:P402" si="116">L391*$R391</f>
        <v>40563600</v>
      </c>
      <c r="Q391" s="274">
        <f t="shared" ref="Q391:Q402" si="117">P391/D391</f>
        <v>3.2920568175394354</v>
      </c>
      <c r="R391" s="275">
        <v>2200</v>
      </c>
    </row>
    <row r="392" spans="2:18" ht="18" customHeight="1">
      <c r="B392" s="276" t="s">
        <v>777</v>
      </c>
      <c r="C392" s="277" t="s">
        <v>93</v>
      </c>
      <c r="D392" s="285">
        <v>2453148.67</v>
      </c>
      <c r="E392" s="278">
        <v>1128685</v>
      </c>
      <c r="F392" s="279"/>
      <c r="G392" s="280">
        <v>124354</v>
      </c>
      <c r="H392" s="281"/>
      <c r="I392" s="260">
        <f t="shared" si="112"/>
        <v>0.11017600127582097</v>
      </c>
      <c r="J392" s="271">
        <f t="shared" si="113"/>
        <v>0.13920742396706179</v>
      </c>
      <c r="K392" s="282">
        <v>17311</v>
      </c>
      <c r="L392" s="283">
        <v>14020</v>
      </c>
      <c r="M392" s="281"/>
      <c r="N392" s="271">
        <f t="shared" si="114"/>
        <v>0.8098896655305875</v>
      </c>
      <c r="O392" s="272">
        <f t="shared" si="115"/>
        <v>174.97494079885877</v>
      </c>
      <c r="P392" s="273">
        <f t="shared" si="116"/>
        <v>6449200</v>
      </c>
      <c r="Q392" s="274">
        <f t="shared" si="117"/>
        <v>2.6289478819072145</v>
      </c>
      <c r="R392" s="284">
        <v>460</v>
      </c>
    </row>
    <row r="393" spans="2:18" ht="18" customHeight="1">
      <c r="B393" s="276" t="s">
        <v>778</v>
      </c>
      <c r="C393" s="277" t="s">
        <v>93</v>
      </c>
      <c r="D393" s="285">
        <v>1236429.03</v>
      </c>
      <c r="E393" s="268">
        <v>554330</v>
      </c>
      <c r="F393" s="286"/>
      <c r="G393" s="269">
        <v>27410</v>
      </c>
      <c r="H393" s="270"/>
      <c r="I393" s="818">
        <f t="shared" si="112"/>
        <v>4.9447080259051465E-2</v>
      </c>
      <c r="J393" s="287">
        <f t="shared" si="113"/>
        <v>0.17668734038672018</v>
      </c>
      <c r="K393" s="268">
        <v>4843</v>
      </c>
      <c r="L393" s="269">
        <v>3460</v>
      </c>
      <c r="M393" s="270"/>
      <c r="N393" s="287">
        <f t="shared" si="114"/>
        <v>0.71443320256039644</v>
      </c>
      <c r="O393" s="288">
        <f t="shared" si="115"/>
        <v>357.34943063583813</v>
      </c>
      <c r="P393" s="273">
        <f t="shared" si="116"/>
        <v>702380</v>
      </c>
      <c r="Q393" s="289">
        <f t="shared" si="117"/>
        <v>0.56807142420459023</v>
      </c>
      <c r="R393" s="275">
        <v>203</v>
      </c>
    </row>
    <row r="394" spans="2:18" ht="18" customHeight="1">
      <c r="B394" s="276" t="s">
        <v>779</v>
      </c>
      <c r="C394" s="277" t="s">
        <v>93</v>
      </c>
      <c r="D394" s="285">
        <v>1192768</v>
      </c>
      <c r="E394" s="268">
        <v>199496</v>
      </c>
      <c r="F394" s="286"/>
      <c r="G394" s="269">
        <v>9567</v>
      </c>
      <c r="H394" s="270"/>
      <c r="I394" s="818">
        <f t="shared" si="112"/>
        <v>4.7955848738821832E-2</v>
      </c>
      <c r="J394" s="287">
        <f t="shared" si="113"/>
        <v>0.25190759903836102</v>
      </c>
      <c r="K394" s="268">
        <v>2410</v>
      </c>
      <c r="L394" s="269">
        <v>1860</v>
      </c>
      <c r="M394" s="270"/>
      <c r="N394" s="287">
        <f t="shared" si="114"/>
        <v>0.77178423236514526</v>
      </c>
      <c r="O394" s="288">
        <f t="shared" si="115"/>
        <v>641.27311827956987</v>
      </c>
      <c r="P394" s="273">
        <f t="shared" si="116"/>
        <v>604500</v>
      </c>
      <c r="Q394" s="289">
        <f t="shared" si="117"/>
        <v>0.50680434082738635</v>
      </c>
      <c r="R394" s="275">
        <v>325</v>
      </c>
    </row>
    <row r="395" spans="2:18" ht="18" customHeight="1">
      <c r="B395" s="276" t="s">
        <v>780</v>
      </c>
      <c r="C395" s="277" t="s">
        <v>93</v>
      </c>
      <c r="D395" s="285">
        <v>2790810.1799999997</v>
      </c>
      <c r="E395" s="268">
        <v>910064</v>
      </c>
      <c r="F395" s="286"/>
      <c r="G395" s="269">
        <v>45773</v>
      </c>
      <c r="H395" s="270"/>
      <c r="I395" s="818">
        <f t="shared" si="112"/>
        <v>5.0296462666361924E-2</v>
      </c>
      <c r="J395" s="287">
        <f t="shared" si="113"/>
        <v>0.22196491381382039</v>
      </c>
      <c r="K395" s="268">
        <v>10160</v>
      </c>
      <c r="L395" s="269">
        <v>7831</v>
      </c>
      <c r="M395" s="270"/>
      <c r="N395" s="287">
        <f t="shared" si="114"/>
        <v>0.77076771653543308</v>
      </c>
      <c r="O395" s="288">
        <f t="shared" si="115"/>
        <v>356.3797956838207</v>
      </c>
      <c r="P395" s="273">
        <f t="shared" si="116"/>
        <v>6335279</v>
      </c>
      <c r="Q395" s="289">
        <f t="shared" si="117"/>
        <v>2.2700501257308732</v>
      </c>
      <c r="R395" s="275">
        <v>809</v>
      </c>
    </row>
    <row r="396" spans="2:18" ht="18" customHeight="1">
      <c r="B396" s="276" t="s">
        <v>782</v>
      </c>
      <c r="C396" s="277" t="s">
        <v>94</v>
      </c>
      <c r="D396" s="285">
        <v>692660</v>
      </c>
      <c r="E396" s="278">
        <v>89504</v>
      </c>
      <c r="F396" s="279"/>
      <c r="G396" s="280">
        <v>4881</v>
      </c>
      <c r="H396" s="281"/>
      <c r="I396" s="260">
        <f t="shared" si="112"/>
        <v>5.4533875580979621E-2</v>
      </c>
      <c r="J396" s="271">
        <f t="shared" si="113"/>
        <v>0.17332513829133375</v>
      </c>
      <c r="K396" s="282">
        <v>846</v>
      </c>
      <c r="L396" s="283">
        <v>671</v>
      </c>
      <c r="M396" s="281"/>
      <c r="N396" s="271">
        <f t="shared" si="114"/>
        <v>0.79314420803782504</v>
      </c>
      <c r="O396" s="272">
        <f t="shared" si="115"/>
        <v>1032.2801788375559</v>
      </c>
      <c r="P396" s="273">
        <f t="shared" si="116"/>
        <v>201300</v>
      </c>
      <c r="Q396" s="274">
        <f t="shared" si="117"/>
        <v>0.29061877400167468</v>
      </c>
      <c r="R396" s="284">
        <v>300</v>
      </c>
    </row>
    <row r="397" spans="2:18" ht="18" customHeight="1">
      <c r="B397" s="296" t="s">
        <v>783</v>
      </c>
      <c r="C397" s="297" t="s">
        <v>93</v>
      </c>
      <c r="D397" s="306">
        <v>938912.92</v>
      </c>
      <c r="E397" s="273">
        <v>393361</v>
      </c>
      <c r="F397" s="298"/>
      <c r="G397" s="299">
        <v>29871</v>
      </c>
      <c r="H397" s="300"/>
      <c r="I397" s="819">
        <f t="shared" si="112"/>
        <v>7.5937878945802964E-2</v>
      </c>
      <c r="J397" s="271">
        <f t="shared" si="113"/>
        <v>0.17096849787419235</v>
      </c>
      <c r="K397" s="301">
        <v>5107</v>
      </c>
      <c r="L397" s="302">
        <v>4641</v>
      </c>
      <c r="M397" s="300"/>
      <c r="N397" s="271">
        <f t="shared" si="114"/>
        <v>0.90875269238300371</v>
      </c>
      <c r="O397" s="272">
        <f t="shared" si="115"/>
        <v>202.30832148243914</v>
      </c>
      <c r="P397" s="273">
        <f t="shared" si="116"/>
        <v>510510</v>
      </c>
      <c r="Q397" s="274">
        <f t="shared" si="117"/>
        <v>0.54372454476395959</v>
      </c>
      <c r="R397" s="303">
        <v>110</v>
      </c>
    </row>
    <row r="398" spans="2:18" ht="18" customHeight="1">
      <c r="B398" s="304" t="s">
        <v>784</v>
      </c>
      <c r="C398" s="305" t="s">
        <v>93</v>
      </c>
      <c r="D398" s="710">
        <v>883162.67</v>
      </c>
      <c r="E398" s="307">
        <v>445255</v>
      </c>
      <c r="F398" s="307"/>
      <c r="G398" s="308">
        <v>25680</v>
      </c>
      <c r="H398" s="309"/>
      <c r="I398" s="819">
        <f t="shared" si="112"/>
        <v>5.7674815555131327E-2</v>
      </c>
      <c r="J398" s="271">
        <f t="shared" si="113"/>
        <v>8.6409657320872274E-2</v>
      </c>
      <c r="K398" s="310">
        <v>2219</v>
      </c>
      <c r="L398" s="311">
        <v>1687</v>
      </c>
      <c r="M398" s="309"/>
      <c r="N398" s="271">
        <f t="shared" si="114"/>
        <v>0.76025236593059942</v>
      </c>
      <c r="O398" s="272">
        <f t="shared" si="115"/>
        <v>523.5107705986959</v>
      </c>
      <c r="P398" s="273">
        <f t="shared" si="116"/>
        <v>1130290</v>
      </c>
      <c r="Q398" s="274">
        <f t="shared" si="117"/>
        <v>1.27982085112361</v>
      </c>
      <c r="R398" s="312">
        <v>670</v>
      </c>
    </row>
    <row r="399" spans="2:18" ht="18" customHeight="1">
      <c r="B399" s="276" t="s">
        <v>785</v>
      </c>
      <c r="C399" s="277" t="s">
        <v>93</v>
      </c>
      <c r="D399" s="285"/>
      <c r="E399" s="268"/>
      <c r="F399" s="286"/>
      <c r="G399" s="269"/>
      <c r="H399" s="270"/>
      <c r="I399" s="819" t="e">
        <f t="shared" si="112"/>
        <v>#DIV/0!</v>
      </c>
      <c r="J399" s="271" t="e">
        <f t="shared" si="113"/>
        <v>#DIV/0!</v>
      </c>
      <c r="K399" s="268"/>
      <c r="L399" s="269"/>
      <c r="M399" s="270"/>
      <c r="N399" s="271" t="e">
        <f t="shared" si="114"/>
        <v>#DIV/0!</v>
      </c>
      <c r="O399" s="272" t="e">
        <f t="shared" si="115"/>
        <v>#DIV/0!</v>
      </c>
      <c r="P399" s="273">
        <f t="shared" si="116"/>
        <v>0</v>
      </c>
      <c r="Q399" s="274" t="e">
        <f t="shared" si="117"/>
        <v>#DIV/0!</v>
      </c>
      <c r="R399" s="275"/>
    </row>
    <row r="400" spans="2:18" ht="18" customHeight="1">
      <c r="B400" s="276" t="s">
        <v>785</v>
      </c>
      <c r="C400" s="277" t="s">
        <v>93</v>
      </c>
      <c r="D400" s="318">
        <v>494616.59</v>
      </c>
      <c r="E400" s="268">
        <v>3120761</v>
      </c>
      <c r="F400" s="268"/>
      <c r="G400" s="269">
        <v>164862</v>
      </c>
      <c r="H400" s="270"/>
      <c r="I400" s="819">
        <f t="shared" si="112"/>
        <v>5.2827499446449121E-2</v>
      </c>
      <c r="J400" s="271">
        <f t="shared" si="113"/>
        <v>7.1672065121131612E-2</v>
      </c>
      <c r="K400" s="282">
        <v>11816</v>
      </c>
      <c r="L400" s="319">
        <v>9218</v>
      </c>
      <c r="M400" s="270"/>
      <c r="N400" s="271">
        <f t="shared" si="114"/>
        <v>0.78012863913337849</v>
      </c>
      <c r="O400" s="272">
        <f t="shared" si="115"/>
        <v>53.657690388370582</v>
      </c>
      <c r="P400" s="273">
        <f t="shared" si="116"/>
        <v>5401748</v>
      </c>
      <c r="Q400" s="274">
        <f t="shared" si="117"/>
        <v>10.921081316742731</v>
      </c>
      <c r="R400" s="275">
        <v>586</v>
      </c>
    </row>
    <row r="401" spans="2:18" ht="18" customHeight="1">
      <c r="B401" s="276" t="s">
        <v>786</v>
      </c>
      <c r="C401" s="277" t="s">
        <v>94</v>
      </c>
      <c r="D401" s="318"/>
      <c r="E401" s="268"/>
      <c r="F401" s="286"/>
      <c r="G401" s="269"/>
      <c r="H401" s="270"/>
      <c r="I401" s="818" t="e">
        <f t="shared" si="112"/>
        <v>#DIV/0!</v>
      </c>
      <c r="J401" s="287" t="e">
        <f t="shared" si="113"/>
        <v>#DIV/0!</v>
      </c>
      <c r="K401" s="282"/>
      <c r="L401" s="319"/>
      <c r="M401" s="270"/>
      <c r="N401" s="287" t="e">
        <f t="shared" si="114"/>
        <v>#DIV/0!</v>
      </c>
      <c r="O401" s="288" t="e">
        <f t="shared" si="115"/>
        <v>#DIV/0!</v>
      </c>
      <c r="P401" s="268">
        <f t="shared" si="116"/>
        <v>0</v>
      </c>
      <c r="Q401" s="289" t="e">
        <f t="shared" si="117"/>
        <v>#DIV/0!</v>
      </c>
      <c r="R401" s="275"/>
    </row>
    <row r="402" spans="2:18" ht="18" customHeight="1">
      <c r="B402" s="320" t="s">
        <v>787</v>
      </c>
      <c r="C402" s="321" t="s">
        <v>93</v>
      </c>
      <c r="D402" s="322">
        <v>2412858</v>
      </c>
      <c r="E402" s="332">
        <v>1395709</v>
      </c>
      <c r="F402" s="324"/>
      <c r="G402" s="325">
        <v>81997</v>
      </c>
      <c r="H402" s="326"/>
      <c r="I402" s="330">
        <f t="shared" si="112"/>
        <v>5.8749352479635801E-2</v>
      </c>
      <c r="J402" s="330">
        <f t="shared" si="113"/>
        <v>0.13755381294437602</v>
      </c>
      <c r="K402" s="713">
        <v>11279</v>
      </c>
      <c r="L402" s="329">
        <v>9200</v>
      </c>
      <c r="M402" s="326"/>
      <c r="N402" s="330">
        <f t="shared" si="114"/>
        <v>0.81567514850607326</v>
      </c>
      <c r="O402" s="331">
        <f t="shared" si="115"/>
        <v>262.26717391304345</v>
      </c>
      <c r="P402" s="332">
        <f t="shared" si="116"/>
        <v>4685928</v>
      </c>
      <c r="Q402" s="333">
        <f t="shared" si="117"/>
        <v>1.9420653847014619</v>
      </c>
      <c r="R402" s="719">
        <v>509.34</v>
      </c>
    </row>
    <row r="403" spans="2:18" ht="18" customHeight="1">
      <c r="G403" s="820" t="s">
        <v>788</v>
      </c>
      <c r="H403" s="336"/>
      <c r="I403" s="815">
        <f>SUM(G390:G395,G397)/SUM(E390:E395,E397)</f>
        <v>7.3879606509325471E-2</v>
      </c>
      <c r="J403" s="815">
        <f>SUM(K390:K395,K397)/SUM(G390:G395,G397)</f>
        <v>0.12190312689649015</v>
      </c>
      <c r="O403" s="816">
        <f>SUM(D390:D395,D397)/SUM(L390:L395,L397)</f>
        <v>208.88340621850944</v>
      </c>
    </row>
    <row r="404" spans="2:18" ht="18" customHeight="1">
      <c r="G404" s="820" t="s">
        <v>793</v>
      </c>
      <c r="H404" s="336"/>
      <c r="I404" s="815">
        <f>I396</f>
        <v>5.4533875580979621E-2</v>
      </c>
      <c r="J404" s="815">
        <f>J396</f>
        <v>0.17332513829133375</v>
      </c>
      <c r="O404" s="816">
        <f>O396</f>
        <v>1032.2801788375559</v>
      </c>
    </row>
    <row r="405" spans="2:18" ht="18" customHeight="1">
      <c r="D405" s="340"/>
      <c r="G405" s="820" t="s">
        <v>789</v>
      </c>
      <c r="H405" s="336"/>
      <c r="I405" s="815">
        <f>SUM(G398:G399)/SUM(E398:E399)</f>
        <v>5.7674815555131327E-2</v>
      </c>
      <c r="J405" s="815">
        <f>SUM(K398:K399)/SUM(G398:G399)</f>
        <v>8.6409657320872274E-2</v>
      </c>
      <c r="O405" s="816">
        <f>SUM(D398:D399)/SUM(L398:L399)</f>
        <v>523.5107705986959</v>
      </c>
    </row>
    <row r="406" spans="2:18" ht="18" customHeight="1">
      <c r="G406" s="820" t="s">
        <v>790</v>
      </c>
      <c r="H406" s="336"/>
      <c r="I406" s="815">
        <f>SUM(G400:G402)/SUM(E400:E402)</f>
        <v>5.465750907235075E-2</v>
      </c>
      <c r="J406" s="815">
        <f>SUM(K400:K402)/SUM(G400:G402)</f>
        <v>9.3555430427896089E-2</v>
      </c>
      <c r="O406" s="816">
        <f>SUM(D400:D402)/SUM(L400:L402)</f>
        <v>157.86049462482353</v>
      </c>
    </row>
    <row r="407" spans="2:18" ht="18" customHeight="1">
      <c r="G407" s="820" t="s">
        <v>791</v>
      </c>
      <c r="H407" s="336"/>
      <c r="I407" s="815">
        <f>SUM(G390:G402)/SUM(E390:E402)</f>
        <v>7.1195224631541834E-2</v>
      </c>
      <c r="J407" s="815">
        <f>SUM(K390:K402)/SUM(G390:G402)</f>
        <v>0.11888781226093315</v>
      </c>
      <c r="O407" s="816">
        <f>SUM(D390:D402)/SUM(L390:L402)</f>
        <v>209.53807860961106</v>
      </c>
    </row>
    <row r="410" spans="2:18" ht="18" customHeight="1">
      <c r="I410" s="813"/>
    </row>
    <row r="411" spans="2:18" ht="18" customHeight="1">
      <c r="B411" s="248" t="s">
        <v>2</v>
      </c>
    </row>
    <row r="412" spans="2:18" ht="49.5">
      <c r="B412" s="249" t="s">
        <v>85</v>
      </c>
      <c r="C412" s="250" t="s">
        <v>86</v>
      </c>
      <c r="D412" s="251" t="s">
        <v>87</v>
      </c>
      <c r="E412" s="252" t="s">
        <v>23</v>
      </c>
      <c r="F412" s="251" t="s">
        <v>88</v>
      </c>
      <c r="G412" s="251" t="s">
        <v>21</v>
      </c>
      <c r="H412" s="251" t="s">
        <v>89</v>
      </c>
      <c r="I412" s="251" t="s">
        <v>20</v>
      </c>
      <c r="J412" s="251" t="s">
        <v>19</v>
      </c>
      <c r="K412" s="252" t="s">
        <v>18</v>
      </c>
      <c r="L412" s="251" t="s">
        <v>17</v>
      </c>
      <c r="M412" s="251" t="s">
        <v>90</v>
      </c>
      <c r="N412" s="251" t="s">
        <v>16</v>
      </c>
      <c r="O412" s="251" t="s">
        <v>14</v>
      </c>
      <c r="P412" s="251" t="s">
        <v>91</v>
      </c>
      <c r="Q412" s="251" t="s">
        <v>12</v>
      </c>
      <c r="R412" s="253" t="s">
        <v>92</v>
      </c>
    </row>
    <row r="413" spans="2:18" ht="18" customHeight="1">
      <c r="B413" s="810" t="s">
        <v>775</v>
      </c>
      <c r="C413" s="811" t="s">
        <v>93</v>
      </c>
      <c r="D413" s="737">
        <v>8054303.0549999997</v>
      </c>
      <c r="E413" s="257">
        <v>7121258</v>
      </c>
      <c r="F413" s="257">
        <v>1.1310225040294846</v>
      </c>
      <c r="G413" s="258">
        <v>732826</v>
      </c>
      <c r="H413" s="259"/>
      <c r="I413" s="821">
        <v>0.102906817868416</v>
      </c>
      <c r="J413" s="261"/>
      <c r="K413" s="257"/>
      <c r="L413" s="258"/>
      <c r="M413" s="259"/>
      <c r="N413" s="261"/>
      <c r="O413" s="262"/>
      <c r="P413" s="257"/>
      <c r="Q413" s="263"/>
      <c r="R413" s="264">
        <v>1000</v>
      </c>
    </row>
    <row r="414" spans="2:18" ht="18" customHeight="1">
      <c r="B414" s="265" t="s">
        <v>776</v>
      </c>
      <c r="C414" s="266" t="s">
        <v>93</v>
      </c>
      <c r="D414" s="764">
        <v>9086537.379999999</v>
      </c>
      <c r="E414" s="268">
        <v>8991247</v>
      </c>
      <c r="F414" s="268"/>
      <c r="G414" s="269">
        <v>118534</v>
      </c>
      <c r="H414" s="270"/>
      <c r="I414" s="822">
        <f t="shared" ref="I414:I420" si="118">G414/E414</f>
        <v>1.3183265902938713E-2</v>
      </c>
      <c r="J414" s="271"/>
      <c r="K414" s="268"/>
      <c r="L414" s="269"/>
      <c r="M414" s="270"/>
      <c r="N414" s="271"/>
      <c r="O414" s="272"/>
      <c r="P414" s="273"/>
      <c r="Q414" s="274"/>
      <c r="R414" s="275">
        <v>2200</v>
      </c>
    </row>
    <row r="415" spans="2:18" ht="18" customHeight="1">
      <c r="B415" s="276" t="s">
        <v>777</v>
      </c>
      <c r="C415" s="277" t="s">
        <v>93</v>
      </c>
      <c r="D415" s="285">
        <v>1786537</v>
      </c>
      <c r="E415" s="278">
        <v>512092</v>
      </c>
      <c r="F415" s="279"/>
      <c r="G415" s="280">
        <v>33332</v>
      </c>
      <c r="H415" s="281"/>
      <c r="I415" s="728">
        <f t="shared" si="118"/>
        <v>6.5089866664583704E-2</v>
      </c>
      <c r="J415" s="271"/>
      <c r="K415" s="282"/>
      <c r="L415" s="283"/>
      <c r="M415" s="281"/>
      <c r="N415" s="271"/>
      <c r="O415" s="272"/>
      <c r="P415" s="273"/>
      <c r="Q415" s="274"/>
      <c r="R415" s="284">
        <v>460</v>
      </c>
    </row>
    <row r="416" spans="2:18" ht="18" customHeight="1">
      <c r="B416" s="276" t="s">
        <v>778</v>
      </c>
      <c r="C416" s="277" t="s">
        <v>93</v>
      </c>
      <c r="D416" s="285">
        <v>892681.8</v>
      </c>
      <c r="E416" s="268">
        <v>497885</v>
      </c>
      <c r="F416" s="286"/>
      <c r="G416" s="269">
        <v>15013</v>
      </c>
      <c r="H416" s="270"/>
      <c r="I416" s="822">
        <f t="shared" si="118"/>
        <v>3.0153549514446105E-2</v>
      </c>
      <c r="J416" s="287"/>
      <c r="K416" s="268"/>
      <c r="L416" s="269"/>
      <c r="M416" s="270"/>
      <c r="N416" s="287"/>
      <c r="O416" s="288"/>
      <c r="P416" s="273"/>
      <c r="Q416" s="289"/>
      <c r="R416" s="275">
        <v>203</v>
      </c>
    </row>
    <row r="417" spans="2:18" ht="18" customHeight="1">
      <c r="B417" s="276" t="s">
        <v>779</v>
      </c>
      <c r="C417" s="277" t="s">
        <v>93</v>
      </c>
      <c r="D417" s="285"/>
      <c r="E417" s="268"/>
      <c r="F417" s="286"/>
      <c r="G417" s="269"/>
      <c r="H417" s="270"/>
      <c r="I417" s="822" t="e">
        <f t="shared" si="118"/>
        <v>#DIV/0!</v>
      </c>
      <c r="J417" s="287"/>
      <c r="K417" s="268"/>
      <c r="L417" s="269"/>
      <c r="M417" s="270"/>
      <c r="N417" s="287"/>
      <c r="O417" s="288"/>
      <c r="P417" s="273"/>
      <c r="Q417" s="289"/>
      <c r="R417" s="275">
        <v>325</v>
      </c>
    </row>
    <row r="418" spans="2:18" ht="18" customHeight="1">
      <c r="B418" s="276" t="s">
        <v>780</v>
      </c>
      <c r="C418" s="277" t="s">
        <v>93</v>
      </c>
      <c r="D418" s="285">
        <v>2043350.07</v>
      </c>
      <c r="E418" s="268">
        <v>636300</v>
      </c>
      <c r="F418" s="286"/>
      <c r="G418" s="269">
        <v>17975</v>
      </c>
      <c r="H418" s="270"/>
      <c r="I418" s="822">
        <f t="shared" si="118"/>
        <v>2.8249253496778249E-2</v>
      </c>
      <c r="J418" s="287"/>
      <c r="K418" s="268"/>
      <c r="L418" s="269"/>
      <c r="M418" s="270"/>
      <c r="N418" s="287"/>
      <c r="O418" s="288"/>
      <c r="P418" s="273"/>
      <c r="Q418" s="289"/>
      <c r="R418" s="275">
        <v>809</v>
      </c>
    </row>
    <row r="419" spans="2:18" ht="18" customHeight="1">
      <c r="B419" s="276" t="s">
        <v>782</v>
      </c>
      <c r="C419" s="277" t="s">
        <v>233</v>
      </c>
      <c r="D419" s="285">
        <v>448951</v>
      </c>
      <c r="E419" s="278">
        <v>148802</v>
      </c>
      <c r="F419" s="279"/>
      <c r="G419" s="280">
        <v>1185</v>
      </c>
      <c r="H419" s="281"/>
      <c r="I419" s="728">
        <f t="shared" si="118"/>
        <v>7.9636026397494654E-3</v>
      </c>
      <c r="J419" s="271"/>
      <c r="K419" s="282"/>
      <c r="L419" s="283"/>
      <c r="M419" s="281"/>
      <c r="N419" s="271"/>
      <c r="O419" s="272"/>
      <c r="P419" s="273"/>
      <c r="Q419" s="274"/>
      <c r="R419" s="284">
        <v>300</v>
      </c>
    </row>
    <row r="420" spans="2:18" ht="18" customHeight="1">
      <c r="B420" s="296" t="s">
        <v>783</v>
      </c>
      <c r="C420" s="297" t="s">
        <v>93</v>
      </c>
      <c r="D420" s="306"/>
      <c r="E420" s="273">
        <v>385760</v>
      </c>
      <c r="F420" s="298"/>
      <c r="G420" s="299">
        <v>23846</v>
      </c>
      <c r="H420" s="300"/>
      <c r="I420" s="823">
        <f t="shared" si="118"/>
        <v>6.1815636665284113E-2</v>
      </c>
      <c r="J420" s="271"/>
      <c r="K420" s="301"/>
      <c r="L420" s="302"/>
      <c r="M420" s="300"/>
      <c r="N420" s="271"/>
      <c r="O420" s="272"/>
      <c r="P420" s="273"/>
      <c r="Q420" s="274"/>
      <c r="R420" s="303">
        <v>110</v>
      </c>
    </row>
    <row r="421" spans="2:18" ht="18" customHeight="1">
      <c r="B421" s="304" t="s">
        <v>784</v>
      </c>
      <c r="C421" s="305" t="s">
        <v>93</v>
      </c>
      <c r="D421" s="710"/>
      <c r="E421" s="307"/>
      <c r="F421" s="307"/>
      <c r="G421" s="308"/>
      <c r="H421" s="309"/>
      <c r="I421" s="824"/>
      <c r="J421" s="271"/>
      <c r="K421" s="310"/>
      <c r="L421" s="311"/>
      <c r="M421" s="309"/>
      <c r="N421" s="271"/>
      <c r="O421" s="272"/>
      <c r="P421" s="273"/>
      <c r="Q421" s="274"/>
      <c r="R421" s="312">
        <v>670</v>
      </c>
    </row>
    <row r="422" spans="2:18" ht="18" customHeight="1">
      <c r="B422" s="276" t="s">
        <v>785</v>
      </c>
      <c r="C422" s="277" t="s">
        <v>93</v>
      </c>
      <c r="D422" s="285"/>
      <c r="E422" s="268"/>
      <c r="F422" s="286"/>
      <c r="G422" s="269"/>
      <c r="H422" s="270"/>
      <c r="I422" s="822" t="e">
        <f>G422/E422</f>
        <v>#DIV/0!</v>
      </c>
      <c r="J422" s="287"/>
      <c r="K422" s="268"/>
      <c r="L422" s="269"/>
      <c r="M422" s="270"/>
      <c r="N422" s="287"/>
      <c r="O422" s="288"/>
      <c r="P422" s="268"/>
      <c r="Q422" s="289"/>
      <c r="R422" s="275"/>
    </row>
    <row r="423" spans="2:18" ht="18" customHeight="1">
      <c r="B423" s="320" t="s">
        <v>785</v>
      </c>
      <c r="C423" s="321" t="s">
        <v>93</v>
      </c>
      <c r="D423" s="322">
        <v>334429</v>
      </c>
      <c r="E423" s="332">
        <v>2410189</v>
      </c>
      <c r="F423" s="332"/>
      <c r="G423" s="711">
        <v>98098</v>
      </c>
      <c r="H423" s="712"/>
      <c r="I423" s="825">
        <f>G423/E423</f>
        <v>4.0701372381999917E-2</v>
      </c>
      <c r="J423" s="330"/>
      <c r="K423" s="713"/>
      <c r="L423" s="714"/>
      <c r="M423" s="712"/>
      <c r="N423" s="330"/>
      <c r="O423" s="826"/>
      <c r="P423" s="332"/>
      <c r="Q423" s="333"/>
      <c r="R423" s="719"/>
    </row>
    <row r="424" spans="2:18" ht="18" customHeight="1">
      <c r="B424" s="265" t="s">
        <v>786</v>
      </c>
      <c r="C424" s="313" t="s">
        <v>233</v>
      </c>
      <c r="D424" s="720"/>
      <c r="E424" s="721"/>
      <c r="F424" s="722"/>
      <c r="G424" s="723"/>
      <c r="H424" s="314"/>
      <c r="I424" s="827" t="e">
        <f>G424/E424</f>
        <v>#DIV/0!</v>
      </c>
      <c r="J424" s="725"/>
      <c r="K424" s="315"/>
      <c r="L424" s="316"/>
      <c r="M424" s="314"/>
      <c r="N424" s="725"/>
      <c r="O424" s="726"/>
      <c r="P424" s="721"/>
      <c r="Q424" s="727"/>
      <c r="R424" s="317"/>
    </row>
    <row r="425" spans="2:18" ht="18" customHeight="1">
      <c r="B425" s="320" t="s">
        <v>787</v>
      </c>
      <c r="C425" s="321" t="s">
        <v>93</v>
      </c>
      <c r="D425" s="322"/>
      <c r="E425" s="332"/>
      <c r="F425" s="324"/>
      <c r="G425" s="325"/>
      <c r="H425" s="326"/>
      <c r="I425" s="330" t="e">
        <f>G425/E425</f>
        <v>#DIV/0!</v>
      </c>
      <c r="J425" s="330"/>
      <c r="K425" s="713"/>
      <c r="L425" s="329"/>
      <c r="M425" s="326"/>
      <c r="N425" s="330"/>
      <c r="O425" s="331"/>
      <c r="P425" s="332"/>
      <c r="Q425" s="333"/>
      <c r="R425" s="719"/>
    </row>
    <row r="426" spans="2:18" ht="18" customHeight="1">
      <c r="G426" s="820" t="s">
        <v>788</v>
      </c>
      <c r="H426" s="336"/>
      <c r="I426" s="815">
        <f>SUM(G413:G418,G420)/SUM(E413:E418,E420)</f>
        <v>5.1890315004919939E-2</v>
      </c>
      <c r="J426" s="815">
        <f>SUM(K413:K418,K420)/SUM(G413:G418,G420)</f>
        <v>0</v>
      </c>
      <c r="O426" s="816" t="e">
        <f>SUM(D413:D418,D420)/SUM(L413:L418,L420)</f>
        <v>#DIV/0!</v>
      </c>
    </row>
    <row r="427" spans="2:18" ht="18" customHeight="1">
      <c r="G427" s="820" t="s">
        <v>793</v>
      </c>
      <c r="H427" s="336"/>
      <c r="I427" s="815">
        <f>I419</f>
        <v>7.9636026397494654E-3</v>
      </c>
      <c r="J427" s="815">
        <f>J419</f>
        <v>0</v>
      </c>
      <c r="O427" s="816">
        <f>O419</f>
        <v>0</v>
      </c>
    </row>
    <row r="428" spans="2:18" ht="18" customHeight="1">
      <c r="D428" s="340"/>
      <c r="G428" s="820" t="s">
        <v>789</v>
      </c>
      <c r="H428" s="336"/>
      <c r="I428" s="815" t="e">
        <f>SUM(G421)/SUM(E422)</f>
        <v>#DIV/0!</v>
      </c>
      <c r="J428" s="815" t="e">
        <f>SUM(K421)/SUM(G421:H422)</f>
        <v>#DIV/0!</v>
      </c>
      <c r="O428" s="816" t="e">
        <f>SUM(D421:D422)/SUM(L421:L422)</f>
        <v>#DIV/0!</v>
      </c>
    </row>
    <row r="429" spans="2:18" ht="18" customHeight="1">
      <c r="G429" s="820" t="s">
        <v>790</v>
      </c>
      <c r="H429" s="336"/>
      <c r="I429" s="828">
        <f>SUM(G423:G425)/SUM(E423:E425)</f>
        <v>4.0701372381999917E-2</v>
      </c>
      <c r="J429" s="828">
        <f>SUM(K423:K425)/SUM(G423:G425)</f>
        <v>0</v>
      </c>
      <c r="O429" s="816" t="e">
        <f>SUM(D423:D425)/SUM(L423:L425)</f>
        <v>#DIV/0!</v>
      </c>
    </row>
    <row r="430" spans="2:18" ht="18" customHeight="1">
      <c r="G430" s="820" t="s">
        <v>791</v>
      </c>
      <c r="H430" s="336"/>
      <c r="I430" s="815">
        <f>SUM(G413:G425)/SUM(E413:E425)</f>
        <v>5.0272047770783854E-2</v>
      </c>
      <c r="J430" s="815">
        <f>SUM(K413:K425)/SUM(G413:G425)</f>
        <v>0</v>
      </c>
      <c r="O430" s="816" t="e">
        <f>SUM(D413:D425)/SUM(L413:L425)</f>
        <v>#DIV/0!</v>
      </c>
    </row>
    <row r="432" spans="2:18" ht="18" customHeight="1">
      <c r="I432" s="829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169A-0239-4B49-8BF5-D869CC57F8A1}">
  <dimension ref="A2:AU542"/>
  <sheetViews>
    <sheetView showGridLines="0" tabSelected="1" topLeftCell="H1" zoomScale="85" zoomScaleNormal="85" workbookViewId="0">
      <selection activeCell="M15" sqref="M15"/>
    </sheetView>
  </sheetViews>
  <sheetFormatPr defaultColWidth="9" defaultRowHeight="16.5"/>
  <cols>
    <col min="1" max="1" width="14" style="1463" customWidth="1"/>
    <col min="2" max="2" width="34.08203125" style="1463" customWidth="1"/>
    <col min="3" max="3" width="34.08203125" style="1465" customWidth="1"/>
    <col min="4" max="4" width="26" style="1465" customWidth="1"/>
    <col min="5" max="7" width="26" style="1466" customWidth="1"/>
    <col min="8" max="8" width="24.6640625" style="1467" customWidth="1"/>
    <col min="9" max="9" width="24.6640625" style="1468" customWidth="1"/>
    <col min="10" max="10" width="24.6640625" style="1467" customWidth="1"/>
    <col min="11" max="12" width="24.6640625" style="845" customWidth="1"/>
    <col min="13" max="14" width="24.6640625" style="1467" customWidth="1"/>
    <col min="15" max="15" width="24.6640625" style="845" customWidth="1"/>
    <col min="16" max="18" width="24.6640625" style="1467" customWidth="1"/>
    <col min="19" max="19" width="24.6640625" style="1469" customWidth="1"/>
    <col min="20" max="23" width="24.6640625" style="1467" customWidth="1"/>
    <col min="24" max="24" width="24.6640625" style="845" customWidth="1"/>
    <col min="25" max="27" width="24.6640625" style="1467" customWidth="1"/>
    <col min="28" max="28" width="24.6640625" style="1469" customWidth="1"/>
    <col min="29" max="29" width="24.6640625" style="1467" customWidth="1"/>
    <col min="30" max="30" width="24.6640625" style="1470" customWidth="1"/>
    <col min="31" max="33" width="20.4140625" style="1471" customWidth="1"/>
    <col min="34" max="36" width="18.75" style="1463" customWidth="1"/>
    <col min="37" max="37" width="14.58203125" style="1463" bestFit="1" customWidth="1"/>
    <col min="38" max="39" width="18.5" style="1463" bestFit="1" customWidth="1"/>
    <col min="40" max="40" width="49.75" style="1463" bestFit="1" customWidth="1"/>
    <col min="41" max="43" width="9" style="1463"/>
    <col min="44" max="44" width="14" style="1463" customWidth="1"/>
    <col min="45" max="16384" width="9" style="1463"/>
  </cols>
  <sheetData>
    <row r="2" spans="1:37">
      <c r="B2" s="1464" t="s">
        <v>236</v>
      </c>
    </row>
    <row r="3" spans="1:37">
      <c r="B3" s="1464" t="s">
        <v>182</v>
      </c>
    </row>
    <row r="4" spans="1:37">
      <c r="B4" s="1472" t="s">
        <v>237</v>
      </c>
    </row>
    <row r="5" spans="1:37">
      <c r="B5" s="1472" t="s">
        <v>183</v>
      </c>
    </row>
    <row r="6" spans="1:37">
      <c r="B6" s="1472"/>
    </row>
    <row r="7" spans="1:37" s="1473" customFormat="1" ht="22.5">
      <c r="B7" s="850" t="s">
        <v>794</v>
      </c>
      <c r="C7" s="1474"/>
      <c r="D7" s="1474"/>
      <c r="E7" s="1475"/>
      <c r="F7" s="1476"/>
      <c r="G7" s="1476"/>
      <c r="H7" s="1476"/>
      <c r="I7" s="1477"/>
      <c r="J7" s="1476"/>
      <c r="K7" s="851"/>
      <c r="L7" s="851"/>
      <c r="M7" s="1476"/>
      <c r="N7" s="1476"/>
      <c r="O7" s="851"/>
      <c r="P7" s="1476"/>
      <c r="Q7" s="1476"/>
      <c r="R7" s="1476"/>
      <c r="S7" s="1478"/>
      <c r="T7" s="1476"/>
      <c r="U7" s="1476"/>
      <c r="V7" s="1476"/>
      <c r="W7" s="1476"/>
      <c r="X7" s="851"/>
      <c r="Y7" s="1476"/>
      <c r="Z7" s="1476"/>
      <c r="AA7" s="1476"/>
      <c r="AB7" s="1478"/>
      <c r="AC7" s="1476"/>
      <c r="AD7" s="1479"/>
      <c r="AE7" s="1476"/>
      <c r="AF7" s="1476"/>
      <c r="AG7" s="1476"/>
    </row>
    <row r="8" spans="1:37" customFormat="1">
      <c r="B8" s="852" t="s">
        <v>238</v>
      </c>
      <c r="C8" s="853" t="s">
        <v>533</v>
      </c>
      <c r="D8" s="1465"/>
      <c r="E8" s="1466"/>
      <c r="F8" s="1466"/>
      <c r="G8" s="1466"/>
      <c r="H8" s="1467"/>
      <c r="I8" s="1468"/>
      <c r="J8" s="1467"/>
      <c r="K8" s="845"/>
      <c r="L8" s="845"/>
      <c r="M8" s="1467"/>
      <c r="N8" s="1467"/>
      <c r="O8" s="845"/>
      <c r="P8" s="1467"/>
      <c r="Q8" s="1467"/>
      <c r="R8" s="1467"/>
      <c r="S8" s="1469"/>
      <c r="T8" s="1467"/>
      <c r="U8" s="1467"/>
      <c r="V8" s="1467"/>
      <c r="W8" s="1467"/>
      <c r="X8" s="845"/>
      <c r="Y8" s="1467"/>
      <c r="Z8" s="1467"/>
      <c r="AA8" s="1467"/>
      <c r="AB8" s="1469"/>
      <c r="AC8" s="1467"/>
      <c r="AD8" s="1470"/>
      <c r="AE8" s="1471"/>
      <c r="AF8" s="1471"/>
      <c r="AG8" s="1471"/>
    </row>
    <row r="9" spans="1:37" customFormat="1">
      <c r="B9" s="854" t="s">
        <v>82</v>
      </c>
      <c r="C9" s="855" t="s">
        <v>534</v>
      </c>
      <c r="D9" s="1465"/>
      <c r="E9" s="1466"/>
      <c r="F9" s="1466"/>
      <c r="G9" s="1466"/>
      <c r="H9" s="1467"/>
      <c r="I9" s="1468"/>
      <c r="J9" s="1467"/>
      <c r="K9" s="845"/>
      <c r="L9" s="845"/>
      <c r="M9" s="1467"/>
      <c r="N9" s="1467"/>
      <c r="O9" s="845"/>
      <c r="P9" s="1467"/>
      <c r="Q9" s="1467"/>
      <c r="R9" s="1467"/>
      <c r="S9" s="1469"/>
      <c r="T9" s="1467"/>
      <c r="U9" s="1467"/>
      <c r="V9" s="1467"/>
      <c r="W9" s="1467"/>
      <c r="X9" s="845"/>
      <c r="Y9" s="1467"/>
      <c r="Z9" s="1467"/>
      <c r="AA9" s="1467"/>
      <c r="AB9" s="1469"/>
      <c r="AC9" s="1467"/>
      <c r="AD9" s="1470"/>
      <c r="AE9" s="1471"/>
      <c r="AF9" s="1471"/>
      <c r="AG9" s="1471"/>
    </row>
    <row r="10" spans="1:37" customFormat="1">
      <c r="B10" s="854"/>
      <c r="C10" s="855"/>
      <c r="D10" s="1465"/>
      <c r="E10" s="1466"/>
      <c r="F10" s="1466"/>
      <c r="G10" s="1466"/>
      <c r="H10" s="1467"/>
      <c r="I10" s="1468"/>
      <c r="J10" s="1467"/>
      <c r="K10" s="845"/>
      <c r="L10" s="845"/>
      <c r="M10" s="1467"/>
      <c r="N10" s="1467"/>
      <c r="O10" s="845"/>
      <c r="P10" s="1467"/>
      <c r="Q10" s="1467"/>
      <c r="R10" s="1467"/>
      <c r="S10" s="1469"/>
      <c r="T10" s="1467"/>
      <c r="U10" s="1467"/>
      <c r="V10" s="1467"/>
      <c r="W10" s="1467"/>
      <c r="X10" s="845"/>
      <c r="Y10" s="1467"/>
      <c r="Z10" s="1467"/>
      <c r="AA10" s="1467"/>
      <c r="AB10" s="1469"/>
      <c r="AC10" s="1467"/>
      <c r="AD10" s="1470"/>
      <c r="AE10" s="1471"/>
      <c r="AF10" s="1471"/>
      <c r="AG10" s="1471"/>
    </row>
    <row r="11" spans="1:37" customFormat="1">
      <c r="B11" s="854"/>
      <c r="C11" s="855"/>
      <c r="D11" s="1465"/>
      <c r="E11" s="1465"/>
      <c r="F11" s="1465"/>
      <c r="G11" s="1465"/>
      <c r="H11" s="1466"/>
      <c r="I11" s="1466"/>
      <c r="J11" s="1466"/>
      <c r="K11" s="1467"/>
      <c r="L11" s="1468"/>
      <c r="M11" s="1467"/>
      <c r="N11" s="845"/>
      <c r="O11" s="845"/>
      <c r="P11" s="1467"/>
      <c r="Q11" s="1467"/>
      <c r="R11" s="845"/>
      <c r="S11" s="1467"/>
      <c r="T11" s="1467"/>
      <c r="U11" s="1467"/>
      <c r="V11" s="1469"/>
      <c r="W11" s="1467"/>
      <c r="X11" s="1467"/>
      <c r="Y11" s="1467"/>
      <c r="Z11" s="1467"/>
      <c r="AA11" s="845"/>
      <c r="AB11" s="1467"/>
      <c r="AC11" s="1467"/>
      <c r="AD11" s="1467"/>
      <c r="AE11" s="1469"/>
      <c r="AF11" s="1467"/>
      <c r="AG11" s="1470"/>
      <c r="AH11" s="1471"/>
      <c r="AI11" s="1471"/>
      <c r="AJ11" s="1471"/>
    </row>
    <row r="12" spans="1:37" customFormat="1">
      <c r="A12" s="856"/>
      <c r="B12" s="857" t="s">
        <v>795</v>
      </c>
      <c r="C12" s="858"/>
      <c r="D12" s="859"/>
      <c r="E12" s="859"/>
      <c r="F12" s="859"/>
      <c r="G12" s="859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60"/>
      <c r="AE12" s="861"/>
      <c r="AF12" s="861"/>
      <c r="AG12" s="861"/>
      <c r="AH12" s="1468"/>
      <c r="AI12" s="856"/>
      <c r="AJ12" s="856"/>
      <c r="AK12" s="1468"/>
    </row>
    <row r="13" spans="1:37" s="1480" customFormat="1" ht="40.5" customHeight="1">
      <c r="B13" s="2238" t="s">
        <v>32</v>
      </c>
      <c r="C13" s="2239" t="s">
        <v>31</v>
      </c>
      <c r="D13" s="2239" t="s">
        <v>437</v>
      </c>
      <c r="E13" s="2239" t="s">
        <v>439</v>
      </c>
      <c r="F13" s="2239" t="s">
        <v>441</v>
      </c>
      <c r="G13" s="2239" t="s">
        <v>30</v>
      </c>
      <c r="H13" s="2241" t="s">
        <v>29</v>
      </c>
      <c r="I13" s="2241"/>
      <c r="J13" s="2241"/>
      <c r="K13" s="2237" t="s">
        <v>243</v>
      </c>
      <c r="L13" s="2237"/>
      <c r="M13" s="2237"/>
      <c r="N13" s="2237"/>
      <c r="O13" s="2237"/>
      <c r="P13" s="2237"/>
      <c r="Q13" s="2237"/>
      <c r="R13" s="2237"/>
      <c r="S13" s="2237"/>
      <c r="T13" s="2237"/>
      <c r="U13" s="2237"/>
      <c r="V13" s="2237"/>
      <c r="W13" s="2237"/>
      <c r="X13" s="2237"/>
      <c r="Y13" s="2243" t="s">
        <v>27</v>
      </c>
      <c r="Z13" s="2243"/>
      <c r="AA13" s="2243"/>
      <c r="AB13" s="2243"/>
      <c r="AC13" s="2243"/>
      <c r="AD13" s="2243"/>
      <c r="AE13" s="2243"/>
      <c r="AF13" s="2243"/>
      <c r="AG13" s="1481"/>
      <c r="AH13" s="1468"/>
      <c r="AI13" s="856"/>
      <c r="AJ13" s="856"/>
    </row>
    <row r="14" spans="1:37" s="1480" customFormat="1" ht="33">
      <c r="B14" s="2238"/>
      <c r="C14" s="2239"/>
      <c r="D14" s="2239"/>
      <c r="E14" s="2239"/>
      <c r="F14" s="2239"/>
      <c r="G14" s="2239"/>
      <c r="H14" s="1482" t="s">
        <v>26</v>
      </c>
      <c r="I14" s="1483" t="s">
        <v>25</v>
      </c>
      <c r="J14" s="1484" t="s">
        <v>250</v>
      </c>
      <c r="K14" s="1485" t="s">
        <v>23</v>
      </c>
      <c r="L14" s="1485" t="s">
        <v>22</v>
      </c>
      <c r="M14" s="1485" t="s">
        <v>251</v>
      </c>
      <c r="N14" s="1485" t="s">
        <v>20</v>
      </c>
      <c r="O14" s="1485" t="s">
        <v>19</v>
      </c>
      <c r="P14" s="1485" t="s">
        <v>18</v>
      </c>
      <c r="Q14" s="1485" t="s">
        <v>17</v>
      </c>
      <c r="R14" s="1486" t="s">
        <v>16</v>
      </c>
      <c r="S14" s="1487" t="s">
        <v>15</v>
      </c>
      <c r="T14" s="1486" t="s">
        <v>14</v>
      </c>
      <c r="U14" s="1486" t="s">
        <v>13</v>
      </c>
      <c r="V14" s="1486" t="s">
        <v>12</v>
      </c>
      <c r="W14" s="1488" t="s">
        <v>3</v>
      </c>
      <c r="X14" s="1489" t="s">
        <v>11</v>
      </c>
      <c r="Y14" s="1490" t="s">
        <v>10</v>
      </c>
      <c r="Z14" s="1491" t="s">
        <v>9</v>
      </c>
      <c r="AA14" s="1492" t="s">
        <v>8</v>
      </c>
      <c r="AB14" s="1492" t="s">
        <v>7</v>
      </c>
      <c r="AC14" s="1492" t="s">
        <v>6</v>
      </c>
      <c r="AD14" s="1492" t="s">
        <v>5</v>
      </c>
      <c r="AE14" s="1492" t="s">
        <v>4</v>
      </c>
      <c r="AF14" s="1493" t="s">
        <v>3</v>
      </c>
      <c r="AG14" s="1481"/>
      <c r="AH14" s="1468"/>
      <c r="AI14" s="856"/>
      <c r="AJ14" s="856"/>
    </row>
    <row r="15" spans="1:37" s="1480" customFormat="1">
      <c r="B15" s="1494" t="s">
        <v>253</v>
      </c>
      <c r="C15" s="1495" t="s">
        <v>796</v>
      </c>
      <c r="D15" s="1496" t="s">
        <v>535</v>
      </c>
      <c r="E15" s="1496" t="s">
        <v>536</v>
      </c>
      <c r="F15" s="1496" t="s">
        <v>537</v>
      </c>
      <c r="G15" s="1496" t="s">
        <v>253</v>
      </c>
      <c r="H15" s="862">
        <f>I15+J15</f>
        <v>6191958.8499999996</v>
      </c>
      <c r="I15" s="863">
        <v>3121593.75</v>
      </c>
      <c r="J15" s="864">
        <v>3070365.0999999996</v>
      </c>
      <c r="K15" s="1497">
        <v>9038046</v>
      </c>
      <c r="L15" s="865">
        <f>H15/K15</f>
        <v>0.68509928473477555</v>
      </c>
      <c r="M15" s="1497">
        <v>544798</v>
      </c>
      <c r="N15" s="866">
        <f>M15/K15</f>
        <v>6.0278294666789703E-2</v>
      </c>
      <c r="O15" s="867">
        <f t="shared" ref="O15:O20" si="0">P15/M15</f>
        <v>3.4961582090976842E-2</v>
      </c>
      <c r="P15" s="1497">
        <v>19047</v>
      </c>
      <c r="Q15" s="1497">
        <v>13587</v>
      </c>
      <c r="R15" s="868">
        <f t="shared" ref="R15:R20" si="1">Q15/P15</f>
        <v>0.71334068357221614</v>
      </c>
      <c r="S15" s="869">
        <f>H15/P15</f>
        <v>325.08840499816245</v>
      </c>
      <c r="T15" s="870">
        <f>H15/Q15</f>
        <v>455.72671303451824</v>
      </c>
      <c r="U15" s="871">
        <f>X15*Q15</f>
        <v>13790805</v>
      </c>
      <c r="V15" s="872">
        <f>U15/H15</f>
        <v>2.2272119912424806</v>
      </c>
      <c r="W15" s="1498">
        <v>380</v>
      </c>
      <c r="X15" s="2229">
        <v>1015</v>
      </c>
      <c r="Y15" s="1499">
        <v>1545</v>
      </c>
      <c r="Z15" s="1497">
        <v>1253</v>
      </c>
      <c r="AA15" s="867">
        <f>Z15/Y15</f>
        <v>0.81100323624595472</v>
      </c>
      <c r="AB15" s="869">
        <f>H15/Y15</f>
        <v>4007.740355987055</v>
      </c>
      <c r="AC15" s="873">
        <f>H15/Z15</f>
        <v>4941.7069832402231</v>
      </c>
      <c r="AD15" s="874">
        <f>Z15*AF15</f>
        <v>476140</v>
      </c>
      <c r="AE15" s="875">
        <f>AD15/H15</f>
        <v>7.6896505860984524E-2</v>
      </c>
      <c r="AF15" s="1500">
        <f>W15</f>
        <v>380</v>
      </c>
      <c r="AG15" s="876" t="s">
        <v>254</v>
      </c>
      <c r="AH15" s="1468"/>
      <c r="AI15" s="856"/>
      <c r="AJ15" s="856"/>
    </row>
    <row r="16" spans="1:37" s="1480" customFormat="1">
      <c r="B16" s="1494" t="s">
        <v>538</v>
      </c>
      <c r="C16" s="1495" t="s">
        <v>797</v>
      </c>
      <c r="D16" s="1496" t="s">
        <v>535</v>
      </c>
      <c r="E16" s="1496" t="s">
        <v>539</v>
      </c>
      <c r="F16" s="1496" t="s">
        <v>540</v>
      </c>
      <c r="G16" s="1496" t="s">
        <v>256</v>
      </c>
      <c r="H16" s="862">
        <f>I16+J16</f>
        <v>3607715.11</v>
      </c>
      <c r="I16" s="863">
        <v>1598262.6099999999</v>
      </c>
      <c r="J16" s="864">
        <v>2009452.5</v>
      </c>
      <c r="K16" s="1497">
        <v>6571048</v>
      </c>
      <c r="L16" s="865">
        <f>H16/K16</f>
        <v>0.5490319215443259</v>
      </c>
      <c r="M16" s="1497">
        <v>331157</v>
      </c>
      <c r="N16" s="866">
        <f t="shared" ref="N15:N20" si="2">M16/K16</f>
        <v>5.0396375129203135E-2</v>
      </c>
      <c r="O16" s="867">
        <f t="shared" si="0"/>
        <v>4.6252985743922066E-2</v>
      </c>
      <c r="P16" s="1497">
        <v>15317</v>
      </c>
      <c r="Q16" s="1497">
        <v>11517</v>
      </c>
      <c r="R16" s="868">
        <f t="shared" si="1"/>
        <v>0.75190964288045958</v>
      </c>
      <c r="S16" s="869">
        <f>H16/P16</f>
        <v>235.53666579617419</v>
      </c>
      <c r="T16" s="870">
        <f>H16/Q16</f>
        <v>313.25129026656248</v>
      </c>
      <c r="U16" s="871">
        <f>X15*Q16</f>
        <v>11689755</v>
      </c>
      <c r="V16" s="872">
        <f>U16/H16</f>
        <v>3.2402101173670559</v>
      </c>
      <c r="W16" s="1498">
        <v>490</v>
      </c>
      <c r="X16" s="2229"/>
      <c r="Y16" s="1499">
        <v>4935</v>
      </c>
      <c r="Z16" s="1497">
        <v>3590</v>
      </c>
      <c r="AA16" s="867">
        <f>Z16/Y16</f>
        <v>0.72745694022289764</v>
      </c>
      <c r="AB16" s="869">
        <f>H16/Y16</f>
        <v>731.04662816616008</v>
      </c>
      <c r="AC16" s="873">
        <f>H16/Z16</f>
        <v>1004.9345710306407</v>
      </c>
      <c r="AD16" s="874">
        <f>Z16*AF16</f>
        <v>1759100</v>
      </c>
      <c r="AE16" s="875">
        <f>AD16/H16</f>
        <v>0.48759393310299382</v>
      </c>
      <c r="AF16" s="1500">
        <f>W16</f>
        <v>490</v>
      </c>
      <c r="AG16" s="876" t="s">
        <v>257</v>
      </c>
      <c r="AH16" s="1468"/>
      <c r="AI16" s="856"/>
      <c r="AJ16" s="856"/>
    </row>
    <row r="17" spans="2:47" s="1480" customFormat="1">
      <c r="B17" s="1494" t="s">
        <v>541</v>
      </c>
      <c r="C17" s="1495" t="s">
        <v>798</v>
      </c>
      <c r="D17" s="1496" t="s">
        <v>542</v>
      </c>
      <c r="E17" s="1496" t="s">
        <v>411</v>
      </c>
      <c r="F17" s="1496" t="s">
        <v>543</v>
      </c>
      <c r="G17" s="1496" t="s">
        <v>544</v>
      </c>
      <c r="H17" s="862">
        <f>I17+J17</f>
        <v>15140830.789999999</v>
      </c>
      <c r="I17" s="863">
        <v>6071372.79</v>
      </c>
      <c r="J17" s="864">
        <v>9069458</v>
      </c>
      <c r="K17" s="1497">
        <v>11799215</v>
      </c>
      <c r="L17" s="865">
        <f>H17/K17</f>
        <v>1.283206619253908</v>
      </c>
      <c r="M17" s="1497">
        <v>671219</v>
      </c>
      <c r="N17" s="866">
        <f t="shared" si="2"/>
        <v>5.6886750516877603E-2</v>
      </c>
      <c r="O17" s="867">
        <f t="shared" si="0"/>
        <v>3.5277606861545935E-2</v>
      </c>
      <c r="P17" s="1497">
        <v>23679</v>
      </c>
      <c r="Q17" s="1497">
        <v>16396</v>
      </c>
      <c r="R17" s="868">
        <f t="shared" si="1"/>
        <v>0.69242788969128766</v>
      </c>
      <c r="S17" s="869">
        <f>H17/P17</f>
        <v>639.42019468727563</v>
      </c>
      <c r="T17" s="870">
        <f>H17/Q17</f>
        <v>923.44662051719922</v>
      </c>
      <c r="U17" s="871">
        <f>X15*Q17</f>
        <v>16641940</v>
      </c>
      <c r="V17" s="872">
        <f>U17/H17</f>
        <v>1.0991431204020476</v>
      </c>
      <c r="W17" s="1498">
        <v>1980</v>
      </c>
      <c r="X17" s="2229"/>
      <c r="Y17" s="1499">
        <v>845</v>
      </c>
      <c r="Z17" s="1497">
        <v>537</v>
      </c>
      <c r="AA17" s="867">
        <f>Z17/Y17</f>
        <v>0.6355029585798817</v>
      </c>
      <c r="AB17" s="869">
        <f>H17/Y17</f>
        <v>17918.14294674556</v>
      </c>
      <c r="AC17" s="873">
        <f>H17/Z17</f>
        <v>28195.215623836124</v>
      </c>
      <c r="AD17" s="874">
        <f>Z17*AF17</f>
        <v>1063260</v>
      </c>
      <c r="AE17" s="875">
        <f>AD17/H17</f>
        <v>7.0224680187446972E-2</v>
      </c>
      <c r="AF17" s="1500">
        <f>W17</f>
        <v>1980</v>
      </c>
      <c r="AG17" s="876" t="s">
        <v>545</v>
      </c>
      <c r="AH17" s="1468"/>
      <c r="AI17" s="856"/>
      <c r="AJ17" s="856"/>
    </row>
    <row r="18" spans="2:47" s="1480" customFormat="1">
      <c r="B18" s="1494" t="s">
        <v>546</v>
      </c>
      <c r="C18" s="1495" t="s">
        <v>799</v>
      </c>
      <c r="D18" s="1496" t="s">
        <v>542</v>
      </c>
      <c r="E18" s="1496" t="s">
        <v>547</v>
      </c>
      <c r="F18" s="1496" t="s">
        <v>543</v>
      </c>
      <c r="G18" s="1496" t="s">
        <v>546</v>
      </c>
      <c r="H18" s="862">
        <f>I18+J18</f>
        <v>23077604.025553808</v>
      </c>
      <c r="I18" s="863">
        <v>11973668.025553808</v>
      </c>
      <c r="J18" s="864">
        <v>11103936</v>
      </c>
      <c r="K18" s="1497">
        <v>36903125</v>
      </c>
      <c r="L18" s="865">
        <f>H18/K18</f>
        <v>0.6253563627891624</v>
      </c>
      <c r="M18" s="1497">
        <v>1560811</v>
      </c>
      <c r="N18" s="866">
        <f t="shared" si="2"/>
        <v>4.2294819205690573E-2</v>
      </c>
      <c r="O18" s="867">
        <f t="shared" si="0"/>
        <v>3.6017813816022565E-2</v>
      </c>
      <c r="P18" s="1497">
        <v>56217</v>
      </c>
      <c r="Q18" s="1501">
        <v>40627</v>
      </c>
      <c r="R18" s="877">
        <f t="shared" si="1"/>
        <v>0.72268175107173982</v>
      </c>
      <c r="S18" s="869">
        <f>H18/P18</f>
        <v>410.50934816076648</v>
      </c>
      <c r="T18" s="870">
        <f>H18/Q18</f>
        <v>568.03613423471597</v>
      </c>
      <c r="U18" s="871">
        <f>X15*Q18</f>
        <v>41236405</v>
      </c>
      <c r="V18" s="872">
        <f>U18/H18</f>
        <v>1.7868581571266657</v>
      </c>
      <c r="W18" s="1498">
        <v>665</v>
      </c>
      <c r="X18" s="2229"/>
      <c r="Y18" s="1499">
        <v>5131</v>
      </c>
      <c r="Z18" s="1497">
        <v>3868</v>
      </c>
      <c r="AA18" s="867">
        <f>Z18/Y18</f>
        <v>0.7538491522120444</v>
      </c>
      <c r="AB18" s="869">
        <f>H18/Y18</f>
        <v>4497.6815485390389</v>
      </c>
      <c r="AC18" s="873">
        <f>H18/Z18</f>
        <v>5966.2885278060512</v>
      </c>
      <c r="AD18" s="874">
        <f>Z18*AF18</f>
        <v>2572220</v>
      </c>
      <c r="AE18" s="875">
        <f>AD18/H18</f>
        <v>0.11145957774263669</v>
      </c>
      <c r="AF18" s="1500">
        <f>W18</f>
        <v>665</v>
      </c>
      <c r="AG18" s="876" t="s">
        <v>259</v>
      </c>
      <c r="AH18" s="1468"/>
      <c r="AI18" s="856"/>
      <c r="AJ18" s="856"/>
    </row>
    <row r="19" spans="2:47" s="1480" customFormat="1">
      <c r="B19" s="1502"/>
      <c r="C19" s="1503" t="s">
        <v>0</v>
      </c>
      <c r="D19" s="1503"/>
      <c r="E19" s="1503"/>
      <c r="F19" s="1503"/>
      <c r="G19" s="1503"/>
      <c r="H19" s="882">
        <f>I19+J19</f>
        <v>48018108.775553808</v>
      </c>
      <c r="I19" s="883">
        <f>SUM(I15:I18)</f>
        <v>22764897.175553806</v>
      </c>
      <c r="J19" s="884">
        <f>SUM(J15:J18)</f>
        <v>25253211.600000001</v>
      </c>
      <c r="K19" s="885">
        <f>SUM(K15:K18)</f>
        <v>64311434</v>
      </c>
      <c r="L19" s="886">
        <f>H19/K19</f>
        <v>0.74664963582609289</v>
      </c>
      <c r="M19" s="883">
        <f>SUM(M15:M18)</f>
        <v>3107985</v>
      </c>
      <c r="N19" s="887">
        <f t="shared" si="2"/>
        <v>4.832709841301315E-2</v>
      </c>
      <c r="O19" s="887">
        <f t="shared" si="0"/>
        <v>3.6763369192579755E-2</v>
      </c>
      <c r="P19" s="883">
        <f>SUM(P15:P18)</f>
        <v>114260</v>
      </c>
      <c r="Q19" s="883">
        <f>SUM(Q15:Q18)</f>
        <v>82127</v>
      </c>
      <c r="R19" s="887">
        <f t="shared" si="1"/>
        <v>0.71877297391913175</v>
      </c>
      <c r="S19" s="1504">
        <f>H19/P19</f>
        <v>420.25300871305626</v>
      </c>
      <c r="T19" s="1504">
        <f>H19/Q19</f>
        <v>584.68114962867037</v>
      </c>
      <c r="U19" s="1505">
        <f>X15*Q19</f>
        <v>83358905</v>
      </c>
      <c r="V19" s="888">
        <f>U19/H19</f>
        <v>1.735988924295959</v>
      </c>
      <c r="W19" s="1506">
        <f>X15</f>
        <v>1015</v>
      </c>
      <c r="X19" s="2242"/>
      <c r="Y19" s="1507">
        <f>SUM(Y15:Y18)</f>
        <v>12456</v>
      </c>
      <c r="Z19" s="1507">
        <f>SUM(Z15:Z18)</f>
        <v>9248</v>
      </c>
      <c r="AA19" s="889">
        <f>Z19/Y19</f>
        <v>0.74245343609505454</v>
      </c>
      <c r="AB19" s="1507">
        <f>H19/Y19</f>
        <v>3855.0183666950711</v>
      </c>
      <c r="AC19" s="1507">
        <f>H19/Z19</f>
        <v>5192.2695475296068</v>
      </c>
      <c r="AD19" s="1508">
        <f>Z19*AF19</f>
        <v>9386720</v>
      </c>
      <c r="AE19" s="890">
        <f>AD19/H19</f>
        <v>0.19548291757752054</v>
      </c>
      <c r="AF19" s="1509">
        <f>W19</f>
        <v>1015</v>
      </c>
      <c r="AG19" s="1510"/>
      <c r="AH19" s="1468"/>
      <c r="AI19" s="856"/>
      <c r="AJ19" s="856"/>
      <c r="AK19" s="1511"/>
      <c r="AL19" s="1511"/>
      <c r="AM19" s="1511"/>
      <c r="AN19" s="1463"/>
      <c r="AO19" s="1463"/>
      <c r="AP19" s="1463"/>
      <c r="AQ19" s="1463"/>
      <c r="AR19" s="891"/>
      <c r="AS19" s="891"/>
      <c r="AT19" s="891"/>
      <c r="AU19" s="892"/>
    </row>
    <row r="20" spans="2:47" s="1480" customFormat="1">
      <c r="B20" s="1512"/>
      <c r="C20" s="1513" t="s">
        <v>260</v>
      </c>
      <c r="D20" s="1513"/>
      <c r="E20" s="1513"/>
      <c r="F20" s="1513"/>
      <c r="G20" s="1513"/>
      <c r="H20" s="893"/>
      <c r="I20" s="894"/>
      <c r="J20" s="894"/>
      <c r="K20" s="894">
        <v>53606348</v>
      </c>
      <c r="L20" s="895">
        <f>H19/K20</f>
        <v>0.89575415164550676</v>
      </c>
      <c r="M20" s="894">
        <v>2450631</v>
      </c>
      <c r="N20" s="896">
        <f t="shared" si="2"/>
        <v>4.5715313417731794E-2</v>
      </c>
      <c r="O20" s="896">
        <f t="shared" si="0"/>
        <v>3.6824393390926663E-2</v>
      </c>
      <c r="P20" s="894">
        <v>90243</v>
      </c>
      <c r="Q20" s="894">
        <v>64798</v>
      </c>
      <c r="R20" s="896">
        <f t="shared" si="1"/>
        <v>0.71803907228261477</v>
      </c>
      <c r="S20" s="1514">
        <f>H19/P20</f>
        <v>532.0978776808596</v>
      </c>
      <c r="T20" s="1514">
        <f>H19/Q20</f>
        <v>741.04306885326412</v>
      </c>
      <c r="U20" s="1515">
        <f>Q20*X15</f>
        <v>65769970</v>
      </c>
      <c r="V20" s="897">
        <f>U20/H19</f>
        <v>1.3696909702841884</v>
      </c>
      <c r="W20" s="1514">
        <f>W19</f>
        <v>1015</v>
      </c>
      <c r="X20" s="1516"/>
      <c r="Y20" s="894"/>
      <c r="Z20" s="894"/>
      <c r="AA20" s="896"/>
      <c r="AB20" s="1517"/>
      <c r="AC20" s="1517"/>
      <c r="AD20" s="1516"/>
      <c r="AE20" s="898"/>
      <c r="AF20" s="1516"/>
      <c r="AG20" s="1510"/>
      <c r="AH20" s="1518"/>
      <c r="AI20" s="1519"/>
      <c r="AJ20" s="1463"/>
      <c r="AK20" s="1463"/>
    </row>
    <row r="21" spans="2:47" customFormat="1">
      <c r="B21" s="1472"/>
      <c r="C21" s="1466"/>
      <c r="D21" s="1465"/>
      <c r="E21" s="1465"/>
      <c r="F21" s="1465"/>
      <c r="G21" s="1465"/>
      <c r="H21" s="1466"/>
      <c r="I21" s="1466"/>
      <c r="J21" s="1466"/>
      <c r="K21" s="1467"/>
      <c r="L21" s="1468"/>
      <c r="M21" s="1467"/>
      <c r="N21" s="845"/>
      <c r="O21" s="845"/>
      <c r="P21" s="1467"/>
      <c r="Q21" s="1467"/>
      <c r="R21" s="845"/>
      <c r="S21" s="1467"/>
      <c r="T21" s="1467"/>
      <c r="U21" s="1467"/>
      <c r="V21" s="1469"/>
      <c r="W21" s="1467"/>
      <c r="X21" s="1467"/>
      <c r="Y21" s="1467"/>
      <c r="Z21" s="1467"/>
      <c r="AA21" s="845"/>
      <c r="AB21" s="1467"/>
      <c r="AC21" s="1467"/>
      <c r="AD21" s="1467"/>
      <c r="AE21" s="1469"/>
      <c r="AF21" s="1467"/>
      <c r="AG21" s="1470"/>
      <c r="AH21" s="1471"/>
      <c r="AI21" s="1471"/>
      <c r="AJ21" s="1471"/>
    </row>
    <row r="22" spans="2:47" customFormat="1">
      <c r="B22" s="1472"/>
      <c r="C22" s="1466"/>
      <c r="D22" s="1465"/>
      <c r="E22" s="1465"/>
      <c r="F22" s="1465"/>
      <c r="G22" s="1465"/>
      <c r="H22" s="899"/>
      <c r="I22" s="899"/>
      <c r="J22" s="899"/>
      <c r="K22" s="1467"/>
      <c r="L22" s="1468"/>
      <c r="M22" s="1467"/>
      <c r="N22" s="845"/>
      <c r="O22" s="845"/>
      <c r="P22" s="1467"/>
      <c r="Q22" s="1467"/>
      <c r="R22" s="845"/>
      <c r="S22" s="1467"/>
      <c r="T22" s="1467"/>
      <c r="U22" s="1467"/>
      <c r="V22" s="1469"/>
      <c r="W22" s="1467"/>
      <c r="X22" s="1467"/>
      <c r="Y22" s="1467"/>
      <c r="Z22" s="1467"/>
      <c r="AA22" s="845"/>
      <c r="AB22" s="1467"/>
      <c r="AC22" s="1467"/>
      <c r="AD22" s="1467"/>
      <c r="AE22" s="1469"/>
      <c r="AF22" s="1467"/>
      <c r="AG22" s="1470"/>
      <c r="AH22" s="1471"/>
      <c r="AI22" s="1471"/>
      <c r="AJ22" s="1471"/>
    </row>
    <row r="23" spans="2:47" customFormat="1">
      <c r="B23" s="1472"/>
      <c r="C23" s="1466"/>
      <c r="D23" s="1465"/>
      <c r="E23" s="1465"/>
      <c r="F23" s="1465"/>
      <c r="G23" s="1465"/>
      <c r="H23" s="899"/>
      <c r="I23" s="899"/>
      <c r="J23" s="899"/>
      <c r="K23" s="1467"/>
      <c r="L23" s="1468"/>
      <c r="M23" s="1467"/>
      <c r="N23" s="845"/>
      <c r="O23" s="845"/>
      <c r="P23" s="1467"/>
      <c r="Q23" s="1467"/>
      <c r="R23" s="845"/>
      <c r="S23" s="1467"/>
      <c r="T23" s="1467"/>
      <c r="U23" s="1467"/>
      <c r="V23" s="1469"/>
      <c r="W23" s="1467"/>
      <c r="X23" s="1467"/>
      <c r="Y23" s="1467"/>
      <c r="Z23" s="1467"/>
      <c r="AA23" s="845"/>
      <c r="AB23" s="1467"/>
      <c r="AC23" s="1467"/>
      <c r="AD23" s="1467"/>
      <c r="AE23" s="1469"/>
      <c r="AF23" s="1467"/>
      <c r="AG23" s="1470"/>
      <c r="AH23" s="1471"/>
      <c r="AI23" s="1471"/>
      <c r="AJ23" s="1471"/>
    </row>
    <row r="24" spans="2:47" customFormat="1">
      <c r="B24" s="1472"/>
      <c r="C24" s="1466"/>
      <c r="D24" s="1465"/>
      <c r="E24" s="899"/>
      <c r="F24" s="899"/>
      <c r="G24" s="899"/>
      <c r="H24" s="1467"/>
      <c r="I24" s="1468"/>
      <c r="J24" s="1467"/>
      <c r="K24" s="845"/>
      <c r="L24" s="845"/>
      <c r="M24" s="1467"/>
      <c r="N24" s="1467"/>
      <c r="O24" s="845"/>
      <c r="P24" s="1467"/>
      <c r="Q24" s="1467"/>
      <c r="R24" s="1467"/>
      <c r="S24" s="1469"/>
      <c r="T24" s="1467"/>
      <c r="U24" s="1467"/>
      <c r="V24" s="1467"/>
      <c r="W24" s="1467"/>
      <c r="X24" s="845"/>
      <c r="Y24" s="1467"/>
      <c r="Z24" s="1467"/>
      <c r="AA24" s="1467"/>
      <c r="AB24" s="1469"/>
      <c r="AC24" s="1467"/>
      <c r="AD24" s="1470"/>
      <c r="AE24" s="1471"/>
      <c r="AF24" s="1471"/>
      <c r="AG24" s="1471"/>
    </row>
    <row r="25" spans="2:47" customFormat="1">
      <c r="B25" s="1520"/>
      <c r="C25" s="1521"/>
      <c r="D25" s="1521"/>
      <c r="E25" s="1522"/>
      <c r="F25" s="1522"/>
      <c r="G25" s="1522"/>
      <c r="H25" s="1523"/>
      <c r="I25" s="1524"/>
      <c r="J25" s="1523"/>
      <c r="K25" s="1525"/>
      <c r="L25" s="1525"/>
      <c r="M25" s="1523"/>
      <c r="N25" s="1523"/>
      <c r="O25" s="1525"/>
      <c r="P25" s="1523"/>
      <c r="Q25" s="1523"/>
      <c r="R25" s="1523"/>
      <c r="S25" s="1526"/>
      <c r="T25" s="1523"/>
      <c r="U25" s="1523"/>
      <c r="V25" s="1523"/>
      <c r="W25" s="1523"/>
      <c r="X25" s="1525"/>
      <c r="Y25" s="1523"/>
      <c r="Z25" s="1523"/>
      <c r="AA25" s="1523"/>
      <c r="AB25" s="1526"/>
      <c r="AC25" s="1523"/>
      <c r="AD25" s="1527"/>
      <c r="AE25" s="1528"/>
      <c r="AF25" s="1528"/>
      <c r="AG25" s="1528"/>
    </row>
    <row r="26" spans="2:47" customFormat="1">
      <c r="B26" s="1529"/>
      <c r="C26" s="1522"/>
      <c r="D26" s="1521"/>
      <c r="E26" s="1530"/>
      <c r="F26" s="1530"/>
      <c r="G26" s="1530"/>
      <c r="H26" s="1523"/>
      <c r="I26" s="1524"/>
      <c r="J26" s="1523"/>
      <c r="K26" s="1525"/>
      <c r="L26" s="1525"/>
      <c r="M26" s="1523"/>
      <c r="N26" s="1523"/>
      <c r="O26" s="1525"/>
      <c r="P26" s="1523"/>
      <c r="Q26" s="1523"/>
      <c r="R26" s="1523"/>
      <c r="S26" s="1526"/>
      <c r="T26" s="1523"/>
      <c r="U26" s="1523"/>
      <c r="V26" s="1523"/>
      <c r="W26" s="1523"/>
      <c r="X26" s="1525"/>
      <c r="Y26" s="1523"/>
      <c r="Z26" s="1523"/>
      <c r="AA26" s="1523"/>
      <c r="AB26" s="1526"/>
      <c r="AC26" s="1523"/>
      <c r="AD26" s="1527"/>
      <c r="AE26" s="1528"/>
      <c r="AF26" s="1528"/>
      <c r="AG26" s="1528"/>
    </row>
    <row r="27" spans="2:47" customFormat="1">
      <c r="B27" s="1529"/>
      <c r="C27" s="1522"/>
      <c r="D27" s="1521"/>
      <c r="E27" s="1530"/>
      <c r="F27" s="1530"/>
      <c r="G27" s="1530"/>
      <c r="H27" s="1523"/>
      <c r="I27" s="1524"/>
      <c r="J27" s="1523"/>
      <c r="K27" s="1525"/>
      <c r="L27" s="1525"/>
      <c r="M27" s="1523"/>
      <c r="N27" s="1523"/>
      <c r="O27" s="1525"/>
      <c r="P27" s="1523"/>
      <c r="Q27" s="1523"/>
      <c r="R27" s="1523"/>
      <c r="S27" s="1526"/>
      <c r="T27" s="1523"/>
      <c r="U27" s="1523"/>
      <c r="V27" s="1523"/>
      <c r="W27" s="1523"/>
      <c r="X27" s="1525"/>
      <c r="Y27" s="1523"/>
      <c r="Z27" s="1523"/>
      <c r="AA27" s="1523"/>
      <c r="AB27" s="1526"/>
      <c r="AC27" s="1523"/>
      <c r="AD27" s="1527"/>
      <c r="AE27" s="1528"/>
      <c r="AF27" s="1528"/>
      <c r="AG27" s="1528"/>
    </row>
    <row r="28" spans="2:47" s="1473" customFormat="1" ht="22.5">
      <c r="B28" s="850" t="s">
        <v>800</v>
      </c>
      <c r="C28" s="1474"/>
      <c r="D28" s="1474"/>
      <c r="E28" s="1474"/>
      <c r="F28" s="1474"/>
      <c r="G28" s="1474"/>
      <c r="H28" s="1475"/>
      <c r="I28" s="1476"/>
      <c r="J28" s="1476"/>
      <c r="K28" s="1476"/>
      <c r="L28" s="1477"/>
      <c r="M28" s="1476"/>
      <c r="N28" s="851"/>
      <c r="O28" s="851"/>
      <c r="P28" s="1476"/>
      <c r="Q28" s="1476"/>
      <c r="R28" s="851"/>
      <c r="S28" s="1476"/>
      <c r="T28" s="1476"/>
      <c r="U28" s="1476"/>
      <c r="V28" s="1478"/>
      <c r="W28" s="1476"/>
      <c r="X28" s="1476"/>
      <c r="Y28" s="1476"/>
      <c r="Z28" s="1476"/>
      <c r="AA28" s="851"/>
      <c r="AB28" s="1476"/>
      <c r="AC28" s="1476"/>
      <c r="AD28" s="1476"/>
      <c r="AE28" s="1478"/>
      <c r="AF28" s="1476"/>
      <c r="AG28" s="1479"/>
      <c r="AH28" s="1476"/>
      <c r="AI28" s="1476"/>
      <c r="AJ28" s="1476"/>
    </row>
    <row r="29" spans="2:47" customFormat="1">
      <c r="B29" s="852" t="s">
        <v>238</v>
      </c>
      <c r="C29" s="853" t="s">
        <v>239</v>
      </c>
      <c r="D29" s="1465"/>
      <c r="E29" s="1465"/>
      <c r="F29" s="1465"/>
      <c r="G29" s="1465"/>
      <c r="H29" s="1466"/>
      <c r="I29" s="1466"/>
      <c r="J29" s="1466"/>
      <c r="K29" s="1467"/>
      <c r="L29" s="1468"/>
      <c r="M29" s="1467"/>
      <c r="N29" s="845"/>
      <c r="O29" s="845"/>
      <c r="P29" s="1467"/>
      <c r="Q29" s="1467"/>
      <c r="R29" s="845"/>
      <c r="S29" s="1467"/>
      <c r="T29" s="1467"/>
      <c r="U29" s="1467"/>
      <c r="V29" s="1469"/>
      <c r="W29" s="1467"/>
      <c r="X29" s="1467"/>
      <c r="Y29" s="1467"/>
      <c r="Z29" s="1467"/>
      <c r="AA29" s="845"/>
      <c r="AB29" s="1467"/>
      <c r="AC29" s="1467"/>
      <c r="AD29" s="1467"/>
      <c r="AE29" s="1469"/>
      <c r="AF29" s="1467"/>
      <c r="AG29" s="1470"/>
      <c r="AH29" s="1471"/>
      <c r="AI29" s="1471"/>
      <c r="AJ29" s="1471"/>
    </row>
    <row r="30" spans="2:47" customFormat="1">
      <c r="B30" s="854" t="s">
        <v>82</v>
      </c>
      <c r="C30" s="855" t="s">
        <v>240</v>
      </c>
      <c r="D30" s="1465"/>
      <c r="E30" s="1465"/>
      <c r="F30" s="1465"/>
      <c r="G30" s="1465"/>
      <c r="H30" s="1466"/>
      <c r="I30" s="1466"/>
      <c r="J30" s="1466"/>
      <c r="K30" s="1467"/>
      <c r="L30" s="1468"/>
      <c r="M30" s="1467"/>
      <c r="N30" s="845"/>
      <c r="O30" s="845"/>
      <c r="P30" s="1467"/>
      <c r="Q30" s="1467"/>
      <c r="R30" s="845"/>
      <c r="S30" s="1467"/>
      <c r="T30" s="1467"/>
      <c r="U30" s="1467"/>
      <c r="V30" s="1469"/>
      <c r="W30" s="1467"/>
      <c r="X30" s="1467"/>
      <c r="Y30" s="1467"/>
      <c r="Z30" s="1467"/>
      <c r="AA30" s="845"/>
      <c r="AB30" s="1467"/>
      <c r="AC30" s="1467"/>
      <c r="AD30" s="1467"/>
      <c r="AE30" s="1469"/>
      <c r="AF30" s="1467"/>
      <c r="AG30" s="1470"/>
      <c r="AH30" s="1471"/>
      <c r="AI30" s="1471"/>
      <c r="AJ30" s="1471"/>
    </row>
    <row r="31" spans="2:47" customFormat="1">
      <c r="B31" s="854"/>
      <c r="C31" s="855"/>
      <c r="D31" s="1465"/>
      <c r="E31" s="1465"/>
      <c r="F31" s="1465"/>
      <c r="G31" s="1465"/>
      <c r="H31" s="1466"/>
      <c r="I31" s="1466"/>
      <c r="J31" s="1466"/>
      <c r="K31" s="1467"/>
      <c r="L31" s="1468"/>
      <c r="M31" s="1467"/>
      <c r="N31" s="845"/>
      <c r="O31" s="845"/>
      <c r="P31" s="1467"/>
      <c r="Q31" s="1467"/>
      <c r="R31" s="845"/>
      <c r="S31" s="1467"/>
      <c r="T31" s="1467"/>
      <c r="U31" s="1467"/>
      <c r="V31" s="1469"/>
      <c r="W31" s="1467"/>
      <c r="X31" s="1467"/>
      <c r="Y31" s="1467"/>
      <c r="Z31" s="1467"/>
      <c r="AA31" s="845"/>
      <c r="AB31" s="1467"/>
      <c r="AC31" s="1467"/>
      <c r="AD31" s="1467"/>
      <c r="AE31" s="1469"/>
      <c r="AF31" s="1467"/>
      <c r="AG31" s="1470"/>
      <c r="AH31" s="1471"/>
      <c r="AI31" s="1471"/>
      <c r="AJ31" s="1471"/>
    </row>
    <row r="32" spans="2:47" customFormat="1">
      <c r="B32" s="854"/>
      <c r="C32" s="855"/>
      <c r="D32" s="1465"/>
      <c r="E32" s="1465"/>
      <c r="F32" s="1465"/>
      <c r="G32" s="1465"/>
      <c r="H32" s="1466"/>
      <c r="I32" s="1466"/>
      <c r="J32" s="1466"/>
      <c r="K32" s="1467"/>
      <c r="L32" s="1468"/>
      <c r="M32" s="1467"/>
      <c r="N32" s="845"/>
      <c r="O32" s="845"/>
      <c r="P32" s="1467"/>
      <c r="Q32" s="1467"/>
      <c r="R32" s="845"/>
      <c r="S32" s="1467"/>
      <c r="T32" s="1467"/>
      <c r="U32" s="1467"/>
      <c r="V32" s="1469"/>
      <c r="W32" s="1467"/>
      <c r="X32" s="1467"/>
      <c r="Y32" s="1467"/>
      <c r="Z32" s="1467"/>
      <c r="AA32" s="845"/>
      <c r="AB32" s="1467"/>
      <c r="AC32" s="1467"/>
      <c r="AD32" s="1467"/>
      <c r="AE32" s="1469"/>
      <c r="AF32" s="1467"/>
      <c r="AG32" s="1470"/>
      <c r="AH32" s="1471"/>
      <c r="AI32" s="1471"/>
      <c r="AJ32" s="1471"/>
    </row>
    <row r="33" spans="1:47" customFormat="1">
      <c r="A33" s="856"/>
      <c r="B33" s="857" t="s">
        <v>795</v>
      </c>
      <c r="C33" s="858"/>
      <c r="D33" s="859"/>
      <c r="E33" s="859"/>
      <c r="F33" s="859"/>
      <c r="G33" s="859"/>
      <c r="H33" s="856"/>
      <c r="I33" s="856"/>
      <c r="J33" s="856"/>
      <c r="K33" s="856"/>
      <c r="L33" s="856"/>
      <c r="M33" s="856"/>
      <c r="N33" s="856"/>
      <c r="O33" s="856"/>
      <c r="P33" s="856"/>
      <c r="Q33" s="856"/>
      <c r="R33" s="856"/>
      <c r="S33" s="856"/>
      <c r="T33" s="856"/>
      <c r="U33" s="856"/>
      <c r="V33" s="856"/>
      <c r="W33" s="856"/>
      <c r="X33" s="856"/>
      <c r="Y33" s="856"/>
      <c r="Z33" s="856"/>
      <c r="AA33" s="856"/>
      <c r="AB33" s="856"/>
      <c r="AC33" s="856"/>
      <c r="AD33" s="860"/>
      <c r="AE33" s="861"/>
      <c r="AF33" s="861"/>
      <c r="AG33" s="861"/>
      <c r="AH33" s="1468"/>
      <c r="AI33" s="856"/>
      <c r="AJ33" s="856"/>
      <c r="AK33" s="1468"/>
    </row>
    <row r="34" spans="1:47" customFormat="1">
      <c r="A34" s="856"/>
      <c r="B34" s="857" t="s">
        <v>241</v>
      </c>
      <c r="C34" s="858"/>
      <c r="D34" s="859"/>
      <c r="E34" s="859"/>
      <c r="F34" s="859"/>
      <c r="G34" s="859"/>
      <c r="H34" s="856"/>
      <c r="I34" s="856"/>
      <c r="J34" s="856"/>
      <c r="K34" s="856"/>
      <c r="L34" s="856"/>
      <c r="M34" s="856"/>
      <c r="N34" s="856"/>
      <c r="O34" s="856"/>
      <c r="P34" s="856"/>
      <c r="Q34" s="856"/>
      <c r="R34" s="856"/>
      <c r="S34" s="856"/>
      <c r="T34" s="856"/>
      <c r="U34" s="856"/>
      <c r="V34" s="856"/>
      <c r="W34" s="856"/>
      <c r="X34" s="856"/>
      <c r="Y34" s="856"/>
      <c r="Z34" s="856"/>
      <c r="AA34" s="856"/>
      <c r="AB34" s="856"/>
      <c r="AC34" s="856"/>
      <c r="AD34" s="860"/>
      <c r="AE34" s="861"/>
      <c r="AF34" s="861"/>
      <c r="AG34" s="861"/>
      <c r="AH34" s="1468"/>
      <c r="AI34" s="856"/>
      <c r="AJ34" s="856"/>
      <c r="AK34" s="1468"/>
    </row>
    <row r="35" spans="1:47" s="1480" customFormat="1" ht="40.5" customHeight="1">
      <c r="B35" s="2238" t="s">
        <v>32</v>
      </c>
      <c r="C35" s="2239" t="s">
        <v>31</v>
      </c>
      <c r="D35" s="2239" t="s">
        <v>438</v>
      </c>
      <c r="E35" s="2239" t="s">
        <v>440</v>
      </c>
      <c r="F35" s="2239" t="s">
        <v>442</v>
      </c>
      <c r="G35" s="2239" t="s">
        <v>30</v>
      </c>
      <c r="H35" s="2241" t="s">
        <v>29</v>
      </c>
      <c r="I35" s="2241"/>
      <c r="J35" s="2241"/>
      <c r="K35" s="2237" t="s">
        <v>243</v>
      </c>
      <c r="L35" s="2237"/>
      <c r="M35" s="2237"/>
      <c r="N35" s="2237"/>
      <c r="O35" s="2237"/>
      <c r="P35" s="2237"/>
      <c r="Q35" s="2237"/>
      <c r="R35" s="2237"/>
      <c r="S35" s="2237"/>
      <c r="T35" s="2237"/>
      <c r="U35" s="2237"/>
      <c r="V35" s="2237"/>
      <c r="W35" s="2237"/>
      <c r="X35" s="2237"/>
      <c r="Y35" s="2243" t="s">
        <v>27</v>
      </c>
      <c r="Z35" s="2243"/>
      <c r="AA35" s="2243"/>
      <c r="AB35" s="2243"/>
      <c r="AC35" s="2243"/>
      <c r="AD35" s="2243"/>
      <c r="AE35" s="2243"/>
      <c r="AF35" s="2243"/>
      <c r="AG35" s="1481"/>
      <c r="AH35" s="1531" t="s">
        <v>244</v>
      </c>
      <c r="AI35" s="1531" t="s">
        <v>245</v>
      </c>
      <c r="AJ35" s="1531" t="s">
        <v>246</v>
      </c>
    </row>
    <row r="36" spans="1:47" s="1480" customFormat="1" ht="33">
      <c r="B36" s="2238"/>
      <c r="C36" s="2239"/>
      <c r="D36" s="2244"/>
      <c r="E36" s="2244"/>
      <c r="F36" s="2244"/>
      <c r="G36" s="2239"/>
      <c r="H36" s="1482" t="s">
        <v>26</v>
      </c>
      <c r="I36" s="1483" t="s">
        <v>25</v>
      </c>
      <c r="J36" s="1484" t="s">
        <v>250</v>
      </c>
      <c r="K36" s="1485" t="s">
        <v>23</v>
      </c>
      <c r="L36" s="1485" t="s">
        <v>22</v>
      </c>
      <c r="M36" s="1485" t="s">
        <v>251</v>
      </c>
      <c r="N36" s="1485" t="s">
        <v>20</v>
      </c>
      <c r="O36" s="1485" t="s">
        <v>19</v>
      </c>
      <c r="P36" s="1485" t="s">
        <v>18</v>
      </c>
      <c r="Q36" s="1485" t="s">
        <v>17</v>
      </c>
      <c r="R36" s="1486" t="s">
        <v>16</v>
      </c>
      <c r="S36" s="1487" t="s">
        <v>15</v>
      </c>
      <c r="T36" s="1486" t="s">
        <v>14</v>
      </c>
      <c r="U36" s="1486" t="s">
        <v>13</v>
      </c>
      <c r="V36" s="1486" t="s">
        <v>12</v>
      </c>
      <c r="W36" s="1488" t="s">
        <v>3</v>
      </c>
      <c r="X36" s="1489" t="s">
        <v>11</v>
      </c>
      <c r="Y36" s="1490" t="s">
        <v>10</v>
      </c>
      <c r="Z36" s="1491" t="s">
        <v>9</v>
      </c>
      <c r="AA36" s="1492" t="s">
        <v>8</v>
      </c>
      <c r="AB36" s="1492" t="s">
        <v>7</v>
      </c>
      <c r="AC36" s="1492" t="s">
        <v>6</v>
      </c>
      <c r="AD36" s="1492" t="s">
        <v>5</v>
      </c>
      <c r="AE36" s="1492" t="s">
        <v>4</v>
      </c>
      <c r="AF36" s="1493" t="s">
        <v>3</v>
      </c>
      <c r="AG36" s="1481"/>
      <c r="AH36" s="1532"/>
      <c r="AI36" s="1533"/>
      <c r="AJ36" s="1534"/>
    </row>
    <row r="37" spans="1:47" s="1480" customFormat="1">
      <c r="B37" s="1494" t="s">
        <v>252</v>
      </c>
      <c r="C37" s="1495" t="s">
        <v>796</v>
      </c>
      <c r="D37" s="1495" t="s">
        <v>449</v>
      </c>
      <c r="E37" s="1495" t="s">
        <v>443</v>
      </c>
      <c r="F37" s="1495" t="s">
        <v>537</v>
      </c>
      <c r="G37" s="1496" t="s">
        <v>253</v>
      </c>
      <c r="H37" s="862">
        <f>I37+J37</f>
        <v>4363862.6699999897</v>
      </c>
      <c r="I37" s="863">
        <v>1805831.3699999901</v>
      </c>
      <c r="J37" s="864">
        <v>2558031.2999999998</v>
      </c>
      <c r="K37" s="1497">
        <v>6134317</v>
      </c>
      <c r="L37" s="865">
        <f>H37/K37</f>
        <v>0.71138525609289338</v>
      </c>
      <c r="M37" s="1497">
        <v>197196</v>
      </c>
      <c r="N37" s="866">
        <f t="shared" ref="N37:N42" si="3">M37/K37</f>
        <v>3.2146366090960082E-2</v>
      </c>
      <c r="O37" s="867">
        <f t="shared" ref="O37:O42" si="4">P37/M37</f>
        <v>2.6795675368668736E-2</v>
      </c>
      <c r="P37" s="1497">
        <v>5284</v>
      </c>
      <c r="Q37" s="1497">
        <v>3720</v>
      </c>
      <c r="R37" s="868">
        <f t="shared" ref="R37:R42" si="5">Q37/P37</f>
        <v>0.70401211203633607</v>
      </c>
      <c r="S37" s="869">
        <f>H37/P37</f>
        <v>825.8634878879617</v>
      </c>
      <c r="T37" s="870">
        <f>H37/Q37</f>
        <v>1173.081362903223</v>
      </c>
      <c r="U37" s="871">
        <f>X$85*Q37</f>
        <v>0</v>
      </c>
      <c r="V37" s="872">
        <f>U37/H37</f>
        <v>0</v>
      </c>
      <c r="W37" s="1498">
        <v>380</v>
      </c>
      <c r="X37" s="2229">
        <v>1015</v>
      </c>
      <c r="Y37" s="1499">
        <v>651</v>
      </c>
      <c r="Z37" s="1497">
        <v>523</v>
      </c>
      <c r="AA37" s="867">
        <f>Z37/Y37</f>
        <v>0.80337941628264209</v>
      </c>
      <c r="AB37" s="869">
        <f>H37/Y37</f>
        <v>6703.3220737327028</v>
      </c>
      <c r="AC37" s="873">
        <f>H37/Z37</f>
        <v>8343.9056787762711</v>
      </c>
      <c r="AD37" s="874">
        <f>Z37*AF37</f>
        <v>198740</v>
      </c>
      <c r="AE37" s="875">
        <f>AD37/H37</f>
        <v>4.5542221428338504E-2</v>
      </c>
      <c r="AF37" s="1500">
        <v>380</v>
      </c>
      <c r="AG37" s="876" t="s">
        <v>254</v>
      </c>
      <c r="AH37" s="1535">
        <v>2558031.2999999998</v>
      </c>
      <c r="AI37" s="1535">
        <v>0</v>
      </c>
      <c r="AJ37" s="1535">
        <v>1805831.3699999901</v>
      </c>
    </row>
    <row r="38" spans="1:47" s="1480" customFormat="1">
      <c r="B38" s="1494" t="s">
        <v>255</v>
      </c>
      <c r="C38" s="1495" t="s">
        <v>797</v>
      </c>
      <c r="D38" s="1495" t="s">
        <v>449</v>
      </c>
      <c r="E38" s="1495" t="s">
        <v>446</v>
      </c>
      <c r="F38" s="1495" t="s">
        <v>540</v>
      </c>
      <c r="G38" s="1496" t="s">
        <v>256</v>
      </c>
      <c r="H38" s="862">
        <f>I38+J38</f>
        <v>440925.32999999996</v>
      </c>
      <c r="I38" s="863">
        <v>210288.33</v>
      </c>
      <c r="J38" s="864">
        <v>230637</v>
      </c>
      <c r="K38" s="1497">
        <v>1083000</v>
      </c>
      <c r="L38" s="865">
        <f>H38/K38</f>
        <v>0.40713326869806088</v>
      </c>
      <c r="M38" s="1497">
        <v>34364</v>
      </c>
      <c r="N38" s="866">
        <f t="shared" si="3"/>
        <v>3.1730378578024007E-2</v>
      </c>
      <c r="O38" s="867">
        <f t="shared" si="4"/>
        <v>5.0896286811779767E-2</v>
      </c>
      <c r="P38" s="1497">
        <v>1749</v>
      </c>
      <c r="Q38" s="1497">
        <v>1268</v>
      </c>
      <c r="R38" s="868">
        <f t="shared" si="5"/>
        <v>0.72498570611778157</v>
      </c>
      <c r="S38" s="869">
        <f>H38/P38</f>
        <v>252.10138936535159</v>
      </c>
      <c r="T38" s="870">
        <f>H38/Q38</f>
        <v>347.73291009463719</v>
      </c>
      <c r="U38" s="871">
        <f>X$85*Q38</f>
        <v>0</v>
      </c>
      <c r="V38" s="872">
        <f>U38/H38</f>
        <v>0</v>
      </c>
      <c r="W38" s="1498">
        <v>490</v>
      </c>
      <c r="X38" s="2229"/>
      <c r="Y38" s="1499">
        <v>1334</v>
      </c>
      <c r="Z38" s="1497">
        <v>992</v>
      </c>
      <c r="AA38" s="867">
        <f>Z38/Y38</f>
        <v>0.74362818590704649</v>
      </c>
      <c r="AB38" s="869">
        <f>H38/Y38</f>
        <v>330.52873313343326</v>
      </c>
      <c r="AC38" s="873">
        <f>H38/Z38</f>
        <v>444.48117943548385</v>
      </c>
      <c r="AD38" s="874">
        <f>Z38*AF38</f>
        <v>486080</v>
      </c>
      <c r="AE38" s="875">
        <f>AD38/H38</f>
        <v>1.1024088817941124</v>
      </c>
      <c r="AF38" s="1500">
        <v>490</v>
      </c>
      <c r="AG38" s="876" t="s">
        <v>257</v>
      </c>
      <c r="AH38" s="1535">
        <v>230637</v>
      </c>
      <c r="AI38" s="1535">
        <v>0</v>
      </c>
      <c r="AJ38" s="1535">
        <v>210288.33</v>
      </c>
    </row>
    <row r="39" spans="1:47" s="1480" customFormat="1">
      <c r="B39" s="1494" t="s">
        <v>548</v>
      </c>
      <c r="C39" s="1495" t="s">
        <v>799</v>
      </c>
      <c r="D39" s="1495" t="s">
        <v>448</v>
      </c>
      <c r="E39" s="1495" t="s">
        <v>444</v>
      </c>
      <c r="F39" s="1495" t="s">
        <v>447</v>
      </c>
      <c r="G39" s="1496" t="s">
        <v>258</v>
      </c>
      <c r="H39" s="862">
        <f>I39+J39</f>
        <v>10568707.4</v>
      </c>
      <c r="I39" s="863">
        <v>6641926.4000000004</v>
      </c>
      <c r="J39" s="864">
        <v>3926781</v>
      </c>
      <c r="K39" s="1497">
        <v>15353990</v>
      </c>
      <c r="L39" s="865">
        <f>H39/K39</f>
        <v>0.68833621749134921</v>
      </c>
      <c r="M39" s="1497">
        <v>411323</v>
      </c>
      <c r="N39" s="866">
        <f t="shared" si="3"/>
        <v>2.6789323166160717E-2</v>
      </c>
      <c r="O39" s="867">
        <f t="shared" si="4"/>
        <v>3.7486355005676805E-2</v>
      </c>
      <c r="P39" s="1497">
        <v>15419</v>
      </c>
      <c r="Q39" s="1497">
        <v>10893</v>
      </c>
      <c r="R39" s="868">
        <f t="shared" si="5"/>
        <v>0.70646604838186655</v>
      </c>
      <c r="S39" s="869">
        <f>H39/P39</f>
        <v>685.43403592969719</v>
      </c>
      <c r="T39" s="870">
        <f>H39/Q39</f>
        <v>970.22926650142301</v>
      </c>
      <c r="U39" s="871">
        <f>X$85*Q39</f>
        <v>0</v>
      </c>
      <c r="V39" s="872">
        <f>U39/H39</f>
        <v>0</v>
      </c>
      <c r="W39" s="1498">
        <v>665</v>
      </c>
      <c r="X39" s="2229"/>
      <c r="Y39" s="1499">
        <v>2528</v>
      </c>
      <c r="Z39" s="1497">
        <v>1847</v>
      </c>
      <c r="AA39" s="867">
        <f>Z39/Y39</f>
        <v>0.73061708860759489</v>
      </c>
      <c r="AB39" s="869">
        <f>H39/Y39</f>
        <v>4180.6595727848098</v>
      </c>
      <c r="AC39" s="873">
        <f>H39/Z39</f>
        <v>5722.0938819707635</v>
      </c>
      <c r="AD39" s="874">
        <f>Z39*AF39</f>
        <v>1228255</v>
      </c>
      <c r="AE39" s="875">
        <f>AD39/H39</f>
        <v>0.11621619877564213</v>
      </c>
      <c r="AF39" s="1500">
        <f>W39</f>
        <v>665</v>
      </c>
      <c r="AG39" s="876" t="s">
        <v>259</v>
      </c>
      <c r="AH39" s="1535"/>
      <c r="AI39" s="1535"/>
      <c r="AJ39" s="1535"/>
    </row>
    <row r="40" spans="1:47" s="1480" customFormat="1">
      <c r="B40" s="1494" t="s">
        <v>252</v>
      </c>
      <c r="C40" s="1495" t="s">
        <v>801</v>
      </c>
      <c r="D40" s="1495" t="s">
        <v>448</v>
      </c>
      <c r="E40" s="1495" t="s">
        <v>445</v>
      </c>
      <c r="F40" s="1495" t="s">
        <v>447</v>
      </c>
      <c r="G40" s="1496" t="s">
        <v>252</v>
      </c>
      <c r="H40" s="862">
        <f>I40+J40</f>
        <v>4255626.93</v>
      </c>
      <c r="I40" s="863">
        <v>527612.93000000005</v>
      </c>
      <c r="J40" s="864">
        <v>3728014</v>
      </c>
      <c r="K40" s="1497">
        <v>2469073</v>
      </c>
      <c r="L40" s="865">
        <f>H40/K40</f>
        <v>1.7235727457227874</v>
      </c>
      <c r="M40" s="1497">
        <v>65777</v>
      </c>
      <c r="N40" s="866">
        <f t="shared" si="3"/>
        <v>2.6640362597622671E-2</v>
      </c>
      <c r="O40" s="867">
        <f t="shared" si="4"/>
        <v>3.5270687322316314E-2</v>
      </c>
      <c r="P40" s="1497">
        <v>2320</v>
      </c>
      <c r="Q40" s="1501">
        <v>1562</v>
      </c>
      <c r="R40" s="877">
        <f t="shared" si="5"/>
        <v>0.6732758620689655</v>
      </c>
      <c r="S40" s="869">
        <f>H40/P40</f>
        <v>1834.3219525862069</v>
      </c>
      <c r="T40" s="870">
        <f>H40/Q40</f>
        <v>2724.4730665813058</v>
      </c>
      <c r="U40" s="871">
        <f>X$15*Q40</f>
        <v>1585430</v>
      </c>
      <c r="V40" s="872">
        <f>U40/H40</f>
        <v>0.37254910406349934</v>
      </c>
      <c r="W40" s="1498" t="s">
        <v>167</v>
      </c>
      <c r="X40" s="2229"/>
      <c r="Y40" s="1536" t="s">
        <v>62</v>
      </c>
      <c r="Z40" s="1537" t="s">
        <v>167</v>
      </c>
      <c r="AA40" s="878" t="s">
        <v>167</v>
      </c>
      <c r="AB40" s="879" t="s">
        <v>167</v>
      </c>
      <c r="AC40" s="879" t="s">
        <v>167</v>
      </c>
      <c r="AD40" s="880" t="s">
        <v>167</v>
      </c>
      <c r="AE40" s="881" t="s">
        <v>167</v>
      </c>
      <c r="AF40" s="1538" t="s">
        <v>167</v>
      </c>
      <c r="AG40" s="876"/>
      <c r="AH40" s="1535">
        <v>3728014</v>
      </c>
      <c r="AI40" s="1535"/>
      <c r="AJ40" s="1535">
        <v>527612.93000000005</v>
      </c>
    </row>
    <row r="41" spans="1:47" s="1480" customFormat="1">
      <c r="B41" s="1502"/>
      <c r="C41" s="1503" t="s">
        <v>410</v>
      </c>
      <c r="D41" s="1503"/>
      <c r="E41" s="1503"/>
      <c r="F41" s="1503"/>
      <c r="G41" s="1503"/>
      <c r="H41" s="882">
        <f>I41+J41</f>
        <v>19629122.329999991</v>
      </c>
      <c r="I41" s="883">
        <f>SUM(I37:I40)</f>
        <v>9185659.02999999</v>
      </c>
      <c r="J41" s="884">
        <f>SUM(J37:J40)</f>
        <v>10443463.300000001</v>
      </c>
      <c r="K41" s="885">
        <f>SUM(K37:K40)</f>
        <v>25040380</v>
      </c>
      <c r="L41" s="886">
        <f>H41/K41</f>
        <v>0.78389873995522397</v>
      </c>
      <c r="M41" s="883">
        <f>SUM(M37:M40)</f>
        <v>708660</v>
      </c>
      <c r="N41" s="887">
        <f t="shared" si="3"/>
        <v>2.8300688727567233E-2</v>
      </c>
      <c r="O41" s="887">
        <f t="shared" si="4"/>
        <v>3.495611435667316E-2</v>
      </c>
      <c r="P41" s="883">
        <f>SUM(P37:P40)</f>
        <v>24772</v>
      </c>
      <c r="Q41" s="883">
        <f>SUM(Q37:Q40)</f>
        <v>17443</v>
      </c>
      <c r="R41" s="887">
        <f t="shared" si="5"/>
        <v>0.70414177296948166</v>
      </c>
      <c r="S41" s="1504">
        <f>H41/P41</f>
        <v>792.39150371387018</v>
      </c>
      <c r="T41" s="1504">
        <f>H41/Q41</f>
        <v>1125.3294920598516</v>
      </c>
      <c r="U41" s="1505">
        <f>X37*Q41</f>
        <v>17704645</v>
      </c>
      <c r="V41" s="888">
        <f>U41/H41</f>
        <v>0.90195805509557947</v>
      </c>
      <c r="W41" s="1506">
        <f>X37</f>
        <v>1015</v>
      </c>
      <c r="X41" s="2242"/>
      <c r="Y41" s="1507">
        <f>SUM(Y37:Y40)</f>
        <v>4513</v>
      </c>
      <c r="Z41" s="1507">
        <f>SUM(Z37:Z40)</f>
        <v>3362</v>
      </c>
      <c r="AA41" s="889">
        <f>Z41/Y41</f>
        <v>0.74495900731220921</v>
      </c>
      <c r="AB41" s="1507">
        <f>H41/Y41</f>
        <v>4349.4620717925973</v>
      </c>
      <c r="AC41" s="1507">
        <f>H41/Z41</f>
        <v>5838.5253807257559</v>
      </c>
      <c r="AD41" s="1508">
        <f>Z41*AF41</f>
        <v>3412430</v>
      </c>
      <c r="AE41" s="890">
        <f>AD41/H41</f>
        <v>0.17384526636652745</v>
      </c>
      <c r="AF41" s="1509">
        <v>1015</v>
      </c>
      <c r="AG41" s="1510"/>
      <c r="AH41" s="1511"/>
      <c r="AI41" s="1511"/>
      <c r="AJ41" s="1511"/>
      <c r="AK41" s="1511"/>
      <c r="AL41" s="1511"/>
      <c r="AM41" s="1511"/>
      <c r="AN41" s="1463"/>
      <c r="AO41" s="1463"/>
      <c r="AP41" s="1463"/>
      <c r="AQ41" s="1463"/>
      <c r="AR41" s="891"/>
      <c r="AS41" s="891"/>
      <c r="AT41" s="891"/>
      <c r="AU41" s="892"/>
    </row>
    <row r="42" spans="1:47" s="1480" customFormat="1">
      <c r="B42" s="1512"/>
      <c r="C42" s="1513" t="s">
        <v>260</v>
      </c>
      <c r="D42" s="1513"/>
      <c r="E42" s="1513"/>
      <c r="F42" s="1513"/>
      <c r="G42" s="1513"/>
      <c r="H42" s="893"/>
      <c r="I42" s="894"/>
      <c r="J42" s="894"/>
      <c r="K42" s="894">
        <v>22864594</v>
      </c>
      <c r="L42" s="895">
        <f>H41/K42</f>
        <v>0.85849424354528192</v>
      </c>
      <c r="M42" s="894">
        <v>610809</v>
      </c>
      <c r="N42" s="896">
        <f t="shared" si="3"/>
        <v>2.6714185259532709E-2</v>
      </c>
      <c r="O42" s="896">
        <f t="shared" si="4"/>
        <v>3.5012581674467795E-2</v>
      </c>
      <c r="P42" s="894">
        <v>21386</v>
      </c>
      <c r="Q42" s="894">
        <v>14987</v>
      </c>
      <c r="R42" s="896">
        <f t="shared" si="5"/>
        <v>0.70078556064715236</v>
      </c>
      <c r="S42" s="1514">
        <f>H41/P42</f>
        <v>917.84916908257696</v>
      </c>
      <c r="T42" s="1514">
        <f>H41/Q42</f>
        <v>1309.7432661640082</v>
      </c>
      <c r="U42" s="1515">
        <f>Q42*X37</f>
        <v>15211805</v>
      </c>
      <c r="V42" s="897">
        <f>U42/H41</f>
        <v>0.77496103719070397</v>
      </c>
      <c r="W42" s="1514">
        <f>W41</f>
        <v>1015</v>
      </c>
      <c r="X42" s="1516"/>
      <c r="Y42" s="894"/>
      <c r="Z42" s="894"/>
      <c r="AA42" s="896"/>
      <c r="AB42" s="1517"/>
      <c r="AC42" s="1517"/>
      <c r="AD42" s="1516"/>
      <c r="AE42" s="898"/>
      <c r="AF42" s="1516"/>
      <c r="AG42" s="1510"/>
      <c r="AH42" s="1518"/>
      <c r="AI42" s="1519"/>
      <c r="AJ42" s="1463"/>
      <c r="AK42" s="1463"/>
    </row>
    <row r="43" spans="1:47" customFormat="1">
      <c r="B43" s="1472"/>
      <c r="C43" s="1466"/>
      <c r="D43" s="1465"/>
      <c r="E43" s="1465"/>
      <c r="F43" s="1465"/>
      <c r="G43" s="1465"/>
      <c r="H43" s="1466"/>
      <c r="I43" s="1466"/>
      <c r="J43" s="1466"/>
      <c r="K43" s="1467"/>
      <c r="L43" s="1468"/>
      <c r="M43" s="1467"/>
      <c r="N43" s="845"/>
      <c r="O43" s="845"/>
      <c r="P43" s="1467"/>
      <c r="Q43" s="1467"/>
      <c r="R43" s="845"/>
      <c r="S43" s="1467"/>
      <c r="T43" s="1467"/>
      <c r="U43" s="1467"/>
      <c r="V43" s="1469"/>
      <c r="W43" s="1467"/>
      <c r="X43" s="1467"/>
      <c r="Y43" s="1467"/>
      <c r="Z43" s="1467"/>
      <c r="AA43" s="845"/>
      <c r="AB43" s="1467"/>
      <c r="AC43" s="1467"/>
      <c r="AD43" s="1467"/>
      <c r="AE43" s="1469"/>
      <c r="AF43" s="1467"/>
      <c r="AG43" s="1470"/>
      <c r="AH43" s="1471"/>
      <c r="AI43" s="1471"/>
      <c r="AJ43" s="1471"/>
    </row>
    <row r="44" spans="1:47" customFormat="1">
      <c r="B44" s="1472"/>
      <c r="C44" s="1466"/>
      <c r="D44" s="1465"/>
      <c r="E44" s="1465"/>
      <c r="F44" s="1465"/>
      <c r="G44" s="1465"/>
      <c r="H44" s="899"/>
      <c r="I44" s="899"/>
      <c r="J44" s="899"/>
      <c r="K44" s="1467"/>
      <c r="L44" s="1468"/>
      <c r="M44" s="1467"/>
      <c r="N44" s="845"/>
      <c r="O44" s="845"/>
      <c r="P44" s="1467"/>
      <c r="Q44" s="1467"/>
      <c r="R44" s="845"/>
      <c r="S44" s="1467"/>
      <c r="T44" s="1467"/>
      <c r="U44" s="1467"/>
      <c r="V44" s="1469"/>
      <c r="W44" s="1467"/>
      <c r="X44" s="1467"/>
      <c r="Y44" s="1467"/>
      <c r="Z44" s="1467"/>
      <c r="AA44" s="845"/>
      <c r="AB44" s="1467"/>
      <c r="AC44" s="1467"/>
      <c r="AD44" s="1467"/>
      <c r="AE44" s="1469"/>
      <c r="AF44" s="1467"/>
      <c r="AG44" s="1470"/>
      <c r="AH44" s="1471"/>
      <c r="AI44" s="1471"/>
      <c r="AJ44" s="1471"/>
    </row>
    <row r="45" spans="1:47" customFormat="1">
      <c r="B45" s="1472"/>
      <c r="C45" s="1466"/>
      <c r="D45" s="1465"/>
      <c r="E45" s="1465"/>
      <c r="F45" s="1465"/>
      <c r="G45" s="1465"/>
      <c r="H45" s="899"/>
      <c r="I45" s="899"/>
      <c r="J45" s="899"/>
      <c r="K45" s="1467"/>
      <c r="L45" s="1468"/>
      <c r="M45" s="1467"/>
      <c r="N45" s="845"/>
      <c r="O45" s="845"/>
      <c r="P45" s="1467"/>
      <c r="Q45" s="1467"/>
      <c r="R45" s="845"/>
      <c r="S45" s="1467"/>
      <c r="T45" s="1467"/>
      <c r="U45" s="1467"/>
      <c r="V45" s="1469"/>
      <c r="W45" s="1467"/>
      <c r="X45" s="1467"/>
      <c r="Y45" s="1467"/>
      <c r="Z45" s="1467"/>
      <c r="AA45" s="845"/>
      <c r="AB45" s="1467"/>
      <c r="AC45" s="1467"/>
      <c r="AD45" s="1467"/>
      <c r="AE45" s="1469"/>
      <c r="AF45" s="1467"/>
      <c r="AG45" s="1470"/>
      <c r="AH45" s="1471"/>
      <c r="AI45" s="1471"/>
      <c r="AJ45" s="1471"/>
    </row>
    <row r="46" spans="1:47" customFormat="1">
      <c r="B46" s="1472"/>
      <c r="C46" s="1466"/>
      <c r="D46" s="1465"/>
      <c r="E46" s="1465"/>
      <c r="F46" s="1465"/>
      <c r="G46" s="1465"/>
      <c r="H46" s="899"/>
      <c r="I46" s="899"/>
      <c r="J46" s="899"/>
      <c r="K46" s="1467"/>
      <c r="L46" s="1468"/>
      <c r="M46" s="1467"/>
      <c r="N46" s="845"/>
      <c r="O46" s="845"/>
      <c r="P46" s="1467"/>
      <c r="Q46" s="1467"/>
      <c r="R46" s="845"/>
      <c r="S46" s="1467"/>
      <c r="T46" s="1467"/>
      <c r="U46" s="1467"/>
      <c r="V46" s="1469"/>
      <c r="W46" s="1467"/>
      <c r="X46" s="1467"/>
      <c r="Y46" s="1467"/>
      <c r="Z46" s="1467"/>
      <c r="AA46" s="845"/>
      <c r="AB46" s="1467"/>
      <c r="AC46" s="1467"/>
      <c r="AD46" s="1467"/>
      <c r="AE46" s="1469"/>
      <c r="AF46" s="1467"/>
      <c r="AG46" s="1470"/>
      <c r="AH46" s="1471"/>
      <c r="AI46" s="1471"/>
      <c r="AJ46" s="1471"/>
    </row>
    <row r="47" spans="1:47" customFormat="1">
      <c r="B47" s="1463"/>
      <c r="C47" s="1465"/>
      <c r="D47" s="1465"/>
      <c r="E47" s="1465"/>
      <c r="F47" s="1465"/>
      <c r="G47" s="1465"/>
      <c r="H47" s="1466"/>
      <c r="I47" s="1466"/>
      <c r="J47" s="1466"/>
      <c r="K47" s="1467"/>
      <c r="L47" s="1468"/>
      <c r="M47" s="1467"/>
      <c r="N47" s="845"/>
      <c r="O47" s="845"/>
      <c r="P47" s="1467"/>
      <c r="Q47" s="1467"/>
      <c r="R47" s="845"/>
      <c r="S47" s="1467"/>
      <c r="T47" s="1467"/>
      <c r="U47" s="1467"/>
      <c r="V47" s="1469"/>
      <c r="W47" s="1467"/>
      <c r="X47" s="1467"/>
      <c r="Y47" s="1467"/>
      <c r="Z47" s="1467"/>
      <c r="AA47" s="845"/>
      <c r="AB47" s="1467"/>
      <c r="AC47" s="1467"/>
      <c r="AD47" s="1467"/>
      <c r="AE47" s="1469"/>
      <c r="AF47" s="1467"/>
      <c r="AG47" s="1470"/>
      <c r="AH47" s="1471"/>
      <c r="AI47" s="1471"/>
      <c r="AJ47" s="1471"/>
    </row>
    <row r="48" spans="1:47" customFormat="1">
      <c r="B48" s="1472"/>
      <c r="C48" s="1466"/>
      <c r="D48" s="1465"/>
      <c r="E48" s="1465"/>
      <c r="F48" s="1465"/>
      <c r="G48" s="1465"/>
      <c r="H48" s="899"/>
      <c r="I48" s="899"/>
      <c r="J48" s="899"/>
      <c r="K48" s="1467"/>
      <c r="L48" s="1468"/>
      <c r="M48" s="1467"/>
      <c r="N48" s="845"/>
      <c r="O48" s="845"/>
      <c r="P48" s="1467"/>
      <c r="Q48" s="1467"/>
      <c r="R48" s="845"/>
      <c r="S48" s="1467"/>
      <c r="T48" s="1467"/>
      <c r="U48" s="1467"/>
      <c r="V48" s="1469"/>
      <c r="W48" s="1467"/>
      <c r="X48" s="1467"/>
      <c r="Y48" s="1467"/>
      <c r="Z48" s="1467"/>
      <c r="AA48" s="845"/>
      <c r="AB48" s="1467"/>
      <c r="AC48" s="1467"/>
      <c r="AD48" s="1467"/>
      <c r="AE48" s="1469"/>
      <c r="AF48" s="1467"/>
      <c r="AG48" s="1470"/>
      <c r="AH48" s="1471"/>
      <c r="AI48" s="1471"/>
      <c r="AJ48" s="1471"/>
    </row>
    <row r="49" spans="1:37" customFormat="1">
      <c r="B49" s="1472"/>
      <c r="C49" s="1466"/>
      <c r="D49" s="1465"/>
      <c r="E49" s="1465"/>
      <c r="F49" s="1465"/>
      <c r="G49" s="1465"/>
      <c r="H49" s="899"/>
      <c r="I49" s="899"/>
      <c r="J49" s="899"/>
      <c r="K49" s="1467"/>
      <c r="L49" s="1468"/>
      <c r="M49" s="1467"/>
      <c r="N49" s="845"/>
      <c r="O49" s="845"/>
      <c r="P49" s="1467"/>
      <c r="Q49" s="1467"/>
      <c r="R49" s="845"/>
      <c r="S49" s="1467"/>
      <c r="T49" s="1467"/>
      <c r="U49" s="1467"/>
      <c r="V49" s="1469"/>
      <c r="W49" s="1467"/>
      <c r="X49" s="1467"/>
      <c r="Y49" s="1467"/>
      <c r="Z49" s="1467"/>
      <c r="AA49" s="845"/>
      <c r="AB49" s="1467"/>
      <c r="AC49" s="1467"/>
      <c r="AD49" s="1467"/>
      <c r="AE49" s="1469"/>
      <c r="AF49" s="1467"/>
      <c r="AG49" s="1470"/>
      <c r="AH49" s="1471"/>
      <c r="AI49" s="1471"/>
      <c r="AJ49" s="1471"/>
    </row>
    <row r="50" spans="1:37" customFormat="1">
      <c r="B50" s="1463"/>
      <c r="C50" s="1465"/>
      <c r="D50" s="1465"/>
      <c r="E50" s="1465"/>
      <c r="F50" s="1465"/>
      <c r="G50" s="1465"/>
      <c r="H50" s="1466"/>
      <c r="I50" s="1466"/>
      <c r="J50" s="1466"/>
      <c r="K50" s="1467"/>
      <c r="L50" s="1468"/>
      <c r="M50" s="1467"/>
      <c r="N50" s="845"/>
      <c r="O50" s="845"/>
      <c r="P50" s="1467"/>
      <c r="Q50" s="1467"/>
      <c r="R50" s="845"/>
      <c r="S50" s="1467"/>
      <c r="T50" s="1467"/>
      <c r="U50" s="1467"/>
      <c r="V50" s="1469"/>
      <c r="W50" s="1467"/>
      <c r="X50" s="1467"/>
      <c r="Y50" s="1467"/>
      <c r="Z50" s="1467"/>
      <c r="AA50" s="845"/>
      <c r="AB50" s="1467"/>
      <c r="AC50" s="1467"/>
      <c r="AD50" s="1467"/>
      <c r="AE50" s="1469"/>
      <c r="AF50" s="1467"/>
      <c r="AG50" s="1470"/>
      <c r="AH50" s="1471"/>
      <c r="AI50" s="1471"/>
      <c r="AJ50" s="1471"/>
    </row>
    <row r="51" spans="1:37" customFormat="1">
      <c r="B51" s="1472"/>
      <c r="C51" s="1465"/>
      <c r="D51" s="1465"/>
      <c r="E51" s="1465"/>
      <c r="F51" s="1465"/>
      <c r="G51" s="1465"/>
      <c r="H51" s="1466"/>
      <c r="I51" s="1466"/>
      <c r="J51" s="1466"/>
      <c r="K51" s="1467"/>
      <c r="L51" s="1468"/>
      <c r="M51" s="1467"/>
      <c r="N51" s="845"/>
      <c r="O51" s="845"/>
      <c r="P51" s="1467"/>
      <c r="Q51" s="1467"/>
      <c r="R51" s="845"/>
      <c r="S51" s="1467"/>
      <c r="T51" s="1467"/>
      <c r="U51" s="1467"/>
      <c r="V51" s="1469"/>
      <c r="W51" s="1467"/>
      <c r="X51" s="1467"/>
      <c r="Y51" s="1467"/>
      <c r="Z51" s="1467"/>
      <c r="AA51" s="845"/>
      <c r="AB51" s="1467"/>
      <c r="AC51" s="1467"/>
      <c r="AD51" s="1467"/>
      <c r="AE51" s="1469"/>
      <c r="AF51" s="1467"/>
      <c r="AG51" s="1470"/>
      <c r="AH51" s="1471"/>
      <c r="AI51" s="1471"/>
      <c r="AJ51" s="1471"/>
    </row>
    <row r="52" spans="1:37" s="1473" customFormat="1" ht="22.5">
      <c r="B52" s="850" t="s">
        <v>802</v>
      </c>
      <c r="C52" s="1474"/>
      <c r="D52" s="1474"/>
      <c r="E52" s="1474"/>
      <c r="F52" s="1474"/>
      <c r="G52" s="1474"/>
      <c r="H52" s="1475"/>
      <c r="I52" s="1476"/>
      <c r="J52" s="1476"/>
      <c r="K52" s="1476"/>
      <c r="L52" s="1477"/>
      <c r="M52" s="1476"/>
      <c r="N52" s="851"/>
      <c r="O52" s="851"/>
      <c r="P52" s="1476"/>
      <c r="Q52" s="1476"/>
      <c r="R52" s="851"/>
      <c r="S52" s="1476"/>
      <c r="T52" s="1476"/>
      <c r="U52" s="1476"/>
      <c r="V52" s="1478"/>
      <c r="W52" s="1476"/>
      <c r="X52" s="1476"/>
      <c r="Y52" s="1476"/>
      <c r="Z52" s="1476"/>
      <c r="AA52" s="851"/>
      <c r="AB52" s="1476"/>
      <c r="AC52" s="1476"/>
      <c r="AD52" s="1476"/>
      <c r="AE52" s="1478"/>
      <c r="AF52" s="1476"/>
      <c r="AG52" s="1479"/>
      <c r="AH52" s="1476"/>
      <c r="AI52" s="1476"/>
      <c r="AJ52" s="1476"/>
    </row>
    <row r="53" spans="1:37">
      <c r="B53" s="852" t="s">
        <v>238</v>
      </c>
      <c r="C53" s="853" t="s">
        <v>261</v>
      </c>
      <c r="E53" s="1465"/>
      <c r="F53" s="1465"/>
      <c r="G53" s="1465"/>
      <c r="H53" s="1466"/>
      <c r="I53" s="1466"/>
      <c r="J53" s="1466"/>
      <c r="K53" s="1467"/>
      <c r="L53" s="1468"/>
      <c r="N53" s="845"/>
      <c r="R53" s="845"/>
      <c r="S53" s="1467"/>
      <c r="V53" s="1469"/>
      <c r="X53" s="1467"/>
      <c r="AA53" s="845"/>
      <c r="AB53" s="1467"/>
      <c r="AD53" s="1467"/>
      <c r="AE53" s="1469"/>
      <c r="AF53" s="1467"/>
      <c r="AG53" s="1470"/>
      <c r="AH53" s="1471"/>
      <c r="AI53" s="1471"/>
      <c r="AJ53" s="1471"/>
    </row>
    <row r="54" spans="1:37">
      <c r="B54" s="854" t="s">
        <v>82</v>
      </c>
      <c r="C54" s="855" t="s">
        <v>262</v>
      </c>
      <c r="E54" s="1465"/>
      <c r="F54" s="1465"/>
      <c r="G54" s="1465"/>
      <c r="H54" s="1466"/>
      <c r="I54" s="1466"/>
      <c r="J54" s="1466"/>
      <c r="K54" s="1467"/>
      <c r="L54" s="1468"/>
      <c r="N54" s="845"/>
      <c r="R54" s="845"/>
      <c r="S54" s="1467"/>
      <c r="V54" s="1469"/>
      <c r="X54" s="1467"/>
      <c r="AA54" s="845"/>
      <c r="AB54" s="1467"/>
      <c r="AD54" s="1467"/>
      <c r="AE54" s="1469"/>
      <c r="AF54" s="1467"/>
      <c r="AG54" s="1470"/>
      <c r="AH54" s="1471"/>
      <c r="AI54" s="1471"/>
      <c r="AJ54" s="1471"/>
    </row>
    <row r="55" spans="1:37">
      <c r="B55" s="854"/>
      <c r="C55" s="855"/>
      <c r="E55" s="1465"/>
      <c r="F55" s="1465"/>
      <c r="G55" s="1465"/>
      <c r="H55" s="1466"/>
      <c r="I55" s="1466"/>
      <c r="J55" s="1466"/>
      <c r="K55" s="1467"/>
      <c r="L55" s="1468"/>
      <c r="N55" s="845"/>
      <c r="R55" s="845"/>
      <c r="S55" s="1467"/>
      <c r="V55" s="1469"/>
      <c r="X55" s="1467"/>
      <c r="AA55" s="845"/>
      <c r="AB55" s="1467"/>
      <c r="AD55" s="1467"/>
      <c r="AE55" s="1469"/>
      <c r="AF55" s="1467"/>
      <c r="AG55" s="1470"/>
      <c r="AH55" s="1471"/>
      <c r="AI55" s="1471"/>
      <c r="AJ55" s="1471"/>
    </row>
    <row r="56" spans="1:37" hidden="1">
      <c r="A56" s="856"/>
      <c r="B56" s="900" t="s">
        <v>263</v>
      </c>
      <c r="C56" s="858"/>
      <c r="D56" s="859"/>
      <c r="E56" s="859"/>
      <c r="F56" s="859"/>
      <c r="G56" s="859"/>
      <c r="H56" s="856"/>
      <c r="I56" s="856"/>
      <c r="J56" s="856"/>
      <c r="K56" s="856"/>
      <c r="L56" s="856"/>
      <c r="M56" s="856"/>
      <c r="N56" s="856"/>
      <c r="O56" s="856"/>
      <c r="P56" s="856"/>
      <c r="Q56" s="856"/>
      <c r="R56" s="856"/>
      <c r="S56" s="856"/>
      <c r="T56" s="856"/>
      <c r="U56" s="856"/>
      <c r="V56" s="856"/>
      <c r="W56" s="856"/>
      <c r="X56" s="856"/>
      <c r="Y56" s="856"/>
      <c r="Z56" s="856"/>
      <c r="AA56" s="856"/>
      <c r="AB56" s="856"/>
      <c r="AC56" s="856"/>
      <c r="AD56" s="860"/>
      <c r="AE56" s="861"/>
      <c r="AF56" s="861"/>
      <c r="AG56" s="861"/>
      <c r="AH56" s="856"/>
      <c r="AI56" s="856"/>
      <c r="AJ56" s="856"/>
      <c r="AK56" s="856"/>
    </row>
    <row r="57" spans="1:37" hidden="1">
      <c r="A57" s="856"/>
      <c r="B57" s="901" t="s">
        <v>264</v>
      </c>
      <c r="C57" s="858"/>
      <c r="D57" s="859"/>
      <c r="E57" s="859"/>
      <c r="F57" s="859"/>
      <c r="G57" s="859"/>
      <c r="H57" s="856"/>
      <c r="I57" s="856"/>
      <c r="J57" s="856"/>
      <c r="K57" s="856"/>
      <c r="L57" s="856"/>
      <c r="M57" s="856"/>
      <c r="N57" s="856"/>
      <c r="O57" s="856"/>
      <c r="P57" s="856"/>
      <c r="Q57" s="856"/>
      <c r="R57" s="856"/>
      <c r="S57" s="856"/>
      <c r="T57" s="856"/>
      <c r="U57" s="856"/>
      <c r="V57" s="856"/>
      <c r="W57" s="856"/>
      <c r="X57" s="856"/>
      <c r="Y57" s="856"/>
      <c r="Z57" s="856"/>
      <c r="AA57" s="856"/>
      <c r="AB57" s="856"/>
      <c r="AC57" s="856"/>
      <c r="AD57" s="860"/>
      <c r="AE57" s="861"/>
      <c r="AF57" s="861"/>
      <c r="AG57" s="861"/>
      <c r="AH57" s="856"/>
      <c r="AI57" s="856"/>
      <c r="AJ57" s="856"/>
      <c r="AK57" s="856"/>
    </row>
    <row r="58" spans="1:37" hidden="1">
      <c r="A58" s="856"/>
      <c r="B58" s="902" t="s">
        <v>265</v>
      </c>
      <c r="C58" s="858"/>
      <c r="D58" s="859"/>
      <c r="E58" s="859"/>
      <c r="F58" s="859"/>
      <c r="G58" s="859"/>
      <c r="H58" s="856"/>
      <c r="I58" s="856"/>
      <c r="J58" s="856"/>
      <c r="K58" s="856"/>
      <c r="L58" s="856"/>
      <c r="M58" s="856"/>
      <c r="N58" s="856"/>
      <c r="O58" s="856"/>
      <c r="P58" s="856"/>
      <c r="Q58" s="856"/>
      <c r="R58" s="856"/>
      <c r="S58" s="856"/>
      <c r="T58" s="856"/>
      <c r="U58" s="856"/>
      <c r="V58" s="856"/>
      <c r="W58" s="856"/>
      <c r="X58" s="856"/>
      <c r="Y58" s="856"/>
      <c r="Z58" s="856"/>
      <c r="AA58" s="856"/>
      <c r="AB58" s="856"/>
      <c r="AC58" s="856"/>
      <c r="AD58" s="860"/>
      <c r="AE58" s="861"/>
      <c r="AF58" s="861"/>
      <c r="AG58" s="861"/>
      <c r="AH58" s="856"/>
      <c r="AI58" s="856"/>
      <c r="AJ58" s="856"/>
      <c r="AK58" s="856"/>
    </row>
    <row r="59" spans="1:37" hidden="1">
      <c r="A59" s="856"/>
      <c r="B59" s="901" t="s">
        <v>234</v>
      </c>
      <c r="C59" s="858"/>
      <c r="D59" s="859"/>
      <c r="E59" s="859"/>
      <c r="F59" s="859"/>
      <c r="G59" s="859"/>
      <c r="H59" s="856"/>
      <c r="I59" s="856"/>
      <c r="J59" s="856"/>
      <c r="K59" s="856"/>
      <c r="L59" s="856"/>
      <c r="M59" s="856"/>
      <c r="N59" s="856"/>
      <c r="O59" s="856"/>
      <c r="P59" s="856"/>
      <c r="Q59" s="856"/>
      <c r="R59" s="856"/>
      <c r="S59" s="856"/>
      <c r="T59" s="856"/>
      <c r="U59" s="856"/>
      <c r="V59" s="856"/>
      <c r="W59" s="856"/>
      <c r="X59" s="856"/>
      <c r="Y59" s="856"/>
      <c r="Z59" s="856"/>
      <c r="AA59" s="856"/>
      <c r="AB59" s="856"/>
      <c r="AC59" s="856"/>
      <c r="AD59" s="860"/>
      <c r="AE59" s="861"/>
      <c r="AF59" s="861"/>
      <c r="AG59" s="861"/>
      <c r="AH59" s="856"/>
      <c r="AI59" s="856"/>
      <c r="AJ59" s="856"/>
      <c r="AK59" s="856"/>
    </row>
    <row r="60" spans="1:37" hidden="1">
      <c r="A60" s="856"/>
      <c r="B60" s="902" t="s">
        <v>266</v>
      </c>
      <c r="C60" s="858"/>
      <c r="D60" s="859"/>
      <c r="E60" s="859"/>
      <c r="F60" s="859"/>
      <c r="G60" s="859"/>
      <c r="H60" s="856"/>
      <c r="I60" s="856"/>
      <c r="J60" s="856"/>
      <c r="K60" s="856"/>
      <c r="L60" s="856"/>
      <c r="M60" s="856"/>
      <c r="N60" s="856"/>
      <c r="O60" s="856"/>
      <c r="P60" s="856"/>
      <c r="Q60" s="856"/>
      <c r="R60" s="856"/>
      <c r="S60" s="856"/>
      <c r="T60" s="856"/>
      <c r="U60" s="856"/>
      <c r="V60" s="856"/>
      <c r="W60" s="856"/>
      <c r="X60" s="856"/>
      <c r="Y60" s="856"/>
      <c r="Z60" s="856"/>
      <c r="AA60" s="856"/>
      <c r="AB60" s="856"/>
      <c r="AC60" s="856"/>
      <c r="AD60" s="860"/>
      <c r="AE60" s="861"/>
      <c r="AF60" s="861"/>
      <c r="AG60" s="861"/>
      <c r="AH60" s="856"/>
      <c r="AI60" s="856"/>
      <c r="AJ60" s="856"/>
      <c r="AK60" s="856"/>
    </row>
    <row r="61" spans="1:37" hidden="1">
      <c r="A61" s="856"/>
      <c r="B61" s="902" t="s">
        <v>267</v>
      </c>
      <c r="C61" s="858"/>
      <c r="D61" s="859"/>
      <c r="E61" s="859"/>
      <c r="F61" s="859"/>
      <c r="G61" s="859"/>
      <c r="H61" s="856"/>
      <c r="I61" s="856"/>
      <c r="J61" s="856"/>
      <c r="K61" s="856"/>
      <c r="L61" s="856"/>
      <c r="M61" s="856"/>
      <c r="N61" s="856"/>
      <c r="O61" s="856"/>
      <c r="P61" s="856"/>
      <c r="Q61" s="856"/>
      <c r="R61" s="856"/>
      <c r="S61" s="856"/>
      <c r="T61" s="856"/>
      <c r="U61" s="856"/>
      <c r="V61" s="856"/>
      <c r="W61" s="856"/>
      <c r="X61" s="856"/>
      <c r="Y61" s="856"/>
      <c r="Z61" s="856"/>
      <c r="AA61" s="856"/>
      <c r="AB61" s="856"/>
      <c r="AC61" s="856"/>
      <c r="AD61" s="860"/>
      <c r="AE61" s="861"/>
      <c r="AF61" s="861"/>
      <c r="AG61" s="861"/>
      <c r="AH61" s="856"/>
      <c r="AI61" s="856"/>
      <c r="AJ61" s="856"/>
      <c r="AK61" s="856"/>
    </row>
    <row r="62" spans="1:37" hidden="1">
      <c r="A62" s="856"/>
      <c r="B62" s="901" t="s">
        <v>235</v>
      </c>
      <c r="C62" s="858"/>
      <c r="D62" s="859"/>
      <c r="E62" s="859"/>
      <c r="F62" s="859"/>
      <c r="G62" s="859"/>
      <c r="H62" s="856"/>
      <c r="I62" s="856"/>
      <c r="J62" s="856"/>
      <c r="K62" s="856"/>
      <c r="L62" s="856"/>
      <c r="M62" s="856"/>
      <c r="N62" s="856"/>
      <c r="O62" s="856"/>
      <c r="P62" s="856"/>
      <c r="Q62" s="856"/>
      <c r="R62" s="856"/>
      <c r="S62" s="856"/>
      <c r="T62" s="856"/>
      <c r="U62" s="856"/>
      <c r="V62" s="856"/>
      <c r="W62" s="856"/>
      <c r="X62" s="856"/>
      <c r="Y62" s="856"/>
      <c r="Z62" s="856"/>
      <c r="AA62" s="856"/>
      <c r="AB62" s="856"/>
      <c r="AC62" s="856"/>
      <c r="AD62" s="860"/>
      <c r="AE62" s="861"/>
      <c r="AF62" s="861"/>
      <c r="AG62" s="861"/>
      <c r="AH62" s="856"/>
      <c r="AI62" s="856"/>
      <c r="AJ62" s="856"/>
      <c r="AK62" s="856"/>
    </row>
    <row r="63" spans="1:37" hidden="1">
      <c r="A63" s="856"/>
      <c r="B63" s="902" t="s">
        <v>268</v>
      </c>
      <c r="C63" s="858"/>
      <c r="D63" s="859"/>
      <c r="E63" s="859"/>
      <c r="F63" s="859"/>
      <c r="G63" s="859"/>
      <c r="H63" s="856"/>
      <c r="I63" s="856"/>
      <c r="J63" s="856"/>
      <c r="K63" s="856"/>
      <c r="L63" s="856"/>
      <c r="M63" s="856"/>
      <c r="N63" s="856"/>
      <c r="O63" s="856"/>
      <c r="P63" s="856"/>
      <c r="Q63" s="856"/>
      <c r="R63" s="856"/>
      <c r="S63" s="856"/>
      <c r="T63" s="856"/>
      <c r="U63" s="856"/>
      <c r="V63" s="856"/>
      <c r="W63" s="856"/>
      <c r="X63" s="856"/>
      <c r="Y63" s="856"/>
      <c r="Z63" s="856"/>
      <c r="AA63" s="856"/>
      <c r="AB63" s="856"/>
      <c r="AC63" s="856"/>
      <c r="AD63" s="860"/>
      <c r="AE63" s="861"/>
      <c r="AF63" s="861"/>
      <c r="AG63" s="861"/>
      <c r="AH63" s="856"/>
      <c r="AI63" s="856"/>
      <c r="AJ63" s="856"/>
      <c r="AK63" s="856"/>
    </row>
    <row r="64" spans="1:37">
      <c r="B64" s="854"/>
      <c r="C64" s="855"/>
      <c r="E64" s="1465"/>
      <c r="F64" s="1465"/>
      <c r="G64" s="1465"/>
      <c r="H64" s="1466"/>
      <c r="I64" s="1466"/>
      <c r="J64" s="1466"/>
      <c r="K64" s="1467"/>
      <c r="L64" s="1468"/>
      <c r="N64" s="845"/>
      <c r="R64" s="845"/>
      <c r="S64" s="1467"/>
      <c r="V64" s="1469"/>
      <c r="X64" s="1467"/>
      <c r="AA64" s="845"/>
      <c r="AB64" s="1467"/>
      <c r="AD64" s="1467"/>
      <c r="AE64" s="1469"/>
      <c r="AF64" s="1467"/>
      <c r="AG64" s="1470"/>
      <c r="AH64" s="1471"/>
      <c r="AI64" s="1471"/>
      <c r="AJ64" s="1471"/>
    </row>
    <row r="65" spans="1:47">
      <c r="B65" s="854"/>
      <c r="C65" s="855"/>
      <c r="E65" s="1465"/>
      <c r="F65" s="1465"/>
      <c r="G65" s="1465"/>
      <c r="H65" s="1466"/>
      <c r="I65" s="1466"/>
      <c r="J65" s="1466"/>
      <c r="K65" s="1467"/>
      <c r="L65" s="1468"/>
      <c r="N65" s="845"/>
      <c r="R65" s="845"/>
      <c r="S65" s="1467"/>
      <c r="V65" s="1469"/>
      <c r="X65" s="1467"/>
      <c r="AA65" s="845"/>
      <c r="AB65" s="1467"/>
      <c r="AD65" s="1467"/>
      <c r="AE65" s="1469"/>
      <c r="AF65" s="1467"/>
      <c r="AG65" s="1470"/>
      <c r="AH65" s="1471"/>
      <c r="AI65" s="1471"/>
      <c r="AJ65" s="1471"/>
    </row>
    <row r="66" spans="1:47">
      <c r="A66" s="856"/>
      <c r="B66" s="900"/>
      <c r="C66" s="858"/>
      <c r="D66" s="859"/>
      <c r="E66" s="859"/>
      <c r="F66" s="859"/>
      <c r="G66" s="859"/>
      <c r="H66" s="856"/>
      <c r="I66" s="856"/>
      <c r="J66" s="856"/>
      <c r="K66" s="856"/>
      <c r="L66" s="856"/>
      <c r="M66" s="856"/>
      <c r="N66" s="856"/>
      <c r="O66" s="856"/>
      <c r="P66" s="856"/>
      <c r="Q66" s="856"/>
      <c r="R66" s="856"/>
      <c r="S66" s="856"/>
      <c r="T66" s="856"/>
      <c r="U66" s="856"/>
      <c r="V66" s="856"/>
      <c r="W66" s="856"/>
      <c r="X66" s="856"/>
      <c r="Y66" s="856"/>
      <c r="Z66" s="856"/>
      <c r="AA66" s="856"/>
      <c r="AB66" s="856"/>
      <c r="AC66" s="856"/>
      <c r="AD66" s="860"/>
      <c r="AE66" s="861"/>
      <c r="AF66" s="861"/>
      <c r="AG66" s="861"/>
      <c r="AH66" s="1468"/>
      <c r="AI66" s="856"/>
      <c r="AJ66" s="856"/>
      <c r="AK66" s="1468"/>
    </row>
    <row r="67" spans="1:47" s="1480" customFormat="1" ht="40.5" customHeight="1">
      <c r="B67" s="2238" t="s">
        <v>32</v>
      </c>
      <c r="C67" s="2239" t="s">
        <v>31</v>
      </c>
      <c r="D67" s="2239" t="s">
        <v>30</v>
      </c>
      <c r="E67" s="2240" t="s">
        <v>242</v>
      </c>
      <c r="F67" s="2240"/>
      <c r="G67" s="2240"/>
      <c r="H67" s="2241" t="s">
        <v>29</v>
      </c>
      <c r="I67" s="2241"/>
      <c r="J67" s="2241"/>
      <c r="K67" s="2237" t="s">
        <v>243</v>
      </c>
      <c r="L67" s="2237"/>
      <c r="M67" s="2237"/>
      <c r="N67" s="2237"/>
      <c r="O67" s="2237"/>
      <c r="P67" s="2237"/>
      <c r="Q67" s="2237"/>
      <c r="R67" s="2237"/>
      <c r="S67" s="2237"/>
      <c r="T67" s="2237"/>
      <c r="U67" s="2237"/>
      <c r="V67" s="2237"/>
      <c r="W67" s="2237"/>
      <c r="X67" s="2237"/>
      <c r="Y67" s="2243" t="s">
        <v>27</v>
      </c>
      <c r="Z67" s="2243"/>
      <c r="AA67" s="2243"/>
      <c r="AB67" s="2243"/>
      <c r="AC67" s="2243"/>
      <c r="AD67" s="2243"/>
      <c r="AE67" s="2243"/>
      <c r="AF67" s="2243"/>
      <c r="AG67" s="1481"/>
      <c r="AH67" s="1531" t="s">
        <v>244</v>
      </c>
      <c r="AI67" s="1531" t="s">
        <v>245</v>
      </c>
      <c r="AJ67" s="1531" t="s">
        <v>246</v>
      </c>
      <c r="AK67" s="1539" t="s">
        <v>269</v>
      </c>
      <c r="AL67" s="1539" t="s">
        <v>270</v>
      </c>
      <c r="AM67" s="1539" t="s">
        <v>271</v>
      </c>
      <c r="AN67" s="1463" t="s">
        <v>272</v>
      </c>
      <c r="AO67" s="1465" t="s">
        <v>250</v>
      </c>
      <c r="AP67" s="1465" t="s">
        <v>273</v>
      </c>
      <c r="AQ67" s="1540" t="s">
        <v>274</v>
      </c>
      <c r="AR67" s="1541" t="s">
        <v>275</v>
      </c>
      <c r="AS67" s="1465" t="s">
        <v>273</v>
      </c>
      <c r="AT67" s="1540" t="s">
        <v>274</v>
      </c>
      <c r="AU67" s="1541" t="s">
        <v>275</v>
      </c>
    </row>
    <row r="68" spans="1:47" s="1480" customFormat="1" ht="33">
      <c r="B68" s="2238"/>
      <c r="C68" s="2239"/>
      <c r="D68" s="2239"/>
      <c r="E68" s="1542" t="s">
        <v>247</v>
      </c>
      <c r="F68" s="1543" t="s">
        <v>248</v>
      </c>
      <c r="G68" s="1544" t="s">
        <v>249</v>
      </c>
      <c r="H68" s="1482" t="s">
        <v>26</v>
      </c>
      <c r="I68" s="1483" t="s">
        <v>25</v>
      </c>
      <c r="J68" s="1484" t="s">
        <v>250</v>
      </c>
      <c r="K68" s="1485" t="s">
        <v>23</v>
      </c>
      <c r="L68" s="1485" t="s">
        <v>22</v>
      </c>
      <c r="M68" s="1485" t="s">
        <v>251</v>
      </c>
      <c r="N68" s="1485" t="s">
        <v>20</v>
      </c>
      <c r="O68" s="1485" t="s">
        <v>19</v>
      </c>
      <c r="P68" s="1485" t="s">
        <v>18</v>
      </c>
      <c r="Q68" s="1485" t="s">
        <v>17</v>
      </c>
      <c r="R68" s="1486" t="s">
        <v>16</v>
      </c>
      <c r="S68" s="1487" t="s">
        <v>15</v>
      </c>
      <c r="T68" s="1486" t="s">
        <v>14</v>
      </c>
      <c r="U68" s="1486" t="s">
        <v>13</v>
      </c>
      <c r="V68" s="1486" t="s">
        <v>12</v>
      </c>
      <c r="W68" s="1488" t="s">
        <v>3</v>
      </c>
      <c r="X68" s="1489" t="s">
        <v>11</v>
      </c>
      <c r="Y68" s="1490" t="s">
        <v>10</v>
      </c>
      <c r="Z68" s="1491" t="s">
        <v>9</v>
      </c>
      <c r="AA68" s="1492" t="s">
        <v>8</v>
      </c>
      <c r="AB68" s="1492" t="s">
        <v>7</v>
      </c>
      <c r="AC68" s="1492" t="s">
        <v>6</v>
      </c>
      <c r="AD68" s="1492" t="s">
        <v>5</v>
      </c>
      <c r="AE68" s="1492" t="s">
        <v>4</v>
      </c>
      <c r="AF68" s="1493" t="s">
        <v>3</v>
      </c>
      <c r="AG68" s="1481"/>
      <c r="AH68" s="1532"/>
      <c r="AI68" s="1533"/>
      <c r="AJ68" s="1534"/>
      <c r="AK68" s="1545"/>
      <c r="AL68" s="1545"/>
      <c r="AM68" s="1545"/>
      <c r="AO68" s="1463"/>
      <c r="AP68" s="1463"/>
      <c r="AQ68" s="1469"/>
      <c r="AS68" s="1463"/>
      <c r="AT68" s="1469"/>
    </row>
    <row r="69" spans="1:47" s="1480" customFormat="1">
      <c r="B69" s="1494" t="s">
        <v>276</v>
      </c>
      <c r="C69" s="1495" t="s">
        <v>797</v>
      </c>
      <c r="D69" s="1496" t="s">
        <v>277</v>
      </c>
      <c r="E69" s="1496"/>
      <c r="F69" s="1496"/>
      <c r="G69" s="1546"/>
      <c r="H69" s="862">
        <f>I69+J69</f>
        <v>4201298.58</v>
      </c>
      <c r="I69" s="863">
        <f>SUM(AI69:AJ69)</f>
        <v>2929298.58</v>
      </c>
      <c r="J69" s="864">
        <f>AH69</f>
        <v>1272000</v>
      </c>
      <c r="K69" s="1497">
        <v>5017125</v>
      </c>
      <c r="L69" s="865">
        <f>H69/K69</f>
        <v>0.83739164960011958</v>
      </c>
      <c r="M69" s="1497">
        <v>928174</v>
      </c>
      <c r="N69" s="866">
        <f>M69/K69</f>
        <v>0.18500117098936145</v>
      </c>
      <c r="O69" s="867">
        <f>P69/M69</f>
        <v>0.13178240286842768</v>
      </c>
      <c r="P69" s="1497">
        <v>122317</v>
      </c>
      <c r="Q69" s="1497">
        <v>85011</v>
      </c>
      <c r="R69" s="868">
        <f>Q69/P69</f>
        <v>0.69500560020275182</v>
      </c>
      <c r="S69" s="869">
        <f>H69/P69</f>
        <v>34.347626086316701</v>
      </c>
      <c r="T69" s="870">
        <f>H69/Q69</f>
        <v>49.420646504569994</v>
      </c>
      <c r="U69" s="871">
        <f t="shared" ref="U69:U78" si="6">X$85*Q69</f>
        <v>0</v>
      </c>
      <c r="V69" s="872">
        <f>U69/H69</f>
        <v>0</v>
      </c>
      <c r="W69" s="1498">
        <v>490</v>
      </c>
      <c r="X69" s="2229">
        <v>1015</v>
      </c>
      <c r="Y69" s="1499">
        <v>42242</v>
      </c>
      <c r="Z69" s="1497">
        <v>31901</v>
      </c>
      <c r="AA69" s="867">
        <f>Z69/Y69</f>
        <v>0.75519625017754843</v>
      </c>
      <c r="AB69" s="869">
        <f>H69/Y69</f>
        <v>99.457851900951667</v>
      </c>
      <c r="AC69" s="873">
        <f>H69/Z69</f>
        <v>131.69802137864016</v>
      </c>
      <c r="AD69" s="874">
        <f>Z69*AF69</f>
        <v>15631490</v>
      </c>
      <c r="AE69" s="903">
        <f>AD69/H69</f>
        <v>3.7206329667719071</v>
      </c>
      <c r="AF69" s="1500">
        <f>W69</f>
        <v>490</v>
      </c>
      <c r="AG69" s="876" t="s">
        <v>257</v>
      </c>
      <c r="AH69" s="1535">
        <v>1272000</v>
      </c>
      <c r="AI69" s="1535">
        <v>0</v>
      </c>
      <c r="AJ69" s="1535">
        <v>2929298.58</v>
      </c>
      <c r="AK69" s="1547">
        <v>1272000</v>
      </c>
      <c r="AL69" s="1547">
        <v>0</v>
      </c>
      <c r="AM69" s="1547">
        <v>2929298.58</v>
      </c>
      <c r="AN69" s="1480" t="s">
        <v>278</v>
      </c>
      <c r="AO69" s="899">
        <f>AH69/AK69</f>
        <v>1</v>
      </c>
      <c r="AP69" s="899" t="e">
        <f>AI69/AL69</f>
        <v>#DIV/0!</v>
      </c>
      <c r="AQ69" s="899">
        <f>AJ69/AM69</f>
        <v>1</v>
      </c>
      <c r="AR69" s="904">
        <f>SUM(AI69:AJ69)/SUM(AL69:AM69)</f>
        <v>1</v>
      </c>
      <c r="AS69" s="899" t="e">
        <f>AI69/AL69</f>
        <v>#DIV/0!</v>
      </c>
      <c r="AT69" s="899">
        <f t="shared" ref="AT69:AT78" si="7">AJ69/AM69</f>
        <v>1</v>
      </c>
      <c r="AU69" s="904">
        <f t="shared" ref="AU69:AU78" si="8">SUM(AI69:AJ69)/SUM(AL69:AM69)</f>
        <v>1</v>
      </c>
    </row>
    <row r="70" spans="1:47" s="1480" customFormat="1">
      <c r="B70" s="1494" t="s">
        <v>276</v>
      </c>
      <c r="C70" s="1495" t="s">
        <v>803</v>
      </c>
      <c r="D70" s="1496" t="s">
        <v>277</v>
      </c>
      <c r="E70" s="1496"/>
      <c r="F70" s="1496"/>
      <c r="G70" s="1548"/>
      <c r="H70" s="862">
        <f>I70+J70</f>
        <v>5333405.87</v>
      </c>
      <c r="I70" s="863">
        <f t="shared" ref="I70:I78" si="9">SUM(AI70:AJ70)</f>
        <v>3255810.57</v>
      </c>
      <c r="J70" s="864">
        <f t="shared" ref="J70:J78" si="10">AH70</f>
        <v>2077595.3</v>
      </c>
      <c r="K70" s="1497">
        <v>6128847</v>
      </c>
      <c r="L70" s="865">
        <f t="shared" ref="L70:L79" si="11">H70/K70</f>
        <v>0.87021357687669476</v>
      </c>
      <c r="M70" s="1497">
        <v>976595</v>
      </c>
      <c r="N70" s="866">
        <f t="shared" ref="N70:N80" si="12">M70/K70</f>
        <v>0.15934400059260739</v>
      </c>
      <c r="O70" s="867">
        <f t="shared" ref="O70:O80" si="13">P70/M70</f>
        <v>9.4138307077140479E-2</v>
      </c>
      <c r="P70" s="1497">
        <v>91935</v>
      </c>
      <c r="Q70" s="1497">
        <v>68322</v>
      </c>
      <c r="R70" s="868">
        <f t="shared" ref="R70:R80" si="14">Q70/P70</f>
        <v>0.74315549029205419</v>
      </c>
      <c r="S70" s="869">
        <f t="shared" ref="S70:S79" si="15">H70/P70</f>
        <v>58.012790232229293</v>
      </c>
      <c r="T70" s="870">
        <f t="shared" ref="T70:T79" si="16">H70/Q70</f>
        <v>78.062788999151081</v>
      </c>
      <c r="U70" s="871">
        <f t="shared" si="6"/>
        <v>0</v>
      </c>
      <c r="V70" s="872">
        <f t="shared" ref="V70:V79" si="17">U70/H70</f>
        <v>0</v>
      </c>
      <c r="W70" s="1498">
        <v>490</v>
      </c>
      <c r="X70" s="2229"/>
      <c r="Y70" s="1499">
        <v>1192</v>
      </c>
      <c r="Z70" s="1497">
        <v>952</v>
      </c>
      <c r="AA70" s="867">
        <f>Z70/Y70</f>
        <v>0.79865771812080533</v>
      </c>
      <c r="AB70" s="869">
        <f t="shared" ref="AB70:AB79" si="18">H70/Y70</f>
        <v>4474.3337835570474</v>
      </c>
      <c r="AC70" s="873">
        <f t="shared" ref="AC70:AC79" si="19">H70/Z70</f>
        <v>5602.3170903361342</v>
      </c>
      <c r="AD70" s="874">
        <f>Z70*AF70</f>
        <v>466480</v>
      </c>
      <c r="AE70" s="903">
        <f>AD70/H70</f>
        <v>8.7463810437513168E-2</v>
      </c>
      <c r="AF70" s="1500">
        <v>490</v>
      </c>
      <c r="AG70" s="876" t="s">
        <v>279</v>
      </c>
      <c r="AH70" s="1535">
        <v>2077595.3</v>
      </c>
      <c r="AI70" s="1535">
        <v>0</v>
      </c>
      <c r="AJ70" s="1535">
        <v>3255810.57</v>
      </c>
      <c r="AK70" s="1547">
        <v>2077595.3</v>
      </c>
      <c r="AL70" s="1547">
        <v>0</v>
      </c>
      <c r="AM70" s="1547">
        <v>3255810.57</v>
      </c>
      <c r="AN70" s="1480" t="s">
        <v>280</v>
      </c>
      <c r="AO70" s="899">
        <f t="shared" ref="AO70:AQ78" si="20">AH70/AK70</f>
        <v>1</v>
      </c>
      <c r="AP70" s="899" t="e">
        <f>AI70/AL70</f>
        <v>#DIV/0!</v>
      </c>
      <c r="AQ70" s="899">
        <f t="shared" si="20"/>
        <v>1</v>
      </c>
      <c r="AR70" s="904">
        <f t="shared" ref="AR70:AR78" si="21">SUM(AI70:AJ70)/SUM(AL70:AM70)</f>
        <v>1</v>
      </c>
      <c r="AS70" s="899" t="e">
        <f t="shared" ref="AS70:AS78" si="22">AI70/AL70</f>
        <v>#DIV/0!</v>
      </c>
      <c r="AT70" s="899">
        <f t="shared" si="7"/>
        <v>1</v>
      </c>
      <c r="AU70" s="904">
        <f t="shared" si="8"/>
        <v>1</v>
      </c>
    </row>
    <row r="71" spans="1:47" s="1480" customFormat="1">
      <c r="B71" s="1494" t="s">
        <v>276</v>
      </c>
      <c r="C71" s="1495" t="s">
        <v>804</v>
      </c>
      <c r="D71" s="1496" t="s">
        <v>281</v>
      </c>
      <c r="E71" s="1549"/>
      <c r="F71" s="1549"/>
      <c r="G71" s="1550"/>
      <c r="H71" s="862">
        <f t="shared" ref="H71:H79" si="23">I71+J71</f>
        <v>9771678.1515143849</v>
      </c>
      <c r="I71" s="863">
        <f t="shared" si="9"/>
        <v>5644896.7442857139</v>
      </c>
      <c r="J71" s="864">
        <f t="shared" si="10"/>
        <v>4126781.4072286701</v>
      </c>
      <c r="K71" s="1497">
        <v>10930080</v>
      </c>
      <c r="L71" s="865">
        <f t="shared" si="11"/>
        <v>0.89401707503644845</v>
      </c>
      <c r="M71" s="1497">
        <v>1487417</v>
      </c>
      <c r="N71" s="866">
        <f t="shared" si="12"/>
        <v>0.13608473131029233</v>
      </c>
      <c r="O71" s="867">
        <f t="shared" si="13"/>
        <v>8.6587688590354955E-2</v>
      </c>
      <c r="P71" s="1497">
        <v>128792</v>
      </c>
      <c r="Q71" s="1497">
        <v>93650</v>
      </c>
      <c r="R71" s="868">
        <f t="shared" si="14"/>
        <v>0.7271414373563575</v>
      </c>
      <c r="S71" s="869">
        <f t="shared" si="15"/>
        <v>75.871778926597813</v>
      </c>
      <c r="T71" s="870">
        <f t="shared" si="16"/>
        <v>104.34253231729188</v>
      </c>
      <c r="U71" s="871">
        <f t="shared" si="6"/>
        <v>0</v>
      </c>
      <c r="V71" s="872">
        <f t="shared" si="17"/>
        <v>0</v>
      </c>
      <c r="W71" s="1498">
        <v>1300</v>
      </c>
      <c r="X71" s="2229"/>
      <c r="Y71" s="1499">
        <v>5418</v>
      </c>
      <c r="Z71" s="1497">
        <v>3240</v>
      </c>
      <c r="AA71" s="867">
        <f t="shared" ref="AA71:AA79" si="24">Z71/Y71</f>
        <v>0.59800664451827246</v>
      </c>
      <c r="AB71" s="869">
        <f t="shared" si="18"/>
        <v>1803.5581674998864</v>
      </c>
      <c r="AC71" s="873">
        <f t="shared" si="19"/>
        <v>3015.950046763699</v>
      </c>
      <c r="AD71" s="874">
        <f t="shared" ref="AD71:AD79" si="25">Z71*AF71</f>
        <v>4212000</v>
      </c>
      <c r="AE71" s="903">
        <f t="shared" ref="AE71:AE79" si="26">AD71/H71</f>
        <v>0.43104162199071577</v>
      </c>
      <c r="AF71" s="1500">
        <f t="shared" ref="AF71:AF78" si="27">W71</f>
        <v>1300</v>
      </c>
      <c r="AG71" s="876" t="s">
        <v>282</v>
      </c>
      <c r="AH71" s="1535">
        <v>4126781.4072286701</v>
      </c>
      <c r="AI71" s="1535">
        <v>994291.71428571397</v>
      </c>
      <c r="AJ71" s="1535">
        <v>4650605.03</v>
      </c>
      <c r="AK71" s="905">
        <v>4126781.4072286701</v>
      </c>
      <c r="AL71" s="1547">
        <v>994291.71428571397</v>
      </c>
      <c r="AM71" s="1547">
        <v>4650605.03</v>
      </c>
      <c r="AN71" s="1480" t="s">
        <v>283</v>
      </c>
      <c r="AO71" s="899">
        <f t="shared" si="20"/>
        <v>1</v>
      </c>
      <c r="AP71" s="899">
        <f>AI71/AL71</f>
        <v>1</v>
      </c>
      <c r="AQ71" s="899">
        <f t="shared" si="20"/>
        <v>1</v>
      </c>
      <c r="AR71" s="904">
        <f t="shared" si="21"/>
        <v>1</v>
      </c>
      <c r="AS71" s="899">
        <f t="shared" si="22"/>
        <v>1</v>
      </c>
      <c r="AT71" s="899">
        <f t="shared" si="7"/>
        <v>1</v>
      </c>
      <c r="AU71" s="904">
        <f t="shared" si="8"/>
        <v>1</v>
      </c>
    </row>
    <row r="72" spans="1:47" s="1480" customFormat="1">
      <c r="B72" s="1494" t="s">
        <v>276</v>
      </c>
      <c r="C72" s="1495" t="s">
        <v>805</v>
      </c>
      <c r="D72" s="1496" t="s">
        <v>284</v>
      </c>
      <c r="E72" s="1549"/>
      <c r="F72" s="1549"/>
      <c r="G72" s="1550"/>
      <c r="H72" s="862">
        <f t="shared" si="23"/>
        <v>5646639.6690617185</v>
      </c>
      <c r="I72" s="863">
        <f t="shared" si="9"/>
        <v>3315891.669061719</v>
      </c>
      <c r="J72" s="864">
        <f t="shared" si="10"/>
        <v>2330748</v>
      </c>
      <c r="K72" s="1497">
        <v>8102092</v>
      </c>
      <c r="L72" s="865">
        <f t="shared" si="11"/>
        <v>0.69693600974436209</v>
      </c>
      <c r="M72" s="1497">
        <v>820605</v>
      </c>
      <c r="N72" s="866">
        <f t="shared" si="12"/>
        <v>0.10128310071028569</v>
      </c>
      <c r="O72" s="867">
        <f t="shared" si="13"/>
        <v>6.2107835072903531E-2</v>
      </c>
      <c r="P72" s="1497">
        <v>50966</v>
      </c>
      <c r="Q72" s="1501">
        <v>36993</v>
      </c>
      <c r="R72" s="877">
        <f t="shared" si="14"/>
        <v>0.72583683239806929</v>
      </c>
      <c r="S72" s="869">
        <f t="shared" si="15"/>
        <v>110.79228640783499</v>
      </c>
      <c r="T72" s="870">
        <f t="shared" si="16"/>
        <v>152.64076092941147</v>
      </c>
      <c r="U72" s="871">
        <f t="shared" si="6"/>
        <v>0</v>
      </c>
      <c r="V72" s="872">
        <f t="shared" si="17"/>
        <v>0</v>
      </c>
      <c r="W72" s="1498">
        <v>990</v>
      </c>
      <c r="X72" s="2229"/>
      <c r="Y72" s="1499">
        <v>8403</v>
      </c>
      <c r="Z72" s="1497">
        <v>6155</v>
      </c>
      <c r="AA72" s="867">
        <f t="shared" si="24"/>
        <v>0.73247649648934909</v>
      </c>
      <c r="AB72" s="869">
        <f t="shared" si="18"/>
        <v>671.97901571602029</v>
      </c>
      <c r="AC72" s="873">
        <f t="shared" si="19"/>
        <v>917.40693242270004</v>
      </c>
      <c r="AD72" s="874">
        <f t="shared" si="25"/>
        <v>6093450</v>
      </c>
      <c r="AE72" s="903">
        <f t="shared" si="26"/>
        <v>1.0791285361073033</v>
      </c>
      <c r="AF72" s="1500">
        <f t="shared" si="27"/>
        <v>990</v>
      </c>
      <c r="AG72" s="876" t="s">
        <v>282</v>
      </c>
      <c r="AH72" s="1535">
        <v>2330748</v>
      </c>
      <c r="AI72" s="1535">
        <v>114811.489061719</v>
      </c>
      <c r="AJ72" s="1535">
        <v>3201080.18</v>
      </c>
      <c r="AK72" s="1547">
        <v>2330748</v>
      </c>
      <c r="AL72" s="1547">
        <v>114811.489061719</v>
      </c>
      <c r="AM72" s="1547">
        <v>3201080.18</v>
      </c>
      <c r="AN72" s="1480" t="s">
        <v>285</v>
      </c>
      <c r="AO72" s="899">
        <f t="shared" si="20"/>
        <v>1</v>
      </c>
      <c r="AP72" s="899">
        <f t="shared" si="20"/>
        <v>1</v>
      </c>
      <c r="AQ72" s="899">
        <f t="shared" si="20"/>
        <v>1</v>
      </c>
      <c r="AR72" s="904">
        <f t="shared" si="21"/>
        <v>1</v>
      </c>
      <c r="AS72" s="899">
        <f t="shared" si="22"/>
        <v>1</v>
      </c>
      <c r="AT72" s="899">
        <f t="shared" si="7"/>
        <v>1</v>
      </c>
      <c r="AU72" s="904">
        <f t="shared" si="8"/>
        <v>1</v>
      </c>
    </row>
    <row r="73" spans="1:47" s="1480" customFormat="1">
      <c r="B73" s="1494" t="s">
        <v>276</v>
      </c>
      <c r="C73" s="1495" t="s">
        <v>806</v>
      </c>
      <c r="D73" s="1496" t="s">
        <v>277</v>
      </c>
      <c r="E73" s="1549"/>
      <c r="F73" s="1549"/>
      <c r="G73" s="1550"/>
      <c r="H73" s="862">
        <f t="shared" si="23"/>
        <v>3984137.53</v>
      </c>
      <c r="I73" s="863">
        <f t="shared" si="9"/>
        <v>3027807.53</v>
      </c>
      <c r="J73" s="864">
        <f t="shared" si="10"/>
        <v>956330</v>
      </c>
      <c r="K73" s="1497">
        <v>2594167</v>
      </c>
      <c r="L73" s="865">
        <f t="shared" si="11"/>
        <v>1.5358061104007568</v>
      </c>
      <c r="M73" s="1497">
        <v>448725</v>
      </c>
      <c r="N73" s="866">
        <f t="shared" si="12"/>
        <v>0.17297460032449724</v>
      </c>
      <c r="O73" s="867">
        <f t="shared" si="13"/>
        <v>0.13173324419187699</v>
      </c>
      <c r="P73" s="1497">
        <v>59112</v>
      </c>
      <c r="Q73" s="1497">
        <v>38568</v>
      </c>
      <c r="R73" s="868">
        <f t="shared" si="14"/>
        <v>0.65245635403978886</v>
      </c>
      <c r="S73" s="869">
        <f t="shared" si="15"/>
        <v>67.399809344972255</v>
      </c>
      <c r="T73" s="870">
        <f t="shared" si="16"/>
        <v>103.3016368492014</v>
      </c>
      <c r="U73" s="871">
        <f t="shared" si="6"/>
        <v>0</v>
      </c>
      <c r="V73" s="872">
        <f t="shared" si="17"/>
        <v>0</v>
      </c>
      <c r="W73" s="1498">
        <v>720</v>
      </c>
      <c r="X73" s="2229"/>
      <c r="Y73" s="1499">
        <v>2486</v>
      </c>
      <c r="Z73" s="1497">
        <v>1689</v>
      </c>
      <c r="AA73" s="867">
        <f t="shared" si="24"/>
        <v>0.67940466613032979</v>
      </c>
      <c r="AB73" s="869">
        <f t="shared" si="18"/>
        <v>1602.6297385358005</v>
      </c>
      <c r="AC73" s="873">
        <f t="shared" si="19"/>
        <v>2358.8736116044997</v>
      </c>
      <c r="AD73" s="874">
        <f t="shared" si="25"/>
        <v>1216080</v>
      </c>
      <c r="AE73" s="903">
        <f t="shared" si="26"/>
        <v>0.30523042712333276</v>
      </c>
      <c r="AF73" s="1500">
        <f t="shared" si="27"/>
        <v>720</v>
      </c>
      <c r="AG73" s="876" t="s">
        <v>282</v>
      </c>
      <c r="AH73" s="1535">
        <v>956330</v>
      </c>
      <c r="AI73" s="1551"/>
      <c r="AJ73" s="1535">
        <v>3027807.53</v>
      </c>
      <c r="AK73" s="1547">
        <v>956330</v>
      </c>
      <c r="AL73" s="1547"/>
      <c r="AM73" s="1547">
        <v>3040000</v>
      </c>
      <c r="AN73" s="1480" t="s">
        <v>286</v>
      </c>
      <c r="AO73" s="899">
        <f t="shared" si="20"/>
        <v>1</v>
      </c>
      <c r="AP73" s="899" t="e">
        <f t="shared" si="20"/>
        <v>#DIV/0!</v>
      </c>
      <c r="AQ73" s="899">
        <f t="shared" si="20"/>
        <v>0.99598931907894728</v>
      </c>
      <c r="AR73" s="904">
        <f t="shared" si="21"/>
        <v>0.99598931907894728</v>
      </c>
      <c r="AS73" s="899" t="e">
        <f t="shared" si="22"/>
        <v>#DIV/0!</v>
      </c>
      <c r="AT73" s="899">
        <f t="shared" si="7"/>
        <v>0.99598931907894728</v>
      </c>
      <c r="AU73" s="904">
        <f t="shared" si="8"/>
        <v>0.99598931907894728</v>
      </c>
    </row>
    <row r="74" spans="1:47" s="1480" customFormat="1">
      <c r="B74" s="1494" t="s">
        <v>276</v>
      </c>
      <c r="C74" s="1495" t="s">
        <v>807</v>
      </c>
      <c r="D74" s="1496" t="s">
        <v>284</v>
      </c>
      <c r="E74" s="1549"/>
      <c r="F74" s="1549"/>
      <c r="G74" s="1550"/>
      <c r="H74" s="862">
        <f t="shared" si="23"/>
        <v>8028252.4125999995</v>
      </c>
      <c r="I74" s="863">
        <f t="shared" si="9"/>
        <v>4328581.38</v>
      </c>
      <c r="J74" s="864">
        <f t="shared" si="10"/>
        <v>3699671.0326</v>
      </c>
      <c r="K74" s="1497">
        <v>5552303</v>
      </c>
      <c r="L74" s="865">
        <f t="shared" si="11"/>
        <v>1.4459319695989212</v>
      </c>
      <c r="M74" s="1497">
        <v>801524</v>
      </c>
      <c r="N74" s="866">
        <f t="shared" si="12"/>
        <v>0.14435883632431443</v>
      </c>
      <c r="O74" s="867">
        <f t="shared" si="13"/>
        <v>9.5753838936825347E-2</v>
      </c>
      <c r="P74" s="1497">
        <v>76749</v>
      </c>
      <c r="Q74" s="1552">
        <v>54978</v>
      </c>
      <c r="R74" s="868">
        <f t="shared" si="14"/>
        <v>0.71633506625493493</v>
      </c>
      <c r="S74" s="869">
        <f t="shared" si="15"/>
        <v>104.60400021628945</v>
      </c>
      <c r="T74" s="870">
        <f t="shared" si="16"/>
        <v>146.02663633817161</v>
      </c>
      <c r="U74" s="871">
        <f t="shared" si="6"/>
        <v>0</v>
      </c>
      <c r="V74" s="872">
        <f t="shared" si="17"/>
        <v>0</v>
      </c>
      <c r="W74" s="1498">
        <v>1820</v>
      </c>
      <c r="X74" s="2229"/>
      <c r="Y74" s="1499">
        <v>4974</v>
      </c>
      <c r="Z74" s="1497">
        <v>3106</v>
      </c>
      <c r="AA74" s="867">
        <f t="shared" si="24"/>
        <v>0.62444712505026134</v>
      </c>
      <c r="AB74" s="869">
        <f t="shared" si="18"/>
        <v>1614.043508765581</v>
      </c>
      <c r="AC74" s="873">
        <f t="shared" si="19"/>
        <v>2584.7560890534446</v>
      </c>
      <c r="AD74" s="874">
        <f t="shared" si="25"/>
        <v>5652920</v>
      </c>
      <c r="AE74" s="903">
        <f t="shared" si="26"/>
        <v>0.70412833447139545</v>
      </c>
      <c r="AF74" s="1500">
        <f t="shared" si="27"/>
        <v>1820</v>
      </c>
      <c r="AG74" s="876" t="s">
        <v>257</v>
      </c>
      <c r="AH74" s="1535">
        <v>3699671.0326</v>
      </c>
      <c r="AI74" s="1535">
        <v>0</v>
      </c>
      <c r="AJ74" s="1535">
        <v>4328581.38</v>
      </c>
      <c r="AK74" s="905">
        <v>3699671.0326</v>
      </c>
      <c r="AL74" s="1547">
        <v>0</v>
      </c>
      <c r="AM74" s="1547">
        <v>4328581.38</v>
      </c>
      <c r="AN74" s="1480" t="s">
        <v>287</v>
      </c>
      <c r="AO74" s="899">
        <f t="shared" si="20"/>
        <v>1</v>
      </c>
      <c r="AP74" s="899" t="e">
        <f t="shared" si="20"/>
        <v>#DIV/0!</v>
      </c>
      <c r="AQ74" s="899">
        <f t="shared" si="20"/>
        <v>1</v>
      </c>
      <c r="AR74" s="904">
        <f t="shared" si="21"/>
        <v>1</v>
      </c>
      <c r="AS74" s="899" t="e">
        <f t="shared" si="22"/>
        <v>#DIV/0!</v>
      </c>
      <c r="AT74" s="899">
        <f t="shared" si="7"/>
        <v>1</v>
      </c>
      <c r="AU74" s="904">
        <f t="shared" si="8"/>
        <v>1</v>
      </c>
    </row>
    <row r="75" spans="1:47" s="1480" customFormat="1">
      <c r="B75" s="1494" t="s">
        <v>276</v>
      </c>
      <c r="C75" s="1495" t="s">
        <v>808</v>
      </c>
      <c r="D75" s="1496" t="s">
        <v>284</v>
      </c>
      <c r="E75" s="1549"/>
      <c r="F75" s="1549"/>
      <c r="G75" s="1549"/>
      <c r="H75" s="862">
        <f t="shared" si="23"/>
        <v>11616699.305714287</v>
      </c>
      <c r="I75" s="906">
        <f t="shared" si="9"/>
        <v>6725406.3057142859</v>
      </c>
      <c r="J75" s="907">
        <f t="shared" si="10"/>
        <v>4891293</v>
      </c>
      <c r="K75" s="1497">
        <v>12088989</v>
      </c>
      <c r="L75" s="865">
        <f t="shared" si="11"/>
        <v>0.96093224220108786</v>
      </c>
      <c r="M75" s="1497">
        <v>1475006</v>
      </c>
      <c r="N75" s="866">
        <f t="shared" si="12"/>
        <v>0.12201235355578535</v>
      </c>
      <c r="O75" s="867">
        <f t="shared" si="13"/>
        <v>8.7883032340207431E-2</v>
      </c>
      <c r="P75" s="1497">
        <v>129628</v>
      </c>
      <c r="Q75" s="1497">
        <v>94630</v>
      </c>
      <c r="R75" s="868">
        <f t="shared" si="14"/>
        <v>0.73001203443700435</v>
      </c>
      <c r="S75" s="869">
        <f t="shared" si="15"/>
        <v>89.615664098144592</v>
      </c>
      <c r="T75" s="870">
        <f t="shared" si="16"/>
        <v>122.75915994625686</v>
      </c>
      <c r="U75" s="871">
        <f t="shared" si="6"/>
        <v>0</v>
      </c>
      <c r="V75" s="872">
        <f t="shared" si="17"/>
        <v>0</v>
      </c>
      <c r="W75" s="1553">
        <v>1400</v>
      </c>
      <c r="X75" s="2229"/>
      <c r="Y75" s="1499">
        <v>8646</v>
      </c>
      <c r="Z75" s="1497">
        <v>5690</v>
      </c>
      <c r="AA75" s="867">
        <f t="shared" si="24"/>
        <v>0.65810779551237564</v>
      </c>
      <c r="AB75" s="869">
        <f t="shared" si="18"/>
        <v>1343.5923323750042</v>
      </c>
      <c r="AC75" s="873">
        <f t="shared" si="19"/>
        <v>2041.5991749937236</v>
      </c>
      <c r="AD75" s="874">
        <f t="shared" si="25"/>
        <v>7966000</v>
      </c>
      <c r="AE75" s="903">
        <f t="shared" si="26"/>
        <v>0.6857369542208519</v>
      </c>
      <c r="AF75" s="1500">
        <f t="shared" si="27"/>
        <v>1400</v>
      </c>
      <c r="AG75" s="876" t="s">
        <v>288</v>
      </c>
      <c r="AH75" s="1535">
        <v>4891293</v>
      </c>
      <c r="AI75" s="1535">
        <v>650332.28571428603</v>
      </c>
      <c r="AJ75" s="1535">
        <v>6075074.0199999996</v>
      </c>
      <c r="AK75" s="905">
        <v>4891293</v>
      </c>
      <c r="AL75" s="1547">
        <v>650332.28571428603</v>
      </c>
      <c r="AM75" s="1547">
        <v>6075074.0199999996</v>
      </c>
      <c r="AN75" s="1480" t="s">
        <v>289</v>
      </c>
      <c r="AO75" s="899">
        <f t="shared" si="20"/>
        <v>1</v>
      </c>
      <c r="AP75" s="899">
        <f t="shared" si="20"/>
        <v>1</v>
      </c>
      <c r="AQ75" s="899">
        <f t="shared" si="20"/>
        <v>1</v>
      </c>
      <c r="AR75" s="904">
        <f t="shared" si="21"/>
        <v>1</v>
      </c>
      <c r="AS75" s="899">
        <f t="shared" si="22"/>
        <v>1</v>
      </c>
      <c r="AT75" s="899">
        <f t="shared" si="7"/>
        <v>1</v>
      </c>
      <c r="AU75" s="904">
        <f t="shared" si="8"/>
        <v>1</v>
      </c>
    </row>
    <row r="76" spans="1:47" s="1480" customFormat="1">
      <c r="B76" s="1494" t="s">
        <v>276</v>
      </c>
      <c r="C76" s="1554" t="s">
        <v>809</v>
      </c>
      <c r="D76" s="1496" t="s">
        <v>284</v>
      </c>
      <c r="E76" s="1555"/>
      <c r="F76" s="1555"/>
      <c r="G76" s="1556"/>
      <c r="H76" s="862">
        <f t="shared" si="23"/>
        <v>8175670.0800000001</v>
      </c>
      <c r="I76" s="906">
        <f t="shared" si="9"/>
        <v>6611174.7400000002</v>
      </c>
      <c r="J76" s="907">
        <f t="shared" si="10"/>
        <v>1564495.34</v>
      </c>
      <c r="K76" s="1497">
        <v>6286411</v>
      </c>
      <c r="L76" s="865">
        <f t="shared" si="11"/>
        <v>1.3005306334568325</v>
      </c>
      <c r="M76" s="1497">
        <v>783822</v>
      </c>
      <c r="N76" s="866">
        <f t="shared" si="12"/>
        <v>0.12468513433181508</v>
      </c>
      <c r="O76" s="867">
        <f t="shared" si="13"/>
        <v>8.9943890322037395E-2</v>
      </c>
      <c r="P76" s="1497">
        <v>70500</v>
      </c>
      <c r="Q76" s="1497">
        <v>49290</v>
      </c>
      <c r="R76" s="868">
        <f t="shared" si="14"/>
        <v>0.69914893617021279</v>
      </c>
      <c r="S76" s="869">
        <f t="shared" si="15"/>
        <v>115.9669514893617</v>
      </c>
      <c r="T76" s="870">
        <f t="shared" si="16"/>
        <v>165.86873767498477</v>
      </c>
      <c r="U76" s="871">
        <f t="shared" si="6"/>
        <v>0</v>
      </c>
      <c r="V76" s="872">
        <f t="shared" si="17"/>
        <v>0</v>
      </c>
      <c r="W76" s="1557">
        <v>930</v>
      </c>
      <c r="X76" s="2229"/>
      <c r="Y76" s="1499">
        <v>20511</v>
      </c>
      <c r="Z76" s="1497">
        <v>14125</v>
      </c>
      <c r="AA76" s="867">
        <f t="shared" si="24"/>
        <v>0.68865486811954557</v>
      </c>
      <c r="AB76" s="869">
        <f t="shared" si="18"/>
        <v>398.59929208717273</v>
      </c>
      <c r="AC76" s="873">
        <f t="shared" si="19"/>
        <v>578.80850123893811</v>
      </c>
      <c r="AD76" s="874">
        <f t="shared" si="25"/>
        <v>13136250</v>
      </c>
      <c r="AE76" s="903">
        <f t="shared" si="26"/>
        <v>1.6067490335911403</v>
      </c>
      <c r="AF76" s="1500">
        <f t="shared" si="27"/>
        <v>930</v>
      </c>
      <c r="AG76" s="876" t="s">
        <v>290</v>
      </c>
      <c r="AH76" s="1535">
        <v>1564495.34</v>
      </c>
      <c r="AI76" s="1535">
        <v>287905</v>
      </c>
      <c r="AJ76" s="1535">
        <v>6323269.7400000002</v>
      </c>
      <c r="AK76" s="1547">
        <v>1564495.34</v>
      </c>
      <c r="AL76" s="1547">
        <v>287905</v>
      </c>
      <c r="AM76" s="1547">
        <v>6323269.7400000002</v>
      </c>
      <c r="AN76" s="1480" t="s">
        <v>291</v>
      </c>
      <c r="AO76" s="899">
        <f t="shared" si="20"/>
        <v>1</v>
      </c>
      <c r="AP76" s="899">
        <f t="shared" si="20"/>
        <v>1</v>
      </c>
      <c r="AQ76" s="899">
        <f t="shared" si="20"/>
        <v>1</v>
      </c>
      <c r="AR76" s="904">
        <f t="shared" si="21"/>
        <v>1</v>
      </c>
      <c r="AS76" s="899">
        <f t="shared" si="22"/>
        <v>1</v>
      </c>
      <c r="AT76" s="899">
        <f t="shared" si="7"/>
        <v>1</v>
      </c>
      <c r="AU76" s="904">
        <f t="shared" si="8"/>
        <v>1</v>
      </c>
    </row>
    <row r="77" spans="1:47" s="1480" customFormat="1">
      <c r="B77" s="1494" t="s">
        <v>276</v>
      </c>
      <c r="C77" s="1554" t="s">
        <v>810</v>
      </c>
      <c r="D77" s="1496" t="s">
        <v>277</v>
      </c>
      <c r="E77" s="1558"/>
      <c r="F77" s="1558"/>
      <c r="G77" s="1559"/>
      <c r="H77" s="862">
        <f t="shared" si="23"/>
        <v>2891261.2</v>
      </c>
      <c r="I77" s="863">
        <f t="shared" si="9"/>
        <v>2428517.14</v>
      </c>
      <c r="J77" s="864">
        <f t="shared" si="10"/>
        <v>462744.06</v>
      </c>
      <c r="K77" s="1497">
        <v>3166994</v>
      </c>
      <c r="L77" s="865">
        <f t="shared" si="11"/>
        <v>0.91293548393208201</v>
      </c>
      <c r="M77" s="1497">
        <v>488358</v>
      </c>
      <c r="N77" s="866">
        <f t="shared" si="12"/>
        <v>0.15420237613333021</v>
      </c>
      <c r="O77" s="867">
        <f t="shared" si="13"/>
        <v>8.421281109350108E-2</v>
      </c>
      <c r="P77" s="1497">
        <v>41126</v>
      </c>
      <c r="Q77" s="1497">
        <v>28907</v>
      </c>
      <c r="R77" s="868">
        <f t="shared" si="14"/>
        <v>0.70288868355784662</v>
      </c>
      <c r="S77" s="869">
        <f t="shared" si="15"/>
        <v>70.302514224578132</v>
      </c>
      <c r="T77" s="870">
        <f t="shared" si="16"/>
        <v>100.01941398277235</v>
      </c>
      <c r="U77" s="871">
        <f t="shared" si="6"/>
        <v>0</v>
      </c>
      <c r="V77" s="872">
        <f t="shared" si="17"/>
        <v>0</v>
      </c>
      <c r="W77" s="1557">
        <v>1650</v>
      </c>
      <c r="X77" s="2229"/>
      <c r="Y77" s="1499">
        <v>3167</v>
      </c>
      <c r="Z77" s="1497">
        <v>2345</v>
      </c>
      <c r="AA77" s="867">
        <f t="shared" si="24"/>
        <v>0.74044837385538365</v>
      </c>
      <c r="AB77" s="869">
        <f t="shared" si="18"/>
        <v>912.9337543416483</v>
      </c>
      <c r="AC77" s="873">
        <f t="shared" si="19"/>
        <v>1232.9472068230277</v>
      </c>
      <c r="AD77" s="874">
        <f t="shared" si="25"/>
        <v>3869250</v>
      </c>
      <c r="AE77" s="903">
        <f t="shared" si="26"/>
        <v>1.3382568133242336</v>
      </c>
      <c r="AF77" s="1500">
        <f t="shared" si="27"/>
        <v>1650</v>
      </c>
      <c r="AG77" s="876" t="s">
        <v>292</v>
      </c>
      <c r="AH77" s="1535">
        <v>462744.06</v>
      </c>
      <c r="AI77" s="1535">
        <v>0</v>
      </c>
      <c r="AJ77" s="1535">
        <v>2428517.14</v>
      </c>
      <c r="AK77" s="1547">
        <v>462744.06</v>
      </c>
      <c r="AL77" s="1547">
        <v>0</v>
      </c>
      <c r="AM77" s="1547">
        <v>2428517.14</v>
      </c>
      <c r="AN77" s="1480" t="s">
        <v>293</v>
      </c>
      <c r="AO77" s="899">
        <f t="shared" si="20"/>
        <v>1</v>
      </c>
      <c r="AP77" s="899" t="e">
        <f t="shared" si="20"/>
        <v>#DIV/0!</v>
      </c>
      <c r="AQ77" s="899">
        <f t="shared" si="20"/>
        <v>1</v>
      </c>
      <c r="AR77" s="904">
        <f t="shared" si="21"/>
        <v>1</v>
      </c>
      <c r="AS77" s="899" t="e">
        <f t="shared" si="22"/>
        <v>#DIV/0!</v>
      </c>
      <c r="AT77" s="899">
        <f t="shared" si="7"/>
        <v>1</v>
      </c>
      <c r="AU77" s="904">
        <f t="shared" si="8"/>
        <v>1</v>
      </c>
    </row>
    <row r="78" spans="1:47" s="1480" customFormat="1">
      <c r="B78" s="1494" t="s">
        <v>276</v>
      </c>
      <c r="C78" s="1560" t="s">
        <v>811</v>
      </c>
      <c r="D78" s="1496" t="s">
        <v>294</v>
      </c>
      <c r="E78" s="1561"/>
      <c r="F78" s="1561"/>
      <c r="G78" s="1562"/>
      <c r="H78" s="862">
        <f t="shared" si="23"/>
        <v>4590378.18</v>
      </c>
      <c r="I78" s="863">
        <f t="shared" si="9"/>
        <v>3984701.6</v>
      </c>
      <c r="J78" s="864">
        <f t="shared" si="10"/>
        <v>605676.57999999996</v>
      </c>
      <c r="K78" s="1497">
        <v>2293889</v>
      </c>
      <c r="L78" s="865">
        <f t="shared" si="11"/>
        <v>2.0011335247695072</v>
      </c>
      <c r="M78" s="1497">
        <v>323130</v>
      </c>
      <c r="N78" s="866">
        <f t="shared" si="12"/>
        <v>0.14086557806415217</v>
      </c>
      <c r="O78" s="867">
        <f t="shared" si="13"/>
        <v>8.0719834122489398E-2</v>
      </c>
      <c r="P78" s="1497">
        <v>26083</v>
      </c>
      <c r="Q78" s="1497">
        <v>18390</v>
      </c>
      <c r="R78" s="868">
        <f t="shared" si="14"/>
        <v>0.7050569336349346</v>
      </c>
      <c r="S78" s="869">
        <f t="shared" si="15"/>
        <v>175.99118889698269</v>
      </c>
      <c r="T78" s="870">
        <f t="shared" si="16"/>
        <v>249.61273409461663</v>
      </c>
      <c r="U78" s="871">
        <f t="shared" si="6"/>
        <v>0</v>
      </c>
      <c r="V78" s="872">
        <f t="shared" si="17"/>
        <v>0</v>
      </c>
      <c r="W78" s="1557">
        <v>1380</v>
      </c>
      <c r="X78" s="2229"/>
      <c r="Y78" s="1563">
        <v>737</v>
      </c>
      <c r="Z78" s="1564">
        <v>495</v>
      </c>
      <c r="AA78" s="867">
        <f t="shared" si="24"/>
        <v>0.67164179104477617</v>
      </c>
      <c r="AB78" s="869">
        <f t="shared" si="18"/>
        <v>6228.4642876526459</v>
      </c>
      <c r="AC78" s="873">
        <f t="shared" si="19"/>
        <v>9273.4912727272713</v>
      </c>
      <c r="AD78" s="874">
        <f t="shared" si="25"/>
        <v>683100</v>
      </c>
      <c r="AE78" s="903">
        <f t="shared" si="26"/>
        <v>0.14881126853038501</v>
      </c>
      <c r="AF78" s="1500">
        <f t="shared" si="27"/>
        <v>1380</v>
      </c>
      <c r="AG78" s="876" t="s">
        <v>290</v>
      </c>
      <c r="AH78" s="1535">
        <v>605676.57999999996</v>
      </c>
      <c r="AI78" s="1535">
        <v>0</v>
      </c>
      <c r="AJ78" s="1535">
        <v>3984701.6</v>
      </c>
      <c r="AK78" s="1547">
        <v>605676.57999999996</v>
      </c>
      <c r="AL78" s="1547">
        <v>0</v>
      </c>
      <c r="AM78" s="1547">
        <v>3984701.6</v>
      </c>
      <c r="AN78" s="1480" t="s">
        <v>295</v>
      </c>
      <c r="AO78" s="899">
        <f t="shared" si="20"/>
        <v>1</v>
      </c>
      <c r="AP78" s="899" t="e">
        <f t="shared" si="20"/>
        <v>#DIV/0!</v>
      </c>
      <c r="AQ78" s="899">
        <f t="shared" si="20"/>
        <v>1</v>
      </c>
      <c r="AR78" s="904">
        <f t="shared" si="21"/>
        <v>1</v>
      </c>
      <c r="AS78" s="899" t="e">
        <f t="shared" si="22"/>
        <v>#DIV/0!</v>
      </c>
      <c r="AT78" s="899">
        <f t="shared" si="7"/>
        <v>1</v>
      </c>
      <c r="AU78" s="904">
        <f t="shared" si="8"/>
        <v>1</v>
      </c>
    </row>
    <row r="79" spans="1:47" s="1480" customFormat="1">
      <c r="B79" s="1502"/>
      <c r="C79" s="1503" t="s">
        <v>0</v>
      </c>
      <c r="D79" s="1503"/>
      <c r="E79" s="1503"/>
      <c r="F79" s="1503"/>
      <c r="G79" s="1565"/>
      <c r="H79" s="882">
        <f t="shared" si="23"/>
        <v>64239420.978890389</v>
      </c>
      <c r="I79" s="883">
        <f>SUM(I69:I78)</f>
        <v>42252086.259061724</v>
      </c>
      <c r="J79" s="884">
        <f>SUM(J69:J78)</f>
        <v>21987334.719828665</v>
      </c>
      <c r="K79" s="885">
        <f>SUM(K69:K78)</f>
        <v>62160897</v>
      </c>
      <c r="L79" s="886">
        <f t="shared" si="11"/>
        <v>1.0334378054243714</v>
      </c>
      <c r="M79" s="883">
        <f>SUM(M69:M78)</f>
        <v>8533356</v>
      </c>
      <c r="N79" s="887">
        <f t="shared" si="12"/>
        <v>0.13727852093254059</v>
      </c>
      <c r="O79" s="887">
        <f t="shared" si="13"/>
        <v>9.342256434631345E-2</v>
      </c>
      <c r="P79" s="883">
        <f>SUM(P69:P78)</f>
        <v>797208</v>
      </c>
      <c r="Q79" s="883">
        <f>SUM(Q69:Q78)</f>
        <v>568739</v>
      </c>
      <c r="R79" s="887">
        <f t="shared" si="14"/>
        <v>0.71341356333604278</v>
      </c>
      <c r="S79" s="1504">
        <f t="shared" si="15"/>
        <v>80.580502176207958</v>
      </c>
      <c r="T79" s="1504">
        <f t="shared" si="16"/>
        <v>112.95061702976302</v>
      </c>
      <c r="U79" s="1505">
        <f>X69*Q79</f>
        <v>577270085</v>
      </c>
      <c r="V79" s="888">
        <f t="shared" si="17"/>
        <v>8.9862280232833314</v>
      </c>
      <c r="W79" s="1506">
        <f>X69</f>
        <v>1015</v>
      </c>
      <c r="X79" s="2242"/>
      <c r="Y79" s="1507">
        <f>SUM(Y69:Y78)</f>
        <v>97776</v>
      </c>
      <c r="Z79" s="1507">
        <f>SUM(Z69:Z78)</f>
        <v>69698</v>
      </c>
      <c r="AA79" s="889">
        <f t="shared" si="24"/>
        <v>0.7128334151530028</v>
      </c>
      <c r="AB79" s="1507">
        <f t="shared" si="18"/>
        <v>657.00602375726544</v>
      </c>
      <c r="AC79" s="1507">
        <f t="shared" si="19"/>
        <v>921.68241526141912</v>
      </c>
      <c r="AD79" s="1508">
        <f t="shared" si="25"/>
        <v>70743470</v>
      </c>
      <c r="AE79" s="908">
        <f t="shared" si="26"/>
        <v>1.1012470056859152</v>
      </c>
      <c r="AF79" s="1509">
        <v>1015</v>
      </c>
      <c r="AG79" s="1510"/>
      <c r="AH79" s="1511">
        <f>SUM(AH69:AH78)</f>
        <v>21987334.719828665</v>
      </c>
      <c r="AI79" s="1511">
        <f t="shared" ref="AI79:AM79" si="28">SUM(AI69:AI78)</f>
        <v>2047340.4890617188</v>
      </c>
      <c r="AJ79" s="1511">
        <f t="shared" si="28"/>
        <v>40204745.770000003</v>
      </c>
      <c r="AK79" s="1511">
        <f t="shared" si="28"/>
        <v>21987334.719828665</v>
      </c>
      <c r="AL79" s="1511">
        <f t="shared" si="28"/>
        <v>2047340.4890617188</v>
      </c>
      <c r="AM79" s="1511">
        <f t="shared" si="28"/>
        <v>40216938.240000002</v>
      </c>
      <c r="AN79" s="1463"/>
      <c r="AO79" s="1463"/>
      <c r="AP79" s="1463"/>
      <c r="AQ79" s="1463"/>
      <c r="AR79" s="891"/>
      <c r="AS79" s="891"/>
      <c r="AT79" s="891"/>
      <c r="AU79" s="892"/>
    </row>
    <row r="80" spans="1:47" s="1480" customFormat="1">
      <c r="B80" s="1512"/>
      <c r="C80" s="1513" t="s">
        <v>260</v>
      </c>
      <c r="D80" s="1513"/>
      <c r="E80" s="1513"/>
      <c r="F80" s="1513"/>
      <c r="G80" s="1513"/>
      <c r="H80" s="893"/>
      <c r="I80" s="894"/>
      <c r="J80" s="894"/>
      <c r="K80" s="894">
        <v>42519611</v>
      </c>
      <c r="L80" s="895">
        <f>H79/K80</f>
        <v>1.5108186426938475</v>
      </c>
      <c r="M80" s="894">
        <v>4967875</v>
      </c>
      <c r="N80" s="896">
        <f t="shared" si="12"/>
        <v>0.11683726363347961</v>
      </c>
      <c r="O80" s="896">
        <f t="shared" si="13"/>
        <v>7.8440580731197945E-2</v>
      </c>
      <c r="P80" s="894">
        <v>389683</v>
      </c>
      <c r="Q80" s="894">
        <v>276937</v>
      </c>
      <c r="R80" s="896">
        <f t="shared" si="14"/>
        <v>0.71067252099783673</v>
      </c>
      <c r="S80" s="1514">
        <f>H79/P80</f>
        <v>164.85045788215137</v>
      </c>
      <c r="T80" s="1514">
        <f>H79/Q80</f>
        <v>231.9640242325525</v>
      </c>
      <c r="U80" s="1515">
        <f>Q80*X69</f>
        <v>281091055</v>
      </c>
      <c r="V80" s="897">
        <f>U80/H79</f>
        <v>4.3756785275566052</v>
      </c>
      <c r="W80" s="1514">
        <f>W79</f>
        <v>1015</v>
      </c>
      <c r="X80" s="1516"/>
      <c r="Y80" s="894"/>
      <c r="Z80" s="894"/>
      <c r="AA80" s="896"/>
      <c r="AB80" s="1517"/>
      <c r="AC80" s="1517"/>
      <c r="AD80" s="1516"/>
      <c r="AE80" s="898"/>
      <c r="AF80" s="1516"/>
      <c r="AG80" s="1510"/>
      <c r="AH80" s="1518"/>
      <c r="AI80" s="1519"/>
      <c r="AJ80" s="1463"/>
      <c r="AK80" s="1463"/>
    </row>
    <row r="81" spans="1:37">
      <c r="B81" s="1472"/>
      <c r="C81" s="1466" t="s">
        <v>296</v>
      </c>
      <c r="D81" s="1465" t="s">
        <v>277</v>
      </c>
      <c r="E81" s="1465"/>
      <c r="F81" s="1465"/>
      <c r="G81" s="1465"/>
      <c r="H81" s="1466">
        <f>SUM(I81:J81)</f>
        <v>64251613.448890388</v>
      </c>
      <c r="I81" s="1466">
        <f>AL79+AM79</f>
        <v>42264278.729061723</v>
      </c>
      <c r="J81" s="1466">
        <f>AK79</f>
        <v>21987334.719828665</v>
      </c>
      <c r="K81" s="1467"/>
      <c r="L81" s="1468"/>
      <c r="N81" s="845"/>
      <c r="R81" s="845"/>
      <c r="S81" s="1467"/>
      <c r="V81" s="1469"/>
      <c r="X81" s="1467"/>
      <c r="AA81" s="845"/>
      <c r="AB81" s="1467"/>
      <c r="AD81" s="1467"/>
      <c r="AE81" s="1469"/>
      <c r="AF81" s="1467"/>
      <c r="AG81" s="1470"/>
      <c r="AH81" s="1471"/>
      <c r="AI81" s="1471"/>
      <c r="AJ81" s="1471"/>
    </row>
    <row r="82" spans="1:37">
      <c r="B82" s="1472"/>
      <c r="C82" s="1466" t="s">
        <v>297</v>
      </c>
      <c r="D82" s="1465" t="s">
        <v>277</v>
      </c>
      <c r="E82" s="1465"/>
      <c r="F82" s="1465"/>
      <c r="G82" s="1465"/>
      <c r="H82" s="899">
        <f>H79/H81</f>
        <v>0.99981023869525554</v>
      </c>
      <c r="I82" s="899">
        <f>I79/I81</f>
        <v>0.99971151832311722</v>
      </c>
      <c r="J82" s="899">
        <f>J79/J81</f>
        <v>1</v>
      </c>
      <c r="K82" s="1467"/>
      <c r="L82" s="1468"/>
      <c r="N82" s="845"/>
      <c r="R82" s="845"/>
      <c r="S82" s="1467"/>
      <c r="V82" s="1469"/>
      <c r="X82" s="1467"/>
      <c r="AA82" s="845"/>
      <c r="AB82" s="1467"/>
      <c r="AD82" s="1467"/>
      <c r="AE82" s="1469"/>
      <c r="AF82" s="1467"/>
      <c r="AG82" s="1470"/>
      <c r="AH82" s="1471"/>
      <c r="AI82" s="1471"/>
      <c r="AJ82" s="1471"/>
    </row>
    <row r="83" spans="1:37">
      <c r="B83" s="1472"/>
      <c r="C83" s="1466"/>
      <c r="E83" s="1465"/>
      <c r="F83" s="1465"/>
      <c r="G83" s="1465"/>
      <c r="H83" s="899"/>
      <c r="I83" s="899"/>
      <c r="J83" s="899"/>
      <c r="K83" s="1467"/>
      <c r="L83" s="1468"/>
      <c r="N83" s="845"/>
      <c r="R83" s="845"/>
      <c r="S83" s="1467"/>
      <c r="V83" s="1469"/>
      <c r="X83" s="1467"/>
      <c r="AA83" s="845"/>
      <c r="AB83" s="1467"/>
      <c r="AD83" s="1467"/>
      <c r="AE83" s="1469"/>
      <c r="AF83" s="1467"/>
      <c r="AG83" s="1470"/>
      <c r="AH83" s="1471"/>
      <c r="AI83" s="1471"/>
      <c r="AJ83" s="1471"/>
    </row>
    <row r="84" spans="1:37">
      <c r="B84" s="1472"/>
      <c r="C84" s="1466"/>
      <c r="E84" s="1465"/>
      <c r="F84" s="1465"/>
      <c r="G84" s="1465"/>
      <c r="H84" s="899"/>
      <c r="I84" s="899"/>
      <c r="J84" s="899"/>
      <c r="K84" s="1467"/>
      <c r="L84" s="1468"/>
      <c r="N84" s="845"/>
      <c r="R84" s="845"/>
      <c r="S84" s="1467"/>
      <c r="V84" s="1469"/>
      <c r="X84" s="1467"/>
      <c r="AA84" s="845"/>
      <c r="AB84" s="1467"/>
      <c r="AD84" s="1467"/>
      <c r="AE84" s="1469"/>
      <c r="AF84" s="1467"/>
      <c r="AG84" s="1470"/>
      <c r="AH84" s="1471"/>
      <c r="AI84" s="1471"/>
      <c r="AJ84" s="1471"/>
    </row>
    <row r="85" spans="1:37">
      <c r="E85" s="1465"/>
      <c r="F85" s="1465"/>
      <c r="G85" s="1465"/>
      <c r="H85" s="1466"/>
      <c r="I85" s="1466"/>
      <c r="J85" s="1466"/>
      <c r="K85" s="1467"/>
      <c r="L85" s="1468"/>
      <c r="N85" s="845"/>
      <c r="R85" s="845"/>
      <c r="S85" s="1467"/>
      <c r="V85" s="1469"/>
      <c r="X85" s="1467"/>
      <c r="AA85" s="845"/>
      <c r="AB85" s="1467"/>
      <c r="AD85" s="1467"/>
      <c r="AE85" s="1469"/>
      <c r="AF85" s="1467"/>
      <c r="AG85" s="1470"/>
      <c r="AH85" s="1471"/>
      <c r="AI85" s="1471"/>
      <c r="AJ85" s="1471"/>
    </row>
    <row r="86" spans="1:37">
      <c r="B86" s="1472"/>
      <c r="C86" s="1466"/>
      <c r="E86" s="1465"/>
      <c r="F86" s="1465"/>
      <c r="G86" s="1465"/>
      <c r="H86" s="899"/>
      <c r="I86" s="899"/>
      <c r="J86" s="899"/>
      <c r="K86" s="1467"/>
      <c r="L86" s="1468"/>
      <c r="N86" s="845"/>
      <c r="R86" s="845"/>
      <c r="S86" s="1467"/>
      <c r="V86" s="1469"/>
      <c r="X86" s="1467"/>
      <c r="AA86" s="845"/>
      <c r="AB86" s="1467"/>
      <c r="AD86" s="1467"/>
      <c r="AE86" s="1469"/>
      <c r="AF86" s="1467"/>
      <c r="AG86" s="1470"/>
      <c r="AH86" s="1471"/>
      <c r="AI86" s="1471"/>
      <c r="AJ86" s="1471"/>
    </row>
    <row r="87" spans="1:37">
      <c r="B87" s="1472"/>
      <c r="C87" s="1466"/>
      <c r="E87" s="1465"/>
      <c r="F87" s="1465"/>
      <c r="G87" s="1465"/>
      <c r="H87" s="899"/>
      <c r="I87" s="899"/>
      <c r="J87" s="899"/>
      <c r="K87" s="1467"/>
      <c r="L87" s="1468"/>
      <c r="N87" s="845"/>
      <c r="R87" s="845"/>
      <c r="S87" s="1467"/>
      <c r="V87" s="1469"/>
      <c r="X87" s="1467"/>
      <c r="AA87" s="845"/>
      <c r="AB87" s="1467"/>
      <c r="AD87" s="1467"/>
      <c r="AE87" s="1469"/>
      <c r="AF87" s="1467"/>
      <c r="AG87" s="1470"/>
      <c r="AH87" s="1471"/>
      <c r="AI87" s="1471"/>
      <c r="AJ87" s="1471"/>
    </row>
    <row r="88" spans="1:37">
      <c r="E88" s="1465"/>
      <c r="F88" s="1465"/>
      <c r="G88" s="1465"/>
      <c r="H88" s="1466"/>
      <c r="I88" s="1466"/>
      <c r="J88" s="1466"/>
      <c r="K88" s="1467"/>
      <c r="L88" s="1468"/>
      <c r="N88" s="845"/>
      <c r="R88" s="845"/>
      <c r="S88" s="1467"/>
      <c r="V88" s="1469"/>
      <c r="X88" s="1467"/>
      <c r="AA88" s="845"/>
      <c r="AB88" s="1467"/>
      <c r="AD88" s="1467"/>
      <c r="AE88" s="1469"/>
      <c r="AF88" s="1467"/>
      <c r="AG88" s="1470"/>
      <c r="AH88" s="1471"/>
      <c r="AI88" s="1471"/>
      <c r="AJ88" s="1471"/>
    </row>
    <row r="89" spans="1:37">
      <c r="B89" s="1472"/>
      <c r="E89" s="1465"/>
      <c r="F89" s="1465"/>
      <c r="G89" s="1465"/>
      <c r="H89" s="1466"/>
      <c r="I89" s="1466"/>
      <c r="J89" s="1466"/>
      <c r="K89" s="1467"/>
      <c r="L89" s="1468"/>
      <c r="N89" s="845"/>
      <c r="R89" s="845"/>
      <c r="S89" s="1467"/>
      <c r="V89" s="1469"/>
      <c r="X89" s="1467"/>
      <c r="AA89" s="845"/>
      <c r="AB89" s="1467"/>
      <c r="AD89" s="1467"/>
      <c r="AE89" s="1469"/>
      <c r="AF89" s="1467"/>
      <c r="AG89" s="1470"/>
      <c r="AH89" s="1471"/>
      <c r="AI89" s="1471"/>
      <c r="AJ89" s="1471"/>
    </row>
    <row r="90" spans="1:37" s="1473" customFormat="1" ht="22.5">
      <c r="B90" s="850" t="s">
        <v>812</v>
      </c>
      <c r="C90" s="1474"/>
      <c r="D90" s="1474"/>
      <c r="E90" s="1474"/>
      <c r="F90" s="1474"/>
      <c r="G90" s="1474"/>
      <c r="H90" s="1475"/>
      <c r="I90" s="1476"/>
      <c r="J90" s="1476"/>
      <c r="K90" s="1476"/>
      <c r="L90" s="1477"/>
      <c r="M90" s="1476"/>
      <c r="N90" s="851"/>
      <c r="O90" s="851"/>
      <c r="P90" s="1476"/>
      <c r="Q90" s="1476"/>
      <c r="R90" s="851"/>
      <c r="S90" s="1476"/>
      <c r="T90" s="1476"/>
      <c r="U90" s="1476"/>
      <c r="V90" s="1478"/>
      <c r="W90" s="1476"/>
      <c r="X90" s="1476"/>
      <c r="Y90" s="1476"/>
      <c r="Z90" s="1476"/>
      <c r="AA90" s="851"/>
      <c r="AB90" s="1476"/>
      <c r="AC90" s="1476"/>
      <c r="AD90" s="1476"/>
      <c r="AE90" s="1478"/>
      <c r="AF90" s="1476"/>
      <c r="AG90" s="1479"/>
      <c r="AH90" s="1476"/>
      <c r="AI90" s="1476"/>
      <c r="AJ90" s="1476"/>
    </row>
    <row r="91" spans="1:37">
      <c r="B91" s="852" t="s">
        <v>238</v>
      </c>
      <c r="C91" s="853" t="s">
        <v>298</v>
      </c>
      <c r="E91" s="1465"/>
      <c r="F91" s="1465"/>
      <c r="G91" s="1465"/>
      <c r="H91" s="1466"/>
      <c r="I91" s="1466"/>
      <c r="J91" s="1466"/>
      <c r="K91" s="1467"/>
      <c r="L91" s="1468"/>
      <c r="N91" s="845"/>
      <c r="R91" s="845"/>
      <c r="S91" s="1467"/>
      <c r="V91" s="1469"/>
      <c r="X91" s="1467"/>
      <c r="AA91" s="845"/>
      <c r="AB91" s="1467"/>
      <c r="AD91" s="1467"/>
      <c r="AE91" s="1469"/>
      <c r="AF91" s="1467"/>
      <c r="AG91" s="1470"/>
      <c r="AH91" s="1471"/>
      <c r="AI91" s="1471"/>
      <c r="AJ91" s="1471"/>
    </row>
    <row r="92" spans="1:37">
      <c r="B92" s="854" t="s">
        <v>82</v>
      </c>
      <c r="C92" s="855" t="s">
        <v>299</v>
      </c>
      <c r="E92" s="1465"/>
      <c r="F92" s="1465"/>
      <c r="G92" s="1465"/>
      <c r="H92" s="1466"/>
      <c r="I92" s="1466"/>
      <c r="J92" s="1466"/>
      <c r="K92" s="1467"/>
      <c r="L92" s="1468"/>
      <c r="N92" s="845"/>
      <c r="R92" s="845"/>
      <c r="S92" s="1467"/>
      <c r="V92" s="1469"/>
      <c r="X92" s="1467"/>
      <c r="AA92" s="845"/>
      <c r="AB92" s="1467"/>
      <c r="AD92" s="1467"/>
      <c r="AE92" s="1469"/>
      <c r="AF92" s="1467"/>
      <c r="AG92" s="1470"/>
      <c r="AH92" s="1471"/>
      <c r="AI92" s="1471"/>
      <c r="AJ92" s="1471"/>
    </row>
    <row r="93" spans="1:37">
      <c r="B93" s="854"/>
      <c r="C93" s="855"/>
      <c r="E93" s="1465"/>
      <c r="F93" s="1465"/>
      <c r="G93" s="1465"/>
      <c r="H93" s="1466"/>
      <c r="I93" s="1466"/>
      <c r="J93" s="1466"/>
      <c r="K93" s="1467"/>
      <c r="L93" s="1468"/>
      <c r="N93" s="845"/>
      <c r="R93" s="845"/>
      <c r="S93" s="1467"/>
      <c r="V93" s="1469"/>
      <c r="X93" s="1467"/>
      <c r="AA93" s="845"/>
      <c r="AB93" s="1467"/>
      <c r="AD93" s="1467"/>
      <c r="AE93" s="1469"/>
      <c r="AF93" s="1467"/>
      <c r="AG93" s="1470"/>
      <c r="AH93" s="1471"/>
      <c r="AI93" s="1471"/>
      <c r="AJ93" s="1471"/>
    </row>
    <row r="94" spans="1:37" hidden="1">
      <c r="A94" s="856"/>
      <c r="B94" s="900" t="s">
        <v>263</v>
      </c>
      <c r="C94" s="858"/>
      <c r="D94" s="859"/>
      <c r="E94" s="859"/>
      <c r="F94" s="859"/>
      <c r="G94" s="859"/>
      <c r="H94" s="856"/>
      <c r="I94" s="856"/>
      <c r="J94" s="856"/>
      <c r="K94" s="856"/>
      <c r="L94" s="856"/>
      <c r="M94" s="856"/>
      <c r="N94" s="856"/>
      <c r="O94" s="856"/>
      <c r="P94" s="856"/>
      <c r="Q94" s="856"/>
      <c r="R94" s="856"/>
      <c r="S94" s="856"/>
      <c r="T94" s="856"/>
      <c r="U94" s="856"/>
      <c r="V94" s="856"/>
      <c r="W94" s="856"/>
      <c r="X94" s="856"/>
      <c r="Y94" s="856"/>
      <c r="Z94" s="856"/>
      <c r="AA94" s="856"/>
      <c r="AB94" s="856"/>
      <c r="AC94" s="856"/>
      <c r="AD94" s="860"/>
      <c r="AE94" s="861"/>
      <c r="AF94" s="861"/>
      <c r="AG94" s="861"/>
      <c r="AH94" s="856"/>
      <c r="AI94" s="856"/>
      <c r="AJ94" s="856"/>
      <c r="AK94" s="856"/>
    </row>
    <row r="95" spans="1:37" hidden="1">
      <c r="A95" s="856"/>
      <c r="B95" s="901" t="s">
        <v>264</v>
      </c>
      <c r="C95" s="858"/>
      <c r="D95" s="859"/>
      <c r="E95" s="859"/>
      <c r="F95" s="859"/>
      <c r="G95" s="859"/>
      <c r="H95" s="856"/>
      <c r="I95" s="856"/>
      <c r="J95" s="856"/>
      <c r="K95" s="856"/>
      <c r="L95" s="856"/>
      <c r="M95" s="856"/>
      <c r="N95" s="856"/>
      <c r="O95" s="856"/>
      <c r="P95" s="856"/>
      <c r="Q95" s="856"/>
      <c r="R95" s="856"/>
      <c r="S95" s="856"/>
      <c r="T95" s="856"/>
      <c r="U95" s="856"/>
      <c r="V95" s="856"/>
      <c r="W95" s="856"/>
      <c r="X95" s="856"/>
      <c r="Y95" s="856"/>
      <c r="Z95" s="856"/>
      <c r="AA95" s="856"/>
      <c r="AB95" s="856"/>
      <c r="AC95" s="856"/>
      <c r="AD95" s="860"/>
      <c r="AE95" s="861"/>
      <c r="AF95" s="861"/>
      <c r="AG95" s="861"/>
      <c r="AH95" s="856"/>
      <c r="AI95" s="856"/>
      <c r="AJ95" s="856"/>
      <c r="AK95" s="856"/>
    </row>
    <row r="96" spans="1:37" hidden="1">
      <c r="A96" s="856"/>
      <c r="B96" s="902" t="s">
        <v>300</v>
      </c>
      <c r="C96" s="858"/>
      <c r="D96" s="859"/>
      <c r="E96" s="859"/>
      <c r="F96" s="859"/>
      <c r="G96" s="859"/>
      <c r="H96" s="856"/>
      <c r="I96" s="856"/>
      <c r="J96" s="856"/>
      <c r="K96" s="856"/>
      <c r="L96" s="856"/>
      <c r="M96" s="856"/>
      <c r="N96" s="856"/>
      <c r="O96" s="856"/>
      <c r="P96" s="856"/>
      <c r="Q96" s="856"/>
      <c r="R96" s="856"/>
      <c r="S96" s="856"/>
      <c r="T96" s="856"/>
      <c r="U96" s="856"/>
      <c r="V96" s="856"/>
      <c r="W96" s="856"/>
      <c r="X96" s="856"/>
      <c r="Y96" s="856"/>
      <c r="Z96" s="856"/>
      <c r="AA96" s="856"/>
      <c r="AB96" s="856"/>
      <c r="AC96" s="856"/>
      <c r="AD96" s="860"/>
      <c r="AE96" s="861"/>
      <c r="AF96" s="861"/>
      <c r="AG96" s="861"/>
      <c r="AH96" s="856"/>
      <c r="AI96" s="856"/>
      <c r="AJ96" s="856"/>
      <c r="AK96" s="856"/>
    </row>
    <row r="97" spans="1:47" hidden="1">
      <c r="A97" s="856"/>
      <c r="B97" s="901" t="s">
        <v>234</v>
      </c>
      <c r="C97" s="858"/>
      <c r="D97" s="859"/>
      <c r="E97" s="859"/>
      <c r="F97" s="859"/>
      <c r="G97" s="859"/>
      <c r="H97" s="856"/>
      <c r="I97" s="856"/>
      <c r="J97" s="856"/>
      <c r="K97" s="856"/>
      <c r="L97" s="856"/>
      <c r="M97" s="856"/>
      <c r="N97" s="856"/>
      <c r="O97" s="856"/>
      <c r="P97" s="856"/>
      <c r="Q97" s="856"/>
      <c r="R97" s="856"/>
      <c r="S97" s="856"/>
      <c r="T97" s="856"/>
      <c r="U97" s="856"/>
      <c r="V97" s="856"/>
      <c r="W97" s="856"/>
      <c r="X97" s="856"/>
      <c r="Y97" s="856"/>
      <c r="Z97" s="856"/>
      <c r="AA97" s="856"/>
      <c r="AB97" s="856"/>
      <c r="AC97" s="856"/>
      <c r="AD97" s="860"/>
      <c r="AE97" s="861"/>
      <c r="AF97" s="861"/>
      <c r="AG97" s="861"/>
      <c r="AH97" s="856"/>
      <c r="AI97" s="856"/>
      <c r="AJ97" s="856"/>
      <c r="AK97" s="856"/>
    </row>
    <row r="98" spans="1:47" hidden="1">
      <c r="A98" s="856"/>
      <c r="B98" s="902" t="s">
        <v>301</v>
      </c>
      <c r="C98" s="858"/>
      <c r="D98" s="859"/>
      <c r="E98" s="859"/>
      <c r="F98" s="859"/>
      <c r="G98" s="859"/>
      <c r="H98" s="856"/>
      <c r="I98" s="856"/>
      <c r="J98" s="856"/>
      <c r="K98" s="856"/>
      <c r="L98" s="856"/>
      <c r="M98" s="856"/>
      <c r="N98" s="856"/>
      <c r="O98" s="856"/>
      <c r="P98" s="856"/>
      <c r="Q98" s="856"/>
      <c r="R98" s="856"/>
      <c r="S98" s="856"/>
      <c r="T98" s="856"/>
      <c r="U98" s="856"/>
      <c r="V98" s="856"/>
      <c r="W98" s="856"/>
      <c r="X98" s="856"/>
      <c r="Y98" s="856"/>
      <c r="Z98" s="856"/>
      <c r="AA98" s="856"/>
      <c r="AB98" s="856"/>
      <c r="AC98" s="856"/>
      <c r="AD98" s="860"/>
      <c r="AE98" s="861"/>
      <c r="AF98" s="861"/>
      <c r="AG98" s="861"/>
      <c r="AH98" s="856"/>
      <c r="AI98" s="856"/>
      <c r="AJ98" s="856"/>
      <c r="AK98" s="856"/>
    </row>
    <row r="99" spans="1:47" hidden="1">
      <c r="A99" s="856"/>
      <c r="B99" s="902" t="s">
        <v>302</v>
      </c>
      <c r="C99" s="858"/>
      <c r="D99" s="859"/>
      <c r="E99" s="859"/>
      <c r="F99" s="859"/>
      <c r="G99" s="859"/>
      <c r="H99" s="856"/>
      <c r="I99" s="856"/>
      <c r="J99" s="856"/>
      <c r="K99" s="856"/>
      <c r="L99" s="856"/>
      <c r="M99" s="856"/>
      <c r="N99" s="856"/>
      <c r="O99" s="856"/>
      <c r="P99" s="856"/>
      <c r="Q99" s="856"/>
      <c r="R99" s="856"/>
      <c r="S99" s="856"/>
      <c r="T99" s="856"/>
      <c r="U99" s="856"/>
      <c r="V99" s="856"/>
      <c r="W99" s="856"/>
      <c r="X99" s="856"/>
      <c r="Y99" s="856"/>
      <c r="Z99" s="856"/>
      <c r="AA99" s="856"/>
      <c r="AB99" s="856"/>
      <c r="AC99" s="856"/>
      <c r="AD99" s="860"/>
      <c r="AE99" s="861"/>
      <c r="AF99" s="861"/>
      <c r="AG99" s="861"/>
      <c r="AH99" s="856"/>
      <c r="AI99" s="856"/>
      <c r="AJ99" s="856"/>
      <c r="AK99" s="856"/>
    </row>
    <row r="100" spans="1:47" hidden="1">
      <c r="A100" s="856"/>
      <c r="B100" s="901" t="s">
        <v>235</v>
      </c>
      <c r="C100" s="858"/>
      <c r="D100" s="859"/>
      <c r="E100" s="859"/>
      <c r="F100" s="859"/>
      <c r="G100" s="859"/>
      <c r="H100" s="856"/>
      <c r="I100" s="856"/>
      <c r="J100" s="856"/>
      <c r="K100" s="856"/>
      <c r="L100" s="856"/>
      <c r="M100" s="856"/>
      <c r="N100" s="856"/>
      <c r="O100" s="856"/>
      <c r="P100" s="856"/>
      <c r="Q100" s="856"/>
      <c r="R100" s="856"/>
      <c r="S100" s="856"/>
      <c r="T100" s="856"/>
      <c r="U100" s="856"/>
      <c r="V100" s="856"/>
      <c r="W100" s="856"/>
      <c r="X100" s="856"/>
      <c r="Y100" s="856"/>
      <c r="Z100" s="856"/>
      <c r="AA100" s="856"/>
      <c r="AB100" s="856"/>
      <c r="AC100" s="856"/>
      <c r="AD100" s="860"/>
      <c r="AE100" s="861"/>
      <c r="AF100" s="861"/>
      <c r="AG100" s="861"/>
      <c r="AH100" s="856"/>
      <c r="AI100" s="856"/>
      <c r="AJ100" s="856"/>
      <c r="AK100" s="856"/>
    </row>
    <row r="101" spans="1:47" hidden="1">
      <c r="A101" s="856"/>
      <c r="B101" s="902" t="s">
        <v>303</v>
      </c>
      <c r="C101" s="858"/>
      <c r="D101" s="859"/>
      <c r="E101" s="859"/>
      <c r="F101" s="859"/>
      <c r="G101" s="859"/>
      <c r="H101" s="856"/>
      <c r="I101" s="856"/>
      <c r="J101" s="856"/>
      <c r="K101" s="856"/>
      <c r="L101" s="856"/>
      <c r="M101" s="856"/>
      <c r="N101" s="856"/>
      <c r="O101" s="856"/>
      <c r="P101" s="856"/>
      <c r="Q101" s="856"/>
      <c r="R101" s="856"/>
      <c r="S101" s="856"/>
      <c r="T101" s="856"/>
      <c r="U101" s="856"/>
      <c r="V101" s="856"/>
      <c r="W101" s="856"/>
      <c r="X101" s="856"/>
      <c r="Y101" s="856"/>
      <c r="Z101" s="856"/>
      <c r="AA101" s="856"/>
      <c r="AB101" s="856"/>
      <c r="AC101" s="856"/>
      <c r="AD101" s="860"/>
      <c r="AE101" s="861"/>
      <c r="AF101" s="861"/>
      <c r="AG101" s="861"/>
      <c r="AH101" s="856"/>
      <c r="AI101" s="856"/>
      <c r="AJ101" s="856"/>
      <c r="AK101" s="856"/>
    </row>
    <row r="102" spans="1:47">
      <c r="B102" s="854"/>
      <c r="C102" s="855"/>
      <c r="E102" s="1465"/>
      <c r="F102" s="1465"/>
      <c r="G102" s="1465"/>
      <c r="H102" s="1466"/>
      <c r="I102" s="1466"/>
      <c r="J102" s="1466"/>
      <c r="K102" s="1467"/>
      <c r="L102" s="1468"/>
      <c r="N102" s="845"/>
      <c r="R102" s="845"/>
      <c r="S102" s="1467"/>
      <c r="V102" s="1469"/>
      <c r="X102" s="1467"/>
      <c r="AA102" s="845"/>
      <c r="AB102" s="1467"/>
      <c r="AD102" s="1467"/>
      <c r="AE102" s="1469"/>
      <c r="AF102" s="1467"/>
      <c r="AG102" s="1470"/>
      <c r="AH102" s="1471"/>
      <c r="AI102" s="1471"/>
      <c r="AJ102" s="1471"/>
    </row>
    <row r="103" spans="1:47">
      <c r="B103" s="854"/>
      <c r="C103" s="855"/>
      <c r="E103" s="1465"/>
      <c r="F103" s="1465"/>
      <c r="G103" s="1465"/>
      <c r="H103" s="1466"/>
      <c r="I103" s="1466"/>
      <c r="J103" s="1466"/>
      <c r="K103" s="1467"/>
      <c r="L103" s="1468"/>
      <c r="N103" s="845"/>
      <c r="R103" s="845"/>
      <c r="S103" s="1467"/>
      <c r="V103" s="1469"/>
      <c r="X103" s="1467"/>
      <c r="AA103" s="845"/>
      <c r="AB103" s="1467"/>
      <c r="AD103" s="1467"/>
      <c r="AE103" s="1469"/>
      <c r="AF103" s="1467"/>
      <c r="AG103" s="1470"/>
      <c r="AH103" s="1471"/>
      <c r="AI103" s="1471"/>
      <c r="AJ103" s="1471"/>
    </row>
    <row r="104" spans="1:47">
      <c r="A104" s="856"/>
      <c r="B104" s="900"/>
      <c r="C104" s="858"/>
      <c r="D104" s="859"/>
      <c r="E104" s="859"/>
      <c r="F104" s="859"/>
      <c r="G104" s="859"/>
      <c r="H104" s="856"/>
      <c r="I104" s="856"/>
      <c r="J104" s="856"/>
      <c r="K104" s="856"/>
      <c r="L104" s="856"/>
      <c r="M104" s="856"/>
      <c r="N104" s="856"/>
      <c r="O104" s="856"/>
      <c r="P104" s="856"/>
      <c r="Q104" s="856"/>
      <c r="R104" s="856"/>
      <c r="S104" s="856"/>
      <c r="T104" s="856"/>
      <c r="U104" s="856"/>
      <c r="V104" s="856"/>
      <c r="W104" s="856"/>
      <c r="X104" s="856"/>
      <c r="Y104" s="856"/>
      <c r="Z104" s="856"/>
      <c r="AA104" s="856"/>
      <c r="AB104" s="856"/>
      <c r="AC104" s="856"/>
      <c r="AD104" s="860"/>
      <c r="AE104" s="861"/>
      <c r="AF104" s="861"/>
      <c r="AG104" s="861"/>
      <c r="AH104" s="1468" t="s">
        <v>304</v>
      </c>
      <c r="AI104" s="856"/>
      <c r="AJ104" s="856"/>
      <c r="AK104" s="1468" t="s">
        <v>305</v>
      </c>
    </row>
    <row r="105" spans="1:47" s="1480" customFormat="1" ht="40.5" customHeight="1">
      <c r="B105" s="2238" t="s">
        <v>32</v>
      </c>
      <c r="C105" s="2239" t="s">
        <v>31</v>
      </c>
      <c r="D105" s="2239" t="s">
        <v>30</v>
      </c>
      <c r="E105" s="2240" t="s">
        <v>242</v>
      </c>
      <c r="F105" s="2240"/>
      <c r="G105" s="2240"/>
      <c r="H105" s="2241" t="s">
        <v>29</v>
      </c>
      <c r="I105" s="2241"/>
      <c r="J105" s="2241"/>
      <c r="K105" s="2237" t="s">
        <v>243</v>
      </c>
      <c r="L105" s="2237"/>
      <c r="M105" s="2237"/>
      <c r="N105" s="2237"/>
      <c r="O105" s="2237"/>
      <c r="P105" s="2237"/>
      <c r="Q105" s="2237"/>
      <c r="R105" s="2237"/>
      <c r="S105" s="2237"/>
      <c r="T105" s="2237"/>
      <c r="U105" s="2237"/>
      <c r="V105" s="2237"/>
      <c r="W105" s="2237"/>
      <c r="X105" s="2237"/>
      <c r="Y105" s="2243" t="s">
        <v>27</v>
      </c>
      <c r="Z105" s="2243"/>
      <c r="AA105" s="2243"/>
      <c r="AB105" s="2243"/>
      <c r="AC105" s="2243"/>
      <c r="AD105" s="2243"/>
      <c r="AE105" s="2243"/>
      <c r="AF105" s="2243"/>
      <c r="AG105" s="1481"/>
      <c r="AH105" s="1531" t="s">
        <v>244</v>
      </c>
      <c r="AI105" s="1531" t="s">
        <v>245</v>
      </c>
      <c r="AJ105" s="1531" t="s">
        <v>246</v>
      </c>
      <c r="AK105" s="1539" t="s">
        <v>269</v>
      </c>
      <c r="AL105" s="1539" t="s">
        <v>270</v>
      </c>
      <c r="AM105" s="1539" t="s">
        <v>271</v>
      </c>
      <c r="AN105" s="1463" t="s">
        <v>272</v>
      </c>
      <c r="AO105" s="1463"/>
      <c r="AP105" s="1463"/>
      <c r="AQ105" s="1463"/>
      <c r="AR105" s="1465"/>
      <c r="AS105" s="1465"/>
      <c r="AT105" s="1540"/>
      <c r="AU105" s="1541"/>
    </row>
    <row r="106" spans="1:47" s="1480" customFormat="1" ht="33">
      <c r="B106" s="2238"/>
      <c r="C106" s="2239"/>
      <c r="D106" s="2239"/>
      <c r="E106" s="1542" t="s">
        <v>247</v>
      </c>
      <c r="F106" s="1543" t="s">
        <v>248</v>
      </c>
      <c r="G106" s="1544" t="s">
        <v>249</v>
      </c>
      <c r="H106" s="1482" t="s">
        <v>26</v>
      </c>
      <c r="I106" s="1483" t="s">
        <v>25</v>
      </c>
      <c r="J106" s="1484" t="s">
        <v>250</v>
      </c>
      <c r="K106" s="1485" t="s">
        <v>23</v>
      </c>
      <c r="L106" s="1485" t="s">
        <v>22</v>
      </c>
      <c r="M106" s="1485" t="s">
        <v>251</v>
      </c>
      <c r="N106" s="1485" t="s">
        <v>20</v>
      </c>
      <c r="O106" s="1485" t="s">
        <v>19</v>
      </c>
      <c r="P106" s="1485" t="s">
        <v>18</v>
      </c>
      <c r="Q106" s="1485" t="s">
        <v>17</v>
      </c>
      <c r="R106" s="1486" t="s">
        <v>16</v>
      </c>
      <c r="S106" s="1487" t="s">
        <v>15</v>
      </c>
      <c r="T106" s="1486" t="s">
        <v>14</v>
      </c>
      <c r="U106" s="1486" t="s">
        <v>13</v>
      </c>
      <c r="V106" s="1486" t="s">
        <v>12</v>
      </c>
      <c r="W106" s="1488" t="s">
        <v>3</v>
      </c>
      <c r="X106" s="1489" t="s">
        <v>11</v>
      </c>
      <c r="Y106" s="1490" t="s">
        <v>10</v>
      </c>
      <c r="Z106" s="1491" t="s">
        <v>9</v>
      </c>
      <c r="AA106" s="1492" t="s">
        <v>8</v>
      </c>
      <c r="AB106" s="1492" t="s">
        <v>7</v>
      </c>
      <c r="AC106" s="1492" t="s">
        <v>6</v>
      </c>
      <c r="AD106" s="1492" t="s">
        <v>5</v>
      </c>
      <c r="AE106" s="1492" t="s">
        <v>4</v>
      </c>
      <c r="AF106" s="1493" t="s">
        <v>3</v>
      </c>
      <c r="AG106" s="1481"/>
      <c r="AH106" s="1532"/>
      <c r="AI106" s="1533"/>
      <c r="AJ106" s="1534"/>
      <c r="AK106" s="1545"/>
      <c r="AL106" s="1545"/>
      <c r="AM106" s="1545"/>
      <c r="AO106" s="1463"/>
      <c r="AP106" s="1463"/>
      <c r="AQ106" s="1463"/>
      <c r="AR106" s="1463"/>
      <c r="AS106" s="1463"/>
      <c r="AT106" s="1469"/>
    </row>
    <row r="107" spans="1:47" s="1480" customFormat="1">
      <c r="B107" s="1494" t="s">
        <v>306</v>
      </c>
      <c r="C107" s="1495" t="s">
        <v>797</v>
      </c>
      <c r="D107" s="1496" t="s">
        <v>277</v>
      </c>
      <c r="E107" s="1496"/>
      <c r="F107" s="1496"/>
      <c r="G107" s="1546"/>
      <c r="H107" s="862">
        <f>I107+J107</f>
        <v>3623041.3000000003</v>
      </c>
      <c r="I107" s="863">
        <f>SUM(AI107:AJ107)</f>
        <v>2371861.7000000002</v>
      </c>
      <c r="J107" s="864">
        <f>AH107</f>
        <v>1251179.6000000001</v>
      </c>
      <c r="K107" s="1497">
        <v>4090265</v>
      </c>
      <c r="L107" s="865">
        <f>H107/K107</f>
        <v>0.88577177762321035</v>
      </c>
      <c r="M107" s="1497">
        <v>673236</v>
      </c>
      <c r="N107" s="866">
        <f>M107/K107</f>
        <v>0.16459471452338661</v>
      </c>
      <c r="O107" s="867">
        <f>P107/M107</f>
        <v>0.12059961142897885</v>
      </c>
      <c r="P107" s="1497">
        <v>81192</v>
      </c>
      <c r="Q107" s="1497">
        <v>56406</v>
      </c>
      <c r="R107" s="868">
        <f>Q107/P107</f>
        <v>0.69472361809045224</v>
      </c>
      <c r="S107" s="869">
        <f>H107/P107</f>
        <v>44.623131589319151</v>
      </c>
      <c r="T107" s="870">
        <f>H107/Q107</f>
        <v>64.231487784987422</v>
      </c>
      <c r="U107" s="871">
        <f t="shared" ref="U107:U116" si="29">X$85*Q107</f>
        <v>0</v>
      </c>
      <c r="V107" s="872">
        <f>U107/H107</f>
        <v>0</v>
      </c>
      <c r="W107" s="1498">
        <v>490</v>
      </c>
      <c r="X107" s="2229">
        <v>1015</v>
      </c>
      <c r="Y107" s="1499">
        <v>30561</v>
      </c>
      <c r="Z107" s="1497">
        <v>23259</v>
      </c>
      <c r="AA107" s="867">
        <f>Z107/Y107</f>
        <v>0.7610680278786689</v>
      </c>
      <c r="AB107" s="869">
        <f>H107/Y107</f>
        <v>118.55113707012207</v>
      </c>
      <c r="AC107" s="873">
        <f>H107/Z107</f>
        <v>155.76943548733826</v>
      </c>
      <c r="AD107" s="874">
        <f>Z107*AF107</f>
        <v>11396910</v>
      </c>
      <c r="AE107" s="903">
        <f>AD107/H107</f>
        <v>3.1456748781748636</v>
      </c>
      <c r="AF107" s="1500">
        <f>W107</f>
        <v>490</v>
      </c>
      <c r="AG107" s="876" t="s">
        <v>257</v>
      </c>
      <c r="AH107" s="1535">
        <v>1251179.6000000001</v>
      </c>
      <c r="AI107" s="1535">
        <v>0</v>
      </c>
      <c r="AJ107" s="1535">
        <v>2371861.7000000002</v>
      </c>
      <c r="AK107" s="1547">
        <v>1272000</v>
      </c>
      <c r="AL107" s="1547">
        <v>0</v>
      </c>
      <c r="AM107" s="1547">
        <v>2850000</v>
      </c>
      <c r="AN107" s="1480" t="s">
        <v>278</v>
      </c>
      <c r="AO107" s="1463"/>
      <c r="AP107" s="1463"/>
      <c r="AQ107" s="1463"/>
      <c r="AR107" s="899"/>
      <c r="AS107" s="899"/>
      <c r="AT107" s="899"/>
      <c r="AU107" s="904"/>
    </row>
    <row r="108" spans="1:47" s="1480" customFormat="1">
      <c r="B108" s="1494" t="s">
        <v>306</v>
      </c>
      <c r="C108" s="1495" t="s">
        <v>803</v>
      </c>
      <c r="D108" s="1496" t="s">
        <v>277</v>
      </c>
      <c r="E108" s="1496"/>
      <c r="F108" s="1496"/>
      <c r="G108" s="1548"/>
      <c r="H108" s="862">
        <f>I108+J108</f>
        <v>4754625.08</v>
      </c>
      <c r="I108" s="863">
        <f t="shared" ref="I108:I116" si="30">SUM(AI108:AJ108)</f>
        <v>2677029.7799999998</v>
      </c>
      <c r="J108" s="864">
        <f t="shared" ref="J108:J116" si="31">AH108</f>
        <v>2077595.3</v>
      </c>
      <c r="K108" s="1497">
        <v>5357280</v>
      </c>
      <c r="L108" s="865">
        <f t="shared" ref="L108:L117" si="32">H108/K108</f>
        <v>0.88750729474658785</v>
      </c>
      <c r="M108" s="1497">
        <v>763568</v>
      </c>
      <c r="N108" s="866">
        <f t="shared" ref="N108:N118" si="33">M108/K108</f>
        <v>0.14252904458979185</v>
      </c>
      <c r="O108" s="867">
        <f t="shared" ref="O108:O118" si="34">P108/M108</f>
        <v>8.3765951428032601E-2</v>
      </c>
      <c r="P108" s="1497">
        <v>63961</v>
      </c>
      <c r="Q108" s="1497">
        <v>47206</v>
      </c>
      <c r="R108" s="868">
        <f t="shared" ref="R108:R118" si="35">Q108/P108</f>
        <v>0.73804349525492097</v>
      </c>
      <c r="S108" s="869">
        <f t="shared" ref="S108:S117" si="36">H108/P108</f>
        <v>74.336315567298826</v>
      </c>
      <c r="T108" s="870">
        <f t="shared" ref="T108:T117" si="37">H108/Q108</f>
        <v>100.72077871457019</v>
      </c>
      <c r="U108" s="871">
        <f t="shared" si="29"/>
        <v>0</v>
      </c>
      <c r="V108" s="872">
        <f t="shared" ref="V108:V117" si="38">U108/H108</f>
        <v>0</v>
      </c>
      <c r="W108" s="1498">
        <v>490</v>
      </c>
      <c r="X108" s="2229"/>
      <c r="Y108" s="1499">
        <v>731</v>
      </c>
      <c r="Z108" s="1497">
        <v>582</v>
      </c>
      <c r="AA108" s="867">
        <f>Z108/Y108</f>
        <v>0.79616963064295487</v>
      </c>
      <c r="AB108" s="869">
        <f t="shared" ref="AB108:AB117" si="39">H108/Y108</f>
        <v>6504.2750752393986</v>
      </c>
      <c r="AC108" s="873">
        <f t="shared" ref="AC108:AC117" si="40">H108/Z108</f>
        <v>8169.4589003436431</v>
      </c>
      <c r="AD108" s="874">
        <f>Z108*AF108</f>
        <v>285180</v>
      </c>
      <c r="AE108" s="903">
        <f>AD108/H108</f>
        <v>5.9979492641720554E-2</v>
      </c>
      <c r="AF108" s="1500">
        <v>490</v>
      </c>
      <c r="AG108" s="876" t="s">
        <v>279</v>
      </c>
      <c r="AH108" s="1535">
        <v>2077595.3</v>
      </c>
      <c r="AI108" s="1535">
        <v>0</v>
      </c>
      <c r="AJ108" s="1535">
        <v>2677029.7799999998</v>
      </c>
      <c r="AK108" s="1547">
        <v>2077595.3</v>
      </c>
      <c r="AL108" s="1547">
        <v>0</v>
      </c>
      <c r="AM108" s="1547">
        <v>3200000</v>
      </c>
      <c r="AN108" s="1480" t="s">
        <v>280</v>
      </c>
      <c r="AO108" s="1463"/>
      <c r="AP108" s="1463"/>
      <c r="AQ108" s="1463"/>
      <c r="AR108" s="899"/>
      <c r="AS108" s="899"/>
      <c r="AT108" s="899"/>
      <c r="AU108" s="904"/>
    </row>
    <row r="109" spans="1:47" s="1480" customFormat="1">
      <c r="B109" s="1494" t="s">
        <v>306</v>
      </c>
      <c r="C109" s="1495" t="s">
        <v>804</v>
      </c>
      <c r="D109" s="1496" t="s">
        <v>281</v>
      </c>
      <c r="E109" s="1549"/>
      <c r="F109" s="1549"/>
      <c r="G109" s="1550"/>
      <c r="H109" s="862">
        <f t="shared" ref="H109:H117" si="41">I109+J109</f>
        <v>8888601.5142857134</v>
      </c>
      <c r="I109" s="863">
        <f t="shared" si="30"/>
        <v>4794776.614285714</v>
      </c>
      <c r="J109" s="864">
        <f t="shared" si="31"/>
        <v>4093824.9</v>
      </c>
      <c r="K109" s="1497">
        <v>9978091</v>
      </c>
      <c r="L109" s="865">
        <f t="shared" si="32"/>
        <v>0.89081183106926098</v>
      </c>
      <c r="M109" s="1497">
        <v>1216854</v>
      </c>
      <c r="N109" s="866">
        <f t="shared" si="33"/>
        <v>0.12195258592049321</v>
      </c>
      <c r="O109" s="867">
        <f t="shared" si="34"/>
        <v>7.7297687314994243E-2</v>
      </c>
      <c r="P109" s="1497">
        <v>94060</v>
      </c>
      <c r="Q109" s="1497">
        <v>67676</v>
      </c>
      <c r="R109" s="868">
        <f t="shared" si="35"/>
        <v>0.71949819264299386</v>
      </c>
      <c r="S109" s="869">
        <f t="shared" si="36"/>
        <v>94.499271893320369</v>
      </c>
      <c r="T109" s="870">
        <f t="shared" si="37"/>
        <v>131.34052713348476</v>
      </c>
      <c r="U109" s="871">
        <f t="shared" si="29"/>
        <v>0</v>
      </c>
      <c r="V109" s="872">
        <f t="shared" si="38"/>
        <v>0</v>
      </c>
      <c r="W109" s="1498">
        <v>1300</v>
      </c>
      <c r="X109" s="2229"/>
      <c r="Y109" s="1499">
        <v>4027</v>
      </c>
      <c r="Z109" s="1497">
        <v>2402</v>
      </c>
      <c r="AA109" s="867">
        <f t="shared" ref="AA109:AA117" si="42">Z109/Y109</f>
        <v>0.59647380183759624</v>
      </c>
      <c r="AB109" s="869">
        <f t="shared" si="39"/>
        <v>2207.2514314094146</v>
      </c>
      <c r="AC109" s="873">
        <f t="shared" si="40"/>
        <v>3700.5002141072914</v>
      </c>
      <c r="AD109" s="874">
        <f t="shared" ref="AD109:AD117" si="43">Z109*AF109</f>
        <v>3122600</v>
      </c>
      <c r="AE109" s="903">
        <f t="shared" ref="AE109:AE117" si="44">AD109/H109</f>
        <v>0.35130385752824828</v>
      </c>
      <c r="AF109" s="1500">
        <f t="shared" ref="AF109:AF116" si="45">W109</f>
        <v>1300</v>
      </c>
      <c r="AG109" s="876" t="s">
        <v>282</v>
      </c>
      <c r="AH109" s="1535">
        <v>4093824.9</v>
      </c>
      <c r="AI109" s="1535">
        <v>994291.71428571397</v>
      </c>
      <c r="AJ109" s="1535">
        <v>3800484.9</v>
      </c>
      <c r="AK109" s="905">
        <v>4126781.4072286701</v>
      </c>
      <c r="AL109" s="1547">
        <v>994291.71428571397</v>
      </c>
      <c r="AM109" s="1547">
        <v>3877819.2</v>
      </c>
      <c r="AN109" s="1480" t="s">
        <v>283</v>
      </c>
      <c r="AO109" s="1463"/>
      <c r="AP109" s="1463"/>
      <c r="AQ109" s="1463"/>
      <c r="AR109" s="899"/>
      <c r="AS109" s="899"/>
      <c r="AT109" s="899"/>
      <c r="AU109" s="904"/>
    </row>
    <row r="110" spans="1:47" s="1480" customFormat="1">
      <c r="B110" s="1494" t="s">
        <v>306</v>
      </c>
      <c r="C110" s="1495" t="s">
        <v>805</v>
      </c>
      <c r="D110" s="1496" t="s">
        <v>284</v>
      </c>
      <c r="E110" s="1549"/>
      <c r="F110" s="1549"/>
      <c r="G110" s="1550"/>
      <c r="H110" s="862">
        <f t="shared" si="41"/>
        <v>3951704.4890617188</v>
      </c>
      <c r="I110" s="863">
        <f t="shared" si="30"/>
        <v>1703526.489061719</v>
      </c>
      <c r="J110" s="864">
        <f t="shared" si="31"/>
        <v>2248178</v>
      </c>
      <c r="K110" s="1497">
        <v>5471503</v>
      </c>
      <c r="L110" s="865">
        <f t="shared" si="32"/>
        <v>0.72223381565571998</v>
      </c>
      <c r="M110" s="1497">
        <v>458772</v>
      </c>
      <c r="N110" s="866">
        <f t="shared" si="33"/>
        <v>8.3847527818224715E-2</v>
      </c>
      <c r="O110" s="867">
        <f t="shared" si="34"/>
        <v>5.7527486420269766E-2</v>
      </c>
      <c r="P110" s="1497">
        <v>26392</v>
      </c>
      <c r="Q110" s="1497">
        <v>18710</v>
      </c>
      <c r="R110" s="868">
        <f t="shared" si="35"/>
        <v>0.70892694755986663</v>
      </c>
      <c r="S110" s="869">
        <f t="shared" si="36"/>
        <v>149.73114917633066</v>
      </c>
      <c r="T110" s="870">
        <f t="shared" si="37"/>
        <v>211.20815013691708</v>
      </c>
      <c r="U110" s="871">
        <f t="shared" si="29"/>
        <v>0</v>
      </c>
      <c r="V110" s="872">
        <f t="shared" si="38"/>
        <v>0</v>
      </c>
      <c r="W110" s="1498">
        <v>990</v>
      </c>
      <c r="X110" s="2229"/>
      <c r="Y110" s="1499">
        <v>4958</v>
      </c>
      <c r="Z110" s="1497">
        <v>3624</v>
      </c>
      <c r="AA110" s="867">
        <f t="shared" si="42"/>
        <v>0.73093989511899959</v>
      </c>
      <c r="AB110" s="869">
        <f t="shared" si="39"/>
        <v>797.03600021414252</v>
      </c>
      <c r="AC110" s="873">
        <f t="shared" si="40"/>
        <v>1090.4261835159268</v>
      </c>
      <c r="AD110" s="874">
        <f t="shared" si="43"/>
        <v>3587760</v>
      </c>
      <c r="AE110" s="903">
        <f t="shared" si="44"/>
        <v>0.90790189649324393</v>
      </c>
      <c r="AF110" s="1500">
        <f t="shared" si="45"/>
        <v>990</v>
      </c>
      <c r="AG110" s="876" t="s">
        <v>282</v>
      </c>
      <c r="AH110" s="1535">
        <v>2248178</v>
      </c>
      <c r="AI110" s="1535">
        <v>114811.489061719</v>
      </c>
      <c r="AJ110" s="1535">
        <v>1588715</v>
      </c>
      <c r="AK110" s="1547">
        <v>2200000</v>
      </c>
      <c r="AL110" s="1547">
        <v>114811.489061719</v>
      </c>
      <c r="AM110" s="1547">
        <v>2000000</v>
      </c>
      <c r="AN110" s="1480" t="s">
        <v>285</v>
      </c>
      <c r="AO110" s="1463"/>
      <c r="AP110" s="1463"/>
      <c r="AQ110" s="1463"/>
      <c r="AR110" s="899"/>
      <c r="AS110" s="899"/>
      <c r="AT110" s="899"/>
      <c r="AU110" s="904"/>
    </row>
    <row r="111" spans="1:47" s="1480" customFormat="1">
      <c r="B111" s="1494" t="s">
        <v>306</v>
      </c>
      <c r="C111" s="1495" t="s">
        <v>806</v>
      </c>
      <c r="D111" s="1496" t="s">
        <v>277</v>
      </c>
      <c r="E111" s="1549"/>
      <c r="F111" s="1549"/>
      <c r="G111" s="1550"/>
      <c r="H111" s="862">
        <f t="shared" si="41"/>
        <v>3689406.4</v>
      </c>
      <c r="I111" s="863">
        <f t="shared" si="30"/>
        <v>2733076.4</v>
      </c>
      <c r="J111" s="864">
        <f t="shared" si="31"/>
        <v>956330</v>
      </c>
      <c r="K111" s="1497">
        <v>2297424</v>
      </c>
      <c r="L111" s="865">
        <f t="shared" si="32"/>
        <v>1.6058883340645871</v>
      </c>
      <c r="M111" s="1497">
        <v>363047</v>
      </c>
      <c r="N111" s="866">
        <f t="shared" si="33"/>
        <v>0.15802350806816678</v>
      </c>
      <c r="O111" s="867">
        <f t="shared" si="34"/>
        <v>0.12254336215421144</v>
      </c>
      <c r="P111" s="1497">
        <v>44489</v>
      </c>
      <c r="Q111" s="1497">
        <v>28551</v>
      </c>
      <c r="R111" s="868">
        <f t="shared" si="35"/>
        <v>0.64175414147317311</v>
      </c>
      <c r="S111" s="869">
        <f t="shared" si="36"/>
        <v>82.928508170559013</v>
      </c>
      <c r="T111" s="870">
        <f t="shared" si="37"/>
        <v>129.22161745648137</v>
      </c>
      <c r="U111" s="871">
        <f t="shared" si="29"/>
        <v>0</v>
      </c>
      <c r="V111" s="872">
        <f t="shared" si="38"/>
        <v>0</v>
      </c>
      <c r="W111" s="1498">
        <v>720</v>
      </c>
      <c r="X111" s="2229"/>
      <c r="Y111" s="1499">
        <v>1843</v>
      </c>
      <c r="Z111" s="1497">
        <v>1236</v>
      </c>
      <c r="AA111" s="867">
        <f t="shared" si="42"/>
        <v>0.67064568638090072</v>
      </c>
      <c r="AB111" s="869">
        <f t="shared" si="39"/>
        <v>2001.8482908301683</v>
      </c>
      <c r="AC111" s="873">
        <f t="shared" si="40"/>
        <v>2984.956634304207</v>
      </c>
      <c r="AD111" s="874">
        <f t="shared" si="43"/>
        <v>889920</v>
      </c>
      <c r="AE111" s="903">
        <f t="shared" si="44"/>
        <v>0.241209534411823</v>
      </c>
      <c r="AF111" s="1500">
        <f t="shared" si="45"/>
        <v>720</v>
      </c>
      <c r="AG111" s="876" t="s">
        <v>282</v>
      </c>
      <c r="AH111" s="1535">
        <v>956330</v>
      </c>
      <c r="AI111" s="1551"/>
      <c r="AJ111" s="1535">
        <v>2733076.4</v>
      </c>
      <c r="AK111" s="1547">
        <v>965240</v>
      </c>
      <c r="AL111" s="1547"/>
      <c r="AM111" s="1547">
        <v>3040000</v>
      </c>
      <c r="AN111" s="1480" t="s">
        <v>286</v>
      </c>
      <c r="AO111" s="1463"/>
      <c r="AP111" s="1463"/>
      <c r="AQ111" s="1463"/>
      <c r="AR111" s="899"/>
      <c r="AS111" s="899"/>
      <c r="AT111" s="899"/>
      <c r="AU111" s="904"/>
    </row>
    <row r="112" spans="1:47" s="1480" customFormat="1">
      <c r="B112" s="1494" t="s">
        <v>306</v>
      </c>
      <c r="C112" s="1495" t="s">
        <v>807</v>
      </c>
      <c r="D112" s="1496" t="s">
        <v>284</v>
      </c>
      <c r="E112" s="1549"/>
      <c r="F112" s="1549"/>
      <c r="G112" s="1550"/>
      <c r="H112" s="862">
        <f t="shared" si="41"/>
        <v>6517934.8600000003</v>
      </c>
      <c r="I112" s="863">
        <f t="shared" si="30"/>
        <v>3325864.66</v>
      </c>
      <c r="J112" s="864">
        <f t="shared" si="31"/>
        <v>3192070.2</v>
      </c>
      <c r="K112" s="1497">
        <v>3546629</v>
      </c>
      <c r="L112" s="865">
        <f t="shared" si="32"/>
        <v>1.8377831061551688</v>
      </c>
      <c r="M112" s="1497">
        <v>508742</v>
      </c>
      <c r="N112" s="866">
        <f t="shared" si="33"/>
        <v>0.14344381664955652</v>
      </c>
      <c r="O112" s="867">
        <f t="shared" si="34"/>
        <v>9.6095859984039064E-2</v>
      </c>
      <c r="P112" s="1497">
        <v>48888</v>
      </c>
      <c r="Q112" s="1552">
        <v>34557</v>
      </c>
      <c r="R112" s="868">
        <f t="shared" si="35"/>
        <v>0.70686057928325974</v>
      </c>
      <c r="S112" s="869">
        <f t="shared" si="36"/>
        <v>133.32381893307152</v>
      </c>
      <c r="T112" s="870">
        <f t="shared" si="37"/>
        <v>188.61402494429495</v>
      </c>
      <c r="U112" s="871">
        <f t="shared" si="29"/>
        <v>0</v>
      </c>
      <c r="V112" s="872">
        <f t="shared" si="38"/>
        <v>0</v>
      </c>
      <c r="W112" s="1498">
        <v>1820</v>
      </c>
      <c r="X112" s="2229"/>
      <c r="Y112" s="1499">
        <v>3464</v>
      </c>
      <c r="Z112" s="1497">
        <v>2129</v>
      </c>
      <c r="AA112" s="867">
        <f t="shared" si="42"/>
        <v>0.61460739030023093</v>
      </c>
      <c r="AB112" s="869">
        <f t="shared" si="39"/>
        <v>1881.6209180138569</v>
      </c>
      <c r="AC112" s="873">
        <f t="shared" si="40"/>
        <v>3061.5006387975577</v>
      </c>
      <c r="AD112" s="874">
        <f t="shared" si="43"/>
        <v>3874780</v>
      </c>
      <c r="AE112" s="903">
        <f t="shared" si="44"/>
        <v>0.59447970610740342</v>
      </c>
      <c r="AF112" s="1500">
        <f t="shared" si="45"/>
        <v>1820</v>
      </c>
      <c r="AG112" s="876" t="s">
        <v>257</v>
      </c>
      <c r="AH112" s="1535">
        <v>3192070.2</v>
      </c>
      <c r="AI112" s="1535">
        <v>0</v>
      </c>
      <c r="AJ112" s="1535">
        <v>3325864.66</v>
      </c>
      <c r="AK112" s="905">
        <v>3699671.0326</v>
      </c>
      <c r="AL112" s="1547">
        <v>0</v>
      </c>
      <c r="AM112" s="1547">
        <v>3295631.16</v>
      </c>
      <c r="AN112" s="1480" t="s">
        <v>287</v>
      </c>
      <c r="AO112" s="1463"/>
      <c r="AP112" s="1463"/>
      <c r="AQ112" s="1463"/>
      <c r="AR112" s="899"/>
      <c r="AS112" s="899"/>
      <c r="AT112" s="899"/>
      <c r="AU112" s="904"/>
    </row>
    <row r="113" spans="2:47" s="1480" customFormat="1">
      <c r="B113" s="1494" t="s">
        <v>306</v>
      </c>
      <c r="C113" s="1495" t="s">
        <v>808</v>
      </c>
      <c r="D113" s="1496" t="s">
        <v>284</v>
      </c>
      <c r="E113" s="1549"/>
      <c r="F113" s="1549"/>
      <c r="G113" s="1549"/>
      <c r="H113" s="862">
        <f t="shared" si="41"/>
        <v>9992137.9457142875</v>
      </c>
      <c r="I113" s="906">
        <f t="shared" si="30"/>
        <v>5116430.9457142865</v>
      </c>
      <c r="J113" s="907">
        <f t="shared" si="31"/>
        <v>4875707</v>
      </c>
      <c r="K113" s="1497">
        <v>9969892</v>
      </c>
      <c r="L113" s="865">
        <f t="shared" si="32"/>
        <v>1.0022313126074271</v>
      </c>
      <c r="M113" s="1497">
        <v>997503</v>
      </c>
      <c r="N113" s="866">
        <f t="shared" si="33"/>
        <v>0.10005153516206595</v>
      </c>
      <c r="O113" s="867">
        <f t="shared" si="34"/>
        <v>7.5505537326704786E-2</v>
      </c>
      <c r="P113" s="1497">
        <v>75317</v>
      </c>
      <c r="Q113" s="1497">
        <v>53949</v>
      </c>
      <c r="R113" s="868">
        <f t="shared" si="35"/>
        <v>0.71629247049138978</v>
      </c>
      <c r="S113" s="869">
        <f t="shared" si="36"/>
        <v>132.66776352900789</v>
      </c>
      <c r="T113" s="870">
        <f t="shared" si="37"/>
        <v>185.21451640835394</v>
      </c>
      <c r="U113" s="871">
        <f t="shared" si="29"/>
        <v>0</v>
      </c>
      <c r="V113" s="872">
        <f t="shared" si="38"/>
        <v>0</v>
      </c>
      <c r="W113" s="1553">
        <v>1400</v>
      </c>
      <c r="X113" s="2229"/>
      <c r="Y113" s="1499">
        <v>5510</v>
      </c>
      <c r="Z113" s="1497">
        <v>3609</v>
      </c>
      <c r="AA113" s="867">
        <f t="shared" si="42"/>
        <v>0.65499092558983663</v>
      </c>
      <c r="AB113" s="869">
        <f t="shared" si="39"/>
        <v>1813.4551625615766</v>
      </c>
      <c r="AC113" s="873">
        <f t="shared" si="40"/>
        <v>2768.6721933262088</v>
      </c>
      <c r="AD113" s="874">
        <f t="shared" si="43"/>
        <v>5052600</v>
      </c>
      <c r="AE113" s="903">
        <f t="shared" si="44"/>
        <v>0.50565755071136731</v>
      </c>
      <c r="AF113" s="1500">
        <f t="shared" si="45"/>
        <v>1400</v>
      </c>
      <c r="AG113" s="876" t="s">
        <v>288</v>
      </c>
      <c r="AH113" s="1535">
        <v>4875707</v>
      </c>
      <c r="AI113" s="1535">
        <v>650332.28571428603</v>
      </c>
      <c r="AJ113" s="1535">
        <v>4466098.66</v>
      </c>
      <c r="AK113" s="909">
        <v>4891293</v>
      </c>
      <c r="AL113" s="1547">
        <v>650332.28571428603</v>
      </c>
      <c r="AM113" s="1547">
        <v>5067566.9504000004</v>
      </c>
      <c r="AN113" s="1480" t="s">
        <v>289</v>
      </c>
      <c r="AO113" s="1463"/>
      <c r="AP113" s="1463"/>
      <c r="AQ113" s="1463"/>
      <c r="AR113" s="899"/>
      <c r="AS113" s="899"/>
      <c r="AT113" s="899"/>
      <c r="AU113" s="904"/>
    </row>
    <row r="114" spans="2:47" s="1480" customFormat="1">
      <c r="B114" s="1494" t="s">
        <v>306</v>
      </c>
      <c r="C114" s="1554" t="s">
        <v>809</v>
      </c>
      <c r="D114" s="1496" t="s">
        <v>284</v>
      </c>
      <c r="E114" s="1555"/>
      <c r="F114" s="1555"/>
      <c r="G114" s="1556"/>
      <c r="H114" s="862">
        <f t="shared" si="41"/>
        <v>6767204.3399999999</v>
      </c>
      <c r="I114" s="906">
        <f t="shared" si="30"/>
        <v>5202709</v>
      </c>
      <c r="J114" s="907">
        <f t="shared" si="31"/>
        <v>1564495.34</v>
      </c>
      <c r="K114" s="1497">
        <v>5902801</v>
      </c>
      <c r="L114" s="865">
        <f t="shared" si="32"/>
        <v>1.1464395191367622</v>
      </c>
      <c r="M114" s="1497">
        <v>646576</v>
      </c>
      <c r="N114" s="866">
        <f t="shared" si="33"/>
        <v>0.10953715024443481</v>
      </c>
      <c r="O114" s="867">
        <f t="shared" si="34"/>
        <v>8.2452797505629657E-2</v>
      </c>
      <c r="P114" s="1497">
        <v>53312</v>
      </c>
      <c r="Q114" s="1497">
        <v>36549</v>
      </c>
      <c r="R114" s="868">
        <f t="shared" si="35"/>
        <v>0.68556797719087637</v>
      </c>
      <c r="S114" s="869">
        <f t="shared" si="36"/>
        <v>126.93585571728691</v>
      </c>
      <c r="T114" s="870">
        <f t="shared" si="37"/>
        <v>185.15429532955758</v>
      </c>
      <c r="U114" s="871">
        <f t="shared" si="29"/>
        <v>0</v>
      </c>
      <c r="V114" s="872">
        <f t="shared" si="38"/>
        <v>0</v>
      </c>
      <c r="W114" s="1557">
        <v>930</v>
      </c>
      <c r="X114" s="2229"/>
      <c r="Y114" s="1499">
        <v>14750</v>
      </c>
      <c r="Z114" s="1497">
        <v>10036</v>
      </c>
      <c r="AA114" s="867">
        <f t="shared" si="42"/>
        <v>0.68040677966101692</v>
      </c>
      <c r="AB114" s="869">
        <f t="shared" si="39"/>
        <v>458.79351457627115</v>
      </c>
      <c r="AC114" s="873">
        <f t="shared" si="40"/>
        <v>674.29297927461141</v>
      </c>
      <c r="AD114" s="874">
        <f t="shared" si="43"/>
        <v>9333480</v>
      </c>
      <c r="AE114" s="903">
        <f t="shared" si="44"/>
        <v>1.3792224279132674</v>
      </c>
      <c r="AF114" s="1500">
        <f t="shared" si="45"/>
        <v>930</v>
      </c>
      <c r="AG114" s="876" t="s">
        <v>290</v>
      </c>
      <c r="AH114" s="1535">
        <v>1564495.34</v>
      </c>
      <c r="AI114" s="1535">
        <v>287905</v>
      </c>
      <c r="AJ114" s="1535">
        <v>4914804</v>
      </c>
      <c r="AK114" s="1547">
        <v>1079914.22</v>
      </c>
      <c r="AL114" s="1547">
        <v>287905</v>
      </c>
      <c r="AM114" s="1547">
        <v>5523660</v>
      </c>
      <c r="AN114" s="1480" t="s">
        <v>291</v>
      </c>
      <c r="AO114" s="1463"/>
      <c r="AP114" s="1463"/>
      <c r="AQ114" s="1463"/>
      <c r="AR114" s="899"/>
      <c r="AS114" s="899"/>
      <c r="AT114" s="899"/>
      <c r="AU114" s="904"/>
    </row>
    <row r="115" spans="2:47" s="1480" customFormat="1">
      <c r="B115" s="1494" t="s">
        <v>306</v>
      </c>
      <c r="C115" s="1554" t="s">
        <v>810</v>
      </c>
      <c r="D115" s="1496" t="s">
        <v>277</v>
      </c>
      <c r="E115" s="1558"/>
      <c r="F115" s="1558"/>
      <c r="G115" s="1559"/>
      <c r="H115" s="862">
        <f t="shared" si="41"/>
        <v>2147881.06</v>
      </c>
      <c r="I115" s="863">
        <f t="shared" si="30"/>
        <v>1685137</v>
      </c>
      <c r="J115" s="864">
        <f t="shared" si="31"/>
        <v>462744.06</v>
      </c>
      <c r="K115" s="1497">
        <v>2628285</v>
      </c>
      <c r="L115" s="865">
        <f t="shared" si="32"/>
        <v>0.81721771421288025</v>
      </c>
      <c r="M115" s="1497">
        <v>371510</v>
      </c>
      <c r="N115" s="866">
        <f t="shared" si="33"/>
        <v>0.1413507287071227</v>
      </c>
      <c r="O115" s="867">
        <f t="shared" si="34"/>
        <v>7.8172862103308122E-2</v>
      </c>
      <c r="P115" s="1497">
        <v>29042</v>
      </c>
      <c r="Q115" s="1497">
        <v>19987</v>
      </c>
      <c r="R115" s="868">
        <f t="shared" si="35"/>
        <v>0.68821017836237175</v>
      </c>
      <c r="S115" s="869">
        <f t="shared" si="36"/>
        <v>73.957752909579227</v>
      </c>
      <c r="T115" s="870">
        <f t="shared" si="37"/>
        <v>107.46390453794967</v>
      </c>
      <c r="U115" s="871">
        <f t="shared" si="29"/>
        <v>0</v>
      </c>
      <c r="V115" s="872">
        <f t="shared" si="38"/>
        <v>0</v>
      </c>
      <c r="W115" s="1557">
        <v>1650</v>
      </c>
      <c r="X115" s="2229"/>
      <c r="Y115" s="1499">
        <v>2076</v>
      </c>
      <c r="Z115" s="1497">
        <v>1509</v>
      </c>
      <c r="AA115" s="867">
        <f t="shared" si="42"/>
        <v>0.72687861271676302</v>
      </c>
      <c r="AB115" s="869">
        <f t="shared" si="39"/>
        <v>1034.6247880539499</v>
      </c>
      <c r="AC115" s="873">
        <f t="shared" si="40"/>
        <v>1423.380424121935</v>
      </c>
      <c r="AD115" s="874">
        <f t="shared" si="43"/>
        <v>2489850</v>
      </c>
      <c r="AE115" s="903">
        <f t="shared" si="44"/>
        <v>1.1592122331019576</v>
      </c>
      <c r="AF115" s="1500">
        <f t="shared" si="45"/>
        <v>1650</v>
      </c>
      <c r="AG115" s="876" t="s">
        <v>292</v>
      </c>
      <c r="AH115" s="1535">
        <v>462744.06</v>
      </c>
      <c r="AI115" s="1535">
        <v>0</v>
      </c>
      <c r="AJ115" s="1535">
        <v>1685137</v>
      </c>
      <c r="AK115" s="1547">
        <v>600000</v>
      </c>
      <c r="AL115" s="1547"/>
      <c r="AM115" s="1547">
        <v>2254461</v>
      </c>
      <c r="AN115" s="1480" t="s">
        <v>293</v>
      </c>
      <c r="AO115" s="1463"/>
      <c r="AP115" s="1463"/>
      <c r="AQ115" s="1463"/>
      <c r="AR115" s="899"/>
      <c r="AS115" s="899"/>
      <c r="AT115" s="899"/>
      <c r="AU115" s="904"/>
    </row>
    <row r="116" spans="2:47" s="1480" customFormat="1">
      <c r="B116" s="1494" t="s">
        <v>306</v>
      </c>
      <c r="C116" s="1560" t="s">
        <v>811</v>
      </c>
      <c r="D116" s="1496" t="s">
        <v>294</v>
      </c>
      <c r="E116" s="1561"/>
      <c r="F116" s="1561"/>
      <c r="G116" s="1562"/>
      <c r="H116" s="862">
        <f t="shared" si="41"/>
        <v>3947299.58</v>
      </c>
      <c r="I116" s="863">
        <f t="shared" si="30"/>
        <v>3341623</v>
      </c>
      <c r="J116" s="864">
        <f t="shared" si="31"/>
        <v>605676.57999999996</v>
      </c>
      <c r="K116" s="1497">
        <v>2020199</v>
      </c>
      <c r="L116" s="865">
        <f t="shared" si="32"/>
        <v>1.9539162132047387</v>
      </c>
      <c r="M116" s="1497">
        <v>252555</v>
      </c>
      <c r="N116" s="866">
        <f t="shared" si="33"/>
        <v>0.12501491189729327</v>
      </c>
      <c r="O116" s="867">
        <f t="shared" si="34"/>
        <v>7.4130387440359533E-2</v>
      </c>
      <c r="P116" s="1497">
        <v>18722</v>
      </c>
      <c r="Q116" s="1497">
        <v>13003</v>
      </c>
      <c r="R116" s="868">
        <f t="shared" si="35"/>
        <v>0.69453049887832496</v>
      </c>
      <c r="S116" s="869">
        <f t="shared" si="36"/>
        <v>210.83749492575581</v>
      </c>
      <c r="T116" s="870">
        <f t="shared" si="37"/>
        <v>303.56837499038681</v>
      </c>
      <c r="U116" s="871">
        <f t="shared" si="29"/>
        <v>0</v>
      </c>
      <c r="V116" s="872">
        <f t="shared" si="38"/>
        <v>0</v>
      </c>
      <c r="W116" s="1557">
        <v>1380</v>
      </c>
      <c r="X116" s="2229"/>
      <c r="Y116" s="1563">
        <v>548</v>
      </c>
      <c r="Z116" s="1564">
        <v>370</v>
      </c>
      <c r="AA116" s="867">
        <f t="shared" si="42"/>
        <v>0.67518248175182483</v>
      </c>
      <c r="AB116" s="869">
        <f t="shared" si="39"/>
        <v>7203.1014233576643</v>
      </c>
      <c r="AC116" s="873">
        <f t="shared" si="40"/>
        <v>10668.377243243243</v>
      </c>
      <c r="AD116" s="874">
        <f t="shared" si="43"/>
        <v>510600</v>
      </c>
      <c r="AE116" s="903">
        <f t="shared" si="44"/>
        <v>0.12935425590372848</v>
      </c>
      <c r="AF116" s="1500">
        <f t="shared" si="45"/>
        <v>1380</v>
      </c>
      <c r="AG116" s="876" t="s">
        <v>290</v>
      </c>
      <c r="AH116" s="1535">
        <v>605676.57999999996</v>
      </c>
      <c r="AI116" s="1535">
        <v>0</v>
      </c>
      <c r="AJ116" s="1535">
        <v>3341623</v>
      </c>
      <c r="AK116" s="1547">
        <v>605676.57999999996</v>
      </c>
      <c r="AL116" s="1547"/>
      <c r="AM116" s="1547">
        <v>4178944</v>
      </c>
      <c r="AN116" s="1480" t="s">
        <v>295</v>
      </c>
      <c r="AO116" s="1463"/>
      <c r="AP116" s="1463"/>
      <c r="AQ116" s="1463"/>
      <c r="AR116" s="899"/>
      <c r="AS116" s="899"/>
      <c r="AT116" s="899"/>
      <c r="AU116" s="904"/>
    </row>
    <row r="117" spans="2:47" s="1480" customFormat="1">
      <c r="B117" s="1502"/>
      <c r="C117" s="1503" t="s">
        <v>0</v>
      </c>
      <c r="D117" s="1503"/>
      <c r="E117" s="1503"/>
      <c r="F117" s="1503"/>
      <c r="G117" s="1565"/>
      <c r="H117" s="882">
        <f t="shared" si="41"/>
        <v>54279836.569061719</v>
      </c>
      <c r="I117" s="883">
        <f>SUM(I107:I116)</f>
        <v>32952035.589061722</v>
      </c>
      <c r="J117" s="884">
        <f>SUM(J107:J116)</f>
        <v>21327800.979999997</v>
      </c>
      <c r="K117" s="885">
        <f>SUM(K107:K116)</f>
        <v>51262369</v>
      </c>
      <c r="L117" s="886">
        <f t="shared" si="32"/>
        <v>1.0588632095614177</v>
      </c>
      <c r="M117" s="883">
        <f>SUM(M107:M116)</f>
        <v>6252363</v>
      </c>
      <c r="N117" s="887">
        <f t="shared" si="33"/>
        <v>0.12196789032516231</v>
      </c>
      <c r="O117" s="887">
        <f t="shared" si="34"/>
        <v>8.5627625907197011E-2</v>
      </c>
      <c r="P117" s="883">
        <f>SUM(P107:P116)</f>
        <v>535375</v>
      </c>
      <c r="Q117" s="883">
        <f>SUM(Q107:Q116)</f>
        <v>376594</v>
      </c>
      <c r="R117" s="887">
        <f t="shared" si="35"/>
        <v>0.70342096661218767</v>
      </c>
      <c r="S117" s="1504">
        <f t="shared" si="36"/>
        <v>101.3865730918734</v>
      </c>
      <c r="T117" s="1504">
        <f t="shared" si="37"/>
        <v>144.13356710160468</v>
      </c>
      <c r="U117" s="1505">
        <f>X107*Q117</f>
        <v>382242910</v>
      </c>
      <c r="V117" s="888">
        <f t="shared" si="38"/>
        <v>7.0420792353282406</v>
      </c>
      <c r="W117" s="1506">
        <f>X107</f>
        <v>1015</v>
      </c>
      <c r="X117" s="2242"/>
      <c r="Y117" s="1507">
        <f>SUM(Y107:Y116)</f>
        <v>68468</v>
      </c>
      <c r="Z117" s="1507">
        <f>SUM(Z107:Z116)</f>
        <v>48756</v>
      </c>
      <c r="AA117" s="889">
        <f t="shared" si="42"/>
        <v>0.712099082783198</v>
      </c>
      <c r="AB117" s="1507">
        <f t="shared" si="39"/>
        <v>792.7767215204434</v>
      </c>
      <c r="AC117" s="1507">
        <f t="shared" si="40"/>
        <v>1113.2955240188228</v>
      </c>
      <c r="AD117" s="1508">
        <f t="shared" si="43"/>
        <v>49487340</v>
      </c>
      <c r="AE117" s="908">
        <f t="shared" si="44"/>
        <v>0.91170760871831114</v>
      </c>
      <c r="AF117" s="1509">
        <v>1015</v>
      </c>
      <c r="AG117" s="1510"/>
      <c r="AH117" s="1566">
        <v>21327800.98</v>
      </c>
      <c r="AI117" s="1566">
        <v>2047340.48906172</v>
      </c>
      <c r="AJ117" s="1566">
        <v>30904695.100000001</v>
      </c>
      <c r="AK117" s="1566">
        <v>21518171.539828699</v>
      </c>
      <c r="AL117" s="1566">
        <v>2047340.48906172</v>
      </c>
      <c r="AM117" s="1566">
        <v>35288082.310400002</v>
      </c>
      <c r="AN117" s="1463"/>
      <c r="AO117" s="1463"/>
      <c r="AP117" s="1463"/>
      <c r="AQ117" s="1463"/>
      <c r="AR117" s="891"/>
      <c r="AS117" s="891"/>
      <c r="AT117" s="891"/>
      <c r="AU117" s="892"/>
    </row>
    <row r="118" spans="2:47" s="1480" customFormat="1">
      <c r="B118" s="1512"/>
      <c r="C118" s="1513" t="s">
        <v>260</v>
      </c>
      <c r="D118" s="1513"/>
      <c r="E118" s="1513"/>
      <c r="F118" s="1513"/>
      <c r="G118" s="1513"/>
      <c r="H118" s="893"/>
      <c r="I118" s="894"/>
      <c r="J118" s="894"/>
      <c r="K118" s="894">
        <v>36647310</v>
      </c>
      <c r="L118" s="895">
        <f>H117/K118</f>
        <v>1.4811410870009756</v>
      </c>
      <c r="M118" s="894">
        <v>3834243</v>
      </c>
      <c r="N118" s="896">
        <f t="shared" si="33"/>
        <v>0.10462549638704724</v>
      </c>
      <c r="O118" s="896">
        <f t="shared" si="34"/>
        <v>7.1287865688220597E-2</v>
      </c>
      <c r="P118" s="894">
        <v>273335</v>
      </c>
      <c r="Q118" s="894">
        <v>191416</v>
      </c>
      <c r="R118" s="896">
        <f t="shared" si="35"/>
        <v>0.70029816891360419</v>
      </c>
      <c r="S118" s="1514">
        <f>H117/P118</f>
        <v>198.58355706024372</v>
      </c>
      <c r="T118" s="1514">
        <f>H117/Q118</f>
        <v>283.57000757022257</v>
      </c>
      <c r="U118" s="1515">
        <f>Q118*X107</f>
        <v>194287240</v>
      </c>
      <c r="V118" s="897">
        <f>U118/H117</f>
        <v>3.5793630246620776</v>
      </c>
      <c r="W118" s="1514">
        <f>W117</f>
        <v>1015</v>
      </c>
      <c r="X118" s="1516"/>
      <c r="Y118" s="894"/>
      <c r="Z118" s="894"/>
      <c r="AA118" s="896"/>
      <c r="AB118" s="1517"/>
      <c r="AC118" s="1517"/>
      <c r="AD118" s="1516"/>
      <c r="AE118" s="898"/>
      <c r="AF118" s="1516"/>
      <c r="AG118" s="1510"/>
      <c r="AH118" s="1518"/>
      <c r="AI118" s="1519"/>
      <c r="AJ118" s="1463"/>
      <c r="AK118" s="1463"/>
    </row>
    <row r="119" spans="2:47">
      <c r="B119" s="1472"/>
      <c r="C119" s="1466" t="s">
        <v>296</v>
      </c>
      <c r="D119" s="1465" t="s">
        <v>277</v>
      </c>
      <c r="E119" s="1465"/>
      <c r="F119" s="1465"/>
      <c r="G119" s="1465"/>
      <c r="H119" s="1466">
        <f>SUM(I119:J119)</f>
        <v>58853594.339290425</v>
      </c>
      <c r="I119" s="1466">
        <f>AL117+AM117</f>
        <v>37335422.799461722</v>
      </c>
      <c r="J119" s="1466">
        <f>AK117</f>
        <v>21518171.539828699</v>
      </c>
      <c r="K119" s="1467"/>
      <c r="L119" s="1468"/>
      <c r="N119" s="845"/>
      <c r="R119" s="845"/>
      <c r="S119" s="1467"/>
      <c r="V119" s="1469"/>
      <c r="X119" s="1467"/>
      <c r="AA119" s="845"/>
      <c r="AB119" s="1467"/>
      <c r="AD119" s="1467"/>
      <c r="AE119" s="1469"/>
      <c r="AF119" s="1467"/>
      <c r="AG119" s="1470"/>
      <c r="AH119" s="1471"/>
      <c r="AI119" s="1471"/>
      <c r="AJ119" s="1471"/>
    </row>
    <row r="120" spans="2:47">
      <c r="B120" s="1472"/>
      <c r="C120" s="1466" t="s">
        <v>297</v>
      </c>
      <c r="D120" s="1465" t="s">
        <v>277</v>
      </c>
      <c r="E120" s="1465"/>
      <c r="F120" s="1465"/>
      <c r="G120" s="1465"/>
      <c r="H120" s="899">
        <f>H117/H119</f>
        <v>0.92228583790717977</v>
      </c>
      <c r="I120" s="899">
        <f>I117/I119</f>
        <v>0.88259441351597079</v>
      </c>
      <c r="J120" s="899">
        <f>J117/J119</f>
        <v>0.9911530327065039</v>
      </c>
      <c r="K120" s="1467"/>
      <c r="L120" s="1468"/>
      <c r="N120" s="845"/>
      <c r="R120" s="845"/>
      <c r="S120" s="1467"/>
      <c r="V120" s="1469"/>
      <c r="X120" s="1467"/>
      <c r="AA120" s="845"/>
      <c r="AB120" s="1467"/>
      <c r="AD120" s="1467"/>
      <c r="AE120" s="1469"/>
      <c r="AF120" s="1467"/>
      <c r="AG120" s="1470"/>
      <c r="AH120" s="1471"/>
      <c r="AI120" s="1471"/>
      <c r="AJ120" s="1471"/>
    </row>
    <row r="121" spans="2:47">
      <c r="B121" s="1472"/>
      <c r="C121" s="1466"/>
      <c r="E121" s="1465"/>
      <c r="F121" s="1465"/>
      <c r="G121" s="1465"/>
      <c r="H121" s="899"/>
      <c r="I121" s="899"/>
      <c r="J121" s="899"/>
      <c r="K121" s="1467"/>
      <c r="L121" s="1468"/>
      <c r="N121" s="845"/>
      <c r="R121" s="845"/>
      <c r="S121" s="1467"/>
      <c r="V121" s="1469"/>
      <c r="X121" s="1467"/>
      <c r="AA121" s="845"/>
      <c r="AB121" s="1467"/>
      <c r="AD121" s="1467"/>
      <c r="AE121" s="1469"/>
      <c r="AF121" s="1467"/>
      <c r="AG121" s="1470"/>
      <c r="AH121" s="1471"/>
      <c r="AI121" s="1471"/>
      <c r="AJ121" s="1471"/>
    </row>
    <row r="122" spans="2:47">
      <c r="B122" s="1472"/>
      <c r="C122" s="1466"/>
      <c r="E122" s="1465"/>
      <c r="F122" s="1465"/>
      <c r="G122" s="1465"/>
      <c r="H122" s="899"/>
      <c r="I122" s="899"/>
      <c r="J122" s="899"/>
      <c r="K122" s="1467"/>
      <c r="L122" s="1468"/>
      <c r="N122" s="845"/>
      <c r="R122" s="845"/>
      <c r="S122" s="1467"/>
      <c r="V122" s="1469"/>
      <c r="X122" s="1467"/>
      <c r="AA122" s="845"/>
      <c r="AB122" s="1467"/>
      <c r="AD122" s="1467"/>
      <c r="AE122" s="1469"/>
      <c r="AF122" s="1467"/>
      <c r="AG122" s="1470"/>
      <c r="AH122" s="1471"/>
      <c r="AI122" s="1471"/>
      <c r="AJ122" s="1471"/>
    </row>
    <row r="123" spans="2:47">
      <c r="E123" s="1465"/>
      <c r="F123" s="1465"/>
      <c r="G123" s="1465"/>
      <c r="H123" s="1466"/>
      <c r="I123" s="1466"/>
      <c r="J123" s="1466"/>
      <c r="K123" s="1467"/>
      <c r="L123" s="1468"/>
      <c r="N123" s="845"/>
      <c r="R123" s="845"/>
      <c r="S123" s="1467"/>
      <c r="V123" s="1469"/>
      <c r="X123" s="1467"/>
      <c r="AA123" s="845"/>
      <c r="AB123" s="1467"/>
      <c r="AD123" s="1467"/>
      <c r="AE123" s="1469"/>
      <c r="AF123" s="1467"/>
      <c r="AG123" s="1470"/>
      <c r="AH123" s="1471"/>
      <c r="AI123" s="1471"/>
      <c r="AJ123" s="1471"/>
    </row>
    <row r="124" spans="2:47">
      <c r="B124" s="1472"/>
      <c r="C124" s="1466"/>
      <c r="E124" s="1465"/>
      <c r="F124" s="1465"/>
      <c r="G124" s="1465"/>
      <c r="H124" s="899"/>
      <c r="I124" s="899"/>
      <c r="J124" s="899"/>
      <c r="K124" s="1467"/>
      <c r="L124" s="1468"/>
      <c r="N124" s="845"/>
      <c r="R124" s="845"/>
      <c r="S124" s="1467"/>
      <c r="V124" s="1469"/>
      <c r="X124" s="1467"/>
      <c r="AA124" s="845"/>
      <c r="AB124" s="1467"/>
      <c r="AD124" s="1467"/>
      <c r="AE124" s="1469"/>
      <c r="AF124" s="1467"/>
      <c r="AG124" s="1470"/>
      <c r="AH124" s="1471"/>
      <c r="AI124" s="1471"/>
      <c r="AJ124" s="1471"/>
    </row>
    <row r="125" spans="2:47">
      <c r="B125" s="1472"/>
      <c r="C125" s="1466"/>
      <c r="E125" s="1465"/>
      <c r="F125" s="1465"/>
      <c r="G125" s="1465"/>
      <c r="H125" s="899"/>
      <c r="I125" s="899"/>
      <c r="J125" s="899"/>
      <c r="K125" s="1467"/>
      <c r="L125" s="1468"/>
      <c r="N125" s="845"/>
      <c r="R125" s="845"/>
      <c r="S125" s="1467"/>
      <c r="V125" s="1469"/>
      <c r="X125" s="1467"/>
      <c r="AA125" s="845"/>
      <c r="AB125" s="1467"/>
      <c r="AD125" s="1467"/>
      <c r="AE125" s="1469"/>
      <c r="AF125" s="1467"/>
      <c r="AG125" s="1470"/>
      <c r="AH125" s="1471"/>
      <c r="AI125" s="1471"/>
      <c r="AJ125" s="1471"/>
    </row>
    <row r="126" spans="2:47">
      <c r="E126" s="1465"/>
      <c r="F126" s="1465"/>
      <c r="G126" s="1465"/>
      <c r="H126" s="1466"/>
      <c r="I126" s="1466"/>
      <c r="J126" s="1466"/>
      <c r="K126" s="1467"/>
      <c r="L126" s="1468"/>
      <c r="N126" s="845"/>
      <c r="R126" s="845"/>
      <c r="S126" s="1467"/>
      <c r="V126" s="1469"/>
      <c r="X126" s="1467"/>
      <c r="AA126" s="845"/>
      <c r="AB126" s="1467"/>
      <c r="AD126" s="1467"/>
      <c r="AE126" s="1469"/>
      <c r="AF126" s="1467"/>
      <c r="AG126" s="1470"/>
      <c r="AH126" s="1471"/>
      <c r="AI126" s="1471"/>
      <c r="AJ126" s="1471"/>
    </row>
    <row r="127" spans="2:47" s="1473" customFormat="1" ht="22.5">
      <c r="B127" s="850" t="s">
        <v>813</v>
      </c>
      <c r="C127" s="1474"/>
      <c r="D127" s="1474"/>
      <c r="E127" s="1474"/>
      <c r="F127" s="1474"/>
      <c r="G127" s="1474"/>
      <c r="H127" s="1475"/>
      <c r="I127" s="1476"/>
      <c r="J127" s="1476"/>
      <c r="K127" s="1476"/>
      <c r="L127" s="1477"/>
      <c r="M127" s="1476"/>
      <c r="N127" s="851"/>
      <c r="O127" s="851"/>
      <c r="P127" s="1476"/>
      <c r="Q127" s="1476"/>
      <c r="R127" s="851"/>
      <c r="S127" s="1476"/>
      <c r="T127" s="1476"/>
      <c r="U127" s="1476"/>
      <c r="V127" s="1478"/>
      <c r="W127" s="1476"/>
      <c r="X127" s="1476"/>
      <c r="Y127" s="1476"/>
      <c r="Z127" s="1476"/>
      <c r="AA127" s="851"/>
      <c r="AB127" s="1476"/>
      <c r="AC127" s="1476"/>
      <c r="AD127" s="1476"/>
      <c r="AE127" s="1478"/>
      <c r="AF127" s="1476"/>
      <c r="AG127" s="1479"/>
      <c r="AH127" s="1476"/>
      <c r="AI127" s="1476"/>
      <c r="AJ127" s="1476"/>
    </row>
    <row r="128" spans="2:47">
      <c r="B128" s="852" t="s">
        <v>238</v>
      </c>
      <c r="C128" s="853" t="s">
        <v>307</v>
      </c>
      <c r="E128" s="1465"/>
      <c r="F128" s="1465"/>
      <c r="G128" s="1465"/>
      <c r="H128" s="1466"/>
      <c r="I128" s="1466"/>
      <c r="J128" s="1466"/>
      <c r="K128" s="1467"/>
      <c r="L128" s="1468"/>
      <c r="N128" s="845"/>
      <c r="R128" s="845"/>
      <c r="S128" s="1467"/>
      <c r="V128" s="1469"/>
      <c r="X128" s="1467"/>
      <c r="AA128" s="845"/>
      <c r="AB128" s="1467"/>
      <c r="AD128" s="1467"/>
      <c r="AE128" s="1469"/>
      <c r="AF128" s="1467"/>
      <c r="AG128" s="1470"/>
      <c r="AH128" s="1471"/>
      <c r="AI128" s="1471"/>
      <c r="AJ128" s="1471"/>
    </row>
    <row r="129" spans="2:47">
      <c r="B129" s="854" t="s">
        <v>82</v>
      </c>
      <c r="C129" s="855" t="s">
        <v>308</v>
      </c>
      <c r="E129" s="1465"/>
      <c r="F129" s="1465"/>
      <c r="G129" s="1465"/>
      <c r="H129" s="1466"/>
      <c r="I129" s="1466"/>
      <c r="J129" s="1466"/>
      <c r="K129" s="1467"/>
      <c r="L129" s="1468"/>
      <c r="N129" s="845"/>
      <c r="R129" s="845"/>
      <c r="S129" s="1467"/>
      <c r="V129" s="1469"/>
      <c r="X129" s="1467"/>
      <c r="AA129" s="845"/>
      <c r="AB129" s="1467"/>
      <c r="AD129" s="1467"/>
      <c r="AE129" s="1469"/>
      <c r="AF129" s="1467"/>
      <c r="AG129" s="1470"/>
      <c r="AH129" s="1471"/>
      <c r="AI129" s="1471"/>
      <c r="AJ129" s="1471"/>
    </row>
    <row r="130" spans="2:47">
      <c r="B130" s="854"/>
      <c r="C130" s="855"/>
      <c r="E130" s="1465"/>
      <c r="F130" s="1465"/>
      <c r="G130" s="1465"/>
      <c r="H130" s="1466"/>
      <c r="I130" s="1466"/>
      <c r="J130" s="1466"/>
      <c r="K130" s="1467"/>
      <c r="L130" s="1468"/>
      <c r="N130" s="845"/>
      <c r="R130" s="845"/>
      <c r="S130" s="1467"/>
      <c r="V130" s="1469"/>
      <c r="X130" s="1467"/>
      <c r="AA130" s="845"/>
      <c r="AB130" s="1467"/>
      <c r="AD130" s="1467"/>
      <c r="AE130" s="1469"/>
      <c r="AF130" s="1467"/>
      <c r="AG130" s="1470"/>
      <c r="AH130" s="1471"/>
      <c r="AI130" s="1471"/>
      <c r="AJ130" s="1471"/>
    </row>
    <row r="131" spans="2:47">
      <c r="B131" s="854"/>
      <c r="C131" s="855"/>
      <c r="E131" s="1465"/>
      <c r="F131" s="1465"/>
      <c r="G131" s="1465"/>
      <c r="H131" s="1466"/>
      <c r="I131" s="1466"/>
      <c r="J131" s="1466"/>
      <c r="K131" s="1467"/>
      <c r="L131" s="1468"/>
      <c r="N131" s="845"/>
      <c r="R131" s="845"/>
      <c r="S131" s="1467"/>
      <c r="V131" s="1469"/>
      <c r="X131" s="1467"/>
      <c r="AA131" s="845"/>
      <c r="AB131" s="1467"/>
      <c r="AD131" s="1467"/>
      <c r="AE131" s="1469"/>
      <c r="AF131" s="1467"/>
      <c r="AG131" s="1470"/>
      <c r="AH131" s="1471"/>
      <c r="AI131" s="1471"/>
      <c r="AJ131" s="1471"/>
    </row>
    <row r="132" spans="2:47">
      <c r="B132" s="1472"/>
      <c r="E132" s="1465"/>
      <c r="F132" s="1465"/>
      <c r="G132" s="1465"/>
      <c r="H132" s="1466"/>
      <c r="I132" s="1466"/>
      <c r="J132" s="1466"/>
      <c r="K132" s="1467"/>
      <c r="L132" s="1468"/>
      <c r="N132" s="845"/>
      <c r="R132" s="845"/>
      <c r="S132" s="1467"/>
      <c r="V132" s="1469"/>
      <c r="X132" s="1467"/>
      <c r="AA132" s="845"/>
      <c r="AB132" s="845"/>
      <c r="AD132" s="1467"/>
      <c r="AE132" s="1469"/>
      <c r="AF132" s="1467"/>
      <c r="AG132" s="1470"/>
      <c r="AH132" s="1468" t="s">
        <v>309</v>
      </c>
      <c r="AI132" s="1471"/>
      <c r="AJ132" s="1471"/>
      <c r="AK132" s="1468" t="s">
        <v>305</v>
      </c>
      <c r="AL132" s="845"/>
      <c r="AM132" s="1467"/>
      <c r="AN132" s="1467"/>
      <c r="AR132" s="1463" t="s">
        <v>310</v>
      </c>
      <c r="AT132" s="1469"/>
    </row>
    <row r="133" spans="2:47" s="1480" customFormat="1" ht="40.5" customHeight="1">
      <c r="B133" s="2238" t="s">
        <v>32</v>
      </c>
      <c r="C133" s="2239" t="s">
        <v>31</v>
      </c>
      <c r="D133" s="2239" t="s">
        <v>30</v>
      </c>
      <c r="E133" s="2240" t="s">
        <v>242</v>
      </c>
      <c r="F133" s="2240"/>
      <c r="G133" s="2240"/>
      <c r="H133" s="2241" t="s">
        <v>29</v>
      </c>
      <c r="I133" s="2241"/>
      <c r="J133" s="2241"/>
      <c r="K133" s="2237" t="s">
        <v>243</v>
      </c>
      <c r="L133" s="2237"/>
      <c r="M133" s="2237"/>
      <c r="N133" s="2237"/>
      <c r="O133" s="2237"/>
      <c r="P133" s="2237"/>
      <c r="Q133" s="2237"/>
      <c r="R133" s="2237"/>
      <c r="S133" s="2237"/>
      <c r="T133" s="2237"/>
      <c r="U133" s="2237"/>
      <c r="V133" s="2237"/>
      <c r="W133" s="2237"/>
      <c r="X133" s="2237"/>
      <c r="Y133" s="2243" t="s">
        <v>27</v>
      </c>
      <c r="Z133" s="2243"/>
      <c r="AA133" s="2243"/>
      <c r="AB133" s="2243"/>
      <c r="AC133" s="2243"/>
      <c r="AD133" s="2243"/>
      <c r="AE133" s="2243"/>
      <c r="AF133" s="2243"/>
      <c r="AG133" s="1481"/>
      <c r="AH133" s="1531" t="s">
        <v>244</v>
      </c>
      <c r="AI133" s="1531" t="s">
        <v>245</v>
      </c>
      <c r="AJ133" s="1531" t="s">
        <v>246</v>
      </c>
      <c r="AK133" s="1539" t="s">
        <v>269</v>
      </c>
      <c r="AL133" s="1539" t="s">
        <v>270</v>
      </c>
      <c r="AM133" s="1539" t="s">
        <v>271</v>
      </c>
      <c r="AN133" s="1463" t="s">
        <v>272</v>
      </c>
      <c r="AO133" s="1463"/>
      <c r="AP133" s="1463"/>
      <c r="AQ133" s="1463"/>
      <c r="AR133" s="1465" t="s">
        <v>250</v>
      </c>
      <c r="AS133" s="1465" t="s">
        <v>273</v>
      </c>
      <c r="AT133" s="1540" t="s">
        <v>274</v>
      </c>
      <c r="AU133" s="1541" t="s">
        <v>275</v>
      </c>
    </row>
    <row r="134" spans="2:47" s="1480" customFormat="1" ht="33">
      <c r="B134" s="2238"/>
      <c r="C134" s="2239"/>
      <c r="D134" s="2239"/>
      <c r="E134" s="1542" t="s">
        <v>247</v>
      </c>
      <c r="F134" s="1543" t="s">
        <v>248</v>
      </c>
      <c r="G134" s="1544" t="s">
        <v>249</v>
      </c>
      <c r="H134" s="1482" t="s">
        <v>26</v>
      </c>
      <c r="I134" s="1483" t="s">
        <v>25</v>
      </c>
      <c r="J134" s="1484" t="s">
        <v>250</v>
      </c>
      <c r="K134" s="1485" t="s">
        <v>23</v>
      </c>
      <c r="L134" s="1485" t="s">
        <v>22</v>
      </c>
      <c r="M134" s="1485" t="s">
        <v>251</v>
      </c>
      <c r="N134" s="1485" t="s">
        <v>20</v>
      </c>
      <c r="O134" s="1485" t="s">
        <v>19</v>
      </c>
      <c r="P134" s="1485" t="s">
        <v>18</v>
      </c>
      <c r="Q134" s="1485" t="s">
        <v>17</v>
      </c>
      <c r="R134" s="1486" t="s">
        <v>16</v>
      </c>
      <c r="S134" s="1487" t="s">
        <v>15</v>
      </c>
      <c r="T134" s="1486" t="s">
        <v>14</v>
      </c>
      <c r="U134" s="1486" t="s">
        <v>13</v>
      </c>
      <c r="V134" s="1486" t="s">
        <v>12</v>
      </c>
      <c r="W134" s="1488" t="s">
        <v>3</v>
      </c>
      <c r="X134" s="1489" t="s">
        <v>11</v>
      </c>
      <c r="Y134" s="1490" t="s">
        <v>10</v>
      </c>
      <c r="Z134" s="1491" t="s">
        <v>9</v>
      </c>
      <c r="AA134" s="1492" t="s">
        <v>8</v>
      </c>
      <c r="AB134" s="1492" t="s">
        <v>7</v>
      </c>
      <c r="AC134" s="1492" t="s">
        <v>6</v>
      </c>
      <c r="AD134" s="1492" t="s">
        <v>5</v>
      </c>
      <c r="AE134" s="1492" t="s">
        <v>4</v>
      </c>
      <c r="AF134" s="1493" t="s">
        <v>3</v>
      </c>
      <c r="AG134" s="1481"/>
      <c r="AH134" s="1532"/>
      <c r="AI134" s="1533"/>
      <c r="AJ134" s="1534"/>
      <c r="AK134" s="1545"/>
      <c r="AL134" s="1545"/>
      <c r="AM134" s="1545"/>
      <c r="AO134" s="1463"/>
      <c r="AP134" s="1463"/>
      <c r="AQ134" s="1463"/>
      <c r="AR134" s="1463"/>
      <c r="AS134" s="1463"/>
      <c r="AT134" s="1469"/>
    </row>
    <row r="135" spans="2:47" s="1480" customFormat="1">
      <c r="B135" s="1494" t="s">
        <v>311</v>
      </c>
      <c r="C135" s="1495" t="s">
        <v>797</v>
      </c>
      <c r="D135" s="1496" t="s">
        <v>277</v>
      </c>
      <c r="E135" s="1496"/>
      <c r="F135" s="1496"/>
      <c r="G135" s="1546"/>
      <c r="H135" s="862">
        <f>I135+J135</f>
        <v>3191647.95</v>
      </c>
      <c r="I135" s="863">
        <f>SUM(AI135:AJ135)</f>
        <v>1940468.35</v>
      </c>
      <c r="J135" s="864">
        <f>AH135</f>
        <v>1251179.6000000001</v>
      </c>
      <c r="K135" s="1497">
        <v>3518730</v>
      </c>
      <c r="L135" s="865">
        <f>H135/K135</f>
        <v>0.90704542548021594</v>
      </c>
      <c r="M135" s="1497">
        <v>529319</v>
      </c>
      <c r="N135" s="866">
        <f>M135/K135</f>
        <v>0.15042899000491655</v>
      </c>
      <c r="O135" s="867">
        <f>P135/M135</f>
        <v>0.11286766581210952</v>
      </c>
      <c r="P135" s="1497">
        <v>59743</v>
      </c>
      <c r="Q135" s="1497">
        <v>41803</v>
      </c>
      <c r="R135" s="868">
        <f>Q135/P135</f>
        <v>0.69971377399862744</v>
      </c>
      <c r="S135" s="869">
        <f>H135/P135</f>
        <v>53.422960848969758</v>
      </c>
      <c r="T135" s="870">
        <f>H135/Q135</f>
        <v>76.349734468818028</v>
      </c>
      <c r="U135" s="871">
        <f>X$113*Q135</f>
        <v>0</v>
      </c>
      <c r="V135" s="872">
        <f>U135/H135</f>
        <v>0</v>
      </c>
      <c r="W135" s="1498">
        <v>490</v>
      </c>
      <c r="X135" s="2229">
        <v>1015</v>
      </c>
      <c r="Y135" s="1499">
        <v>23553</v>
      </c>
      <c r="Z135" s="1497">
        <v>18091</v>
      </c>
      <c r="AA135" s="867">
        <f>Z135/Y135</f>
        <v>0.7680974822740203</v>
      </c>
      <c r="AB135" s="869">
        <f>H135/Y135</f>
        <v>135.5091899121131</v>
      </c>
      <c r="AC135" s="873">
        <f>H135/Z135</f>
        <v>176.42186446299266</v>
      </c>
      <c r="AD135" s="874">
        <f>Z135*AF135</f>
        <v>8864590</v>
      </c>
      <c r="AE135" s="903">
        <f>AD135/H135</f>
        <v>2.7774335198842968</v>
      </c>
      <c r="AF135" s="1500">
        <f>W135</f>
        <v>490</v>
      </c>
      <c r="AG135" s="876" t="s">
        <v>257</v>
      </c>
      <c r="AH135" s="1567">
        <v>1251179.6000000001</v>
      </c>
      <c r="AI135" s="1534">
        <v>0</v>
      </c>
      <c r="AJ135" s="1567">
        <v>1940468.35</v>
      </c>
      <c r="AK135" s="910">
        <v>1272000</v>
      </c>
      <c r="AL135" s="1568">
        <v>0</v>
      </c>
      <c r="AM135" s="1568">
        <v>2300000</v>
      </c>
      <c r="AN135" s="1480" t="s">
        <v>278</v>
      </c>
      <c r="AO135" s="1463"/>
      <c r="AP135" s="1463"/>
      <c r="AQ135" s="1463"/>
      <c r="AR135" s="899">
        <f t="shared" ref="AR135:AT140" si="46">AH135/AK135</f>
        <v>0.98363176100628935</v>
      </c>
      <c r="AS135" s="899" t="e">
        <f t="shared" si="46"/>
        <v>#DIV/0!</v>
      </c>
      <c r="AT135" s="899">
        <f t="shared" si="46"/>
        <v>0.8436818913043479</v>
      </c>
      <c r="AU135" s="904">
        <f t="shared" ref="AU135:AU144" si="47">SUM(AI135:AJ135)/SUM(AL135:AM135)</f>
        <v>0.8436818913043479</v>
      </c>
    </row>
    <row r="136" spans="2:47" s="1480" customFormat="1">
      <c r="B136" s="1494" t="s">
        <v>311</v>
      </c>
      <c r="C136" s="1495" t="s">
        <v>803</v>
      </c>
      <c r="D136" s="1496" t="s">
        <v>277</v>
      </c>
      <c r="E136" s="1496"/>
      <c r="F136" s="1496"/>
      <c r="G136" s="1548"/>
      <c r="H136" s="862">
        <f>I136+J136</f>
        <v>4353163.59</v>
      </c>
      <c r="I136" s="863">
        <f t="shared" ref="I136:I144" si="48">SUM(AI136:AJ136)</f>
        <v>2275568.29</v>
      </c>
      <c r="J136" s="864">
        <f t="shared" ref="J136:J144" si="49">AH136</f>
        <v>2077595.3</v>
      </c>
      <c r="K136" s="1497">
        <v>4706563</v>
      </c>
      <c r="L136" s="865">
        <f t="shared" ref="L136:L145" si="50">H136/K136</f>
        <v>0.92491348570071197</v>
      </c>
      <c r="M136" s="1497">
        <v>609768</v>
      </c>
      <c r="N136" s="866">
        <f t="shared" ref="N136:N146" si="51">M136/K136</f>
        <v>0.12955696120502372</v>
      </c>
      <c r="O136" s="867">
        <f t="shared" ref="O136:O146" si="52">P136/M136</f>
        <v>7.7168693667099622E-2</v>
      </c>
      <c r="P136" s="1497">
        <v>47055</v>
      </c>
      <c r="Q136" s="1497">
        <v>34692</v>
      </c>
      <c r="R136" s="868">
        <f t="shared" ref="R136:R146" si="53">Q136/P136</f>
        <v>0.73726490277335033</v>
      </c>
      <c r="S136" s="869">
        <f t="shared" ref="S136:S145" si="54">H136/P136</f>
        <v>92.512242907236214</v>
      </c>
      <c r="T136" s="870">
        <f t="shared" ref="T136:T145" si="55">H136/Q136</f>
        <v>125.48032947077135</v>
      </c>
      <c r="U136" s="871">
        <f t="shared" ref="U136:U144" si="56">X$113*Q136</f>
        <v>0</v>
      </c>
      <c r="V136" s="872">
        <f t="shared" ref="V136:V145" si="57">U136/H136</f>
        <v>0</v>
      </c>
      <c r="W136" s="1498">
        <v>490</v>
      </c>
      <c r="X136" s="2229"/>
      <c r="Y136" s="1499">
        <v>506</v>
      </c>
      <c r="Z136" s="1497">
        <v>392</v>
      </c>
      <c r="AA136" s="867">
        <f>Z136/Y136</f>
        <v>0.77470355731225293</v>
      </c>
      <c r="AB136" s="869">
        <f t="shared" ref="AB136:AB145" si="58">H136/Y136</f>
        <v>8603.0900988142293</v>
      </c>
      <c r="AC136" s="873">
        <f t="shared" ref="AC136:AC145" si="59">H136/Z136</f>
        <v>11105.009158163264</v>
      </c>
      <c r="AD136" s="874">
        <f>Z136*AF136</f>
        <v>192080</v>
      </c>
      <c r="AE136" s="903">
        <f>AD136/H136</f>
        <v>4.4124231958854551E-2</v>
      </c>
      <c r="AF136" s="1500">
        <v>490</v>
      </c>
      <c r="AG136" s="876" t="s">
        <v>279</v>
      </c>
      <c r="AH136" s="1567">
        <v>2077595.3</v>
      </c>
      <c r="AI136" s="1534">
        <v>0</v>
      </c>
      <c r="AJ136" s="1567">
        <v>2275568.29</v>
      </c>
      <c r="AK136" s="910">
        <v>2077595.3</v>
      </c>
      <c r="AL136" s="1568">
        <v>0</v>
      </c>
      <c r="AM136" s="1568">
        <v>3000000</v>
      </c>
      <c r="AN136" s="1480" t="s">
        <v>280</v>
      </c>
      <c r="AO136" s="1463"/>
      <c r="AP136" s="1463"/>
      <c r="AQ136" s="1463"/>
      <c r="AR136" s="899">
        <f t="shared" si="46"/>
        <v>1</v>
      </c>
      <c r="AS136" s="899" t="e">
        <f t="shared" si="46"/>
        <v>#DIV/0!</v>
      </c>
      <c r="AT136" s="899">
        <f t="shared" si="46"/>
        <v>0.75852276333333335</v>
      </c>
      <c r="AU136" s="904">
        <f t="shared" si="47"/>
        <v>0.75852276333333335</v>
      </c>
    </row>
    <row r="137" spans="2:47" s="1480" customFormat="1">
      <c r="B137" s="1494" t="s">
        <v>311</v>
      </c>
      <c r="C137" s="1495" t="s">
        <v>804</v>
      </c>
      <c r="D137" s="1496" t="s">
        <v>281</v>
      </c>
      <c r="E137" s="1549"/>
      <c r="F137" s="1549"/>
      <c r="G137" s="1550"/>
      <c r="H137" s="862">
        <f t="shared" ref="H137:H145" si="60">I137+J137</f>
        <v>8267918.2342857141</v>
      </c>
      <c r="I137" s="863">
        <f t="shared" si="48"/>
        <v>4180143.3342857142</v>
      </c>
      <c r="J137" s="864">
        <f t="shared" si="49"/>
        <v>4087774.9</v>
      </c>
      <c r="K137" s="1497">
        <v>8866004</v>
      </c>
      <c r="L137" s="865">
        <f t="shared" si="50"/>
        <v>0.93254167653045428</v>
      </c>
      <c r="M137" s="1497">
        <v>983551</v>
      </c>
      <c r="N137" s="866">
        <f t="shared" si="51"/>
        <v>0.11093509544999078</v>
      </c>
      <c r="O137" s="867">
        <f t="shared" si="52"/>
        <v>7.3376977909635599E-2</v>
      </c>
      <c r="P137" s="1497">
        <v>72170</v>
      </c>
      <c r="Q137" s="1497">
        <v>51847</v>
      </c>
      <c r="R137" s="868">
        <f t="shared" si="53"/>
        <v>0.71840099764445065</v>
      </c>
      <c r="S137" s="869">
        <f t="shared" si="54"/>
        <v>114.56170478433856</v>
      </c>
      <c r="T137" s="870">
        <f t="shared" si="55"/>
        <v>159.46763041807074</v>
      </c>
      <c r="U137" s="871">
        <f t="shared" si="56"/>
        <v>0</v>
      </c>
      <c r="V137" s="872">
        <f t="shared" si="57"/>
        <v>0</v>
      </c>
      <c r="W137" s="1498">
        <v>1300</v>
      </c>
      <c r="X137" s="2229"/>
      <c r="Y137" s="1499">
        <v>3155</v>
      </c>
      <c r="Z137" s="1497">
        <v>1904</v>
      </c>
      <c r="AA137" s="867">
        <f t="shared" ref="AA137:AA145" si="61">Z137/Y137</f>
        <v>0.60348652931854196</v>
      </c>
      <c r="AB137" s="869">
        <f t="shared" si="58"/>
        <v>2620.5763024677381</v>
      </c>
      <c r="AC137" s="873">
        <f t="shared" si="59"/>
        <v>4342.3940306122449</v>
      </c>
      <c r="AD137" s="874">
        <f t="shared" ref="AD137:AD145" si="62">Z137*AF137</f>
        <v>2475200</v>
      </c>
      <c r="AE137" s="903">
        <f t="shared" ref="AE137:AE145" si="63">AD137/H137</f>
        <v>0.29937402981753586</v>
      </c>
      <c r="AF137" s="1500">
        <f t="shared" ref="AF137:AF144" si="64">W137</f>
        <v>1300</v>
      </c>
      <c r="AG137" s="876" t="s">
        <v>282</v>
      </c>
      <c r="AH137" s="1567">
        <v>4087774.9</v>
      </c>
      <c r="AI137" s="1534">
        <v>994291.71428571397</v>
      </c>
      <c r="AJ137" s="1567">
        <v>3185851.62</v>
      </c>
      <c r="AK137" s="910">
        <v>4126781.4072286701</v>
      </c>
      <c r="AL137" s="1568">
        <v>994291.71428571397</v>
      </c>
      <c r="AM137" s="1568">
        <v>3877819.2</v>
      </c>
      <c r="AN137" s="1480" t="s">
        <v>283</v>
      </c>
      <c r="AO137" s="1463"/>
      <c r="AP137" s="1463"/>
      <c r="AQ137" s="1463"/>
      <c r="AR137" s="899">
        <f t="shared" si="46"/>
        <v>0.99054795895892511</v>
      </c>
      <c r="AS137" s="899">
        <f t="shared" si="46"/>
        <v>1</v>
      </c>
      <c r="AT137" s="899">
        <f t="shared" si="46"/>
        <v>0.8215575445085217</v>
      </c>
      <c r="AU137" s="904">
        <f t="shared" si="47"/>
        <v>0.85797376287738991</v>
      </c>
    </row>
    <row r="138" spans="2:47" s="1480" customFormat="1">
      <c r="B138" s="1494" t="s">
        <v>311</v>
      </c>
      <c r="C138" s="1495" t="s">
        <v>805</v>
      </c>
      <c r="D138" s="1496" t="s">
        <v>284</v>
      </c>
      <c r="E138" s="1549"/>
      <c r="F138" s="1549"/>
      <c r="G138" s="1550"/>
      <c r="H138" s="862">
        <f t="shared" si="60"/>
        <v>3691682.6590617187</v>
      </c>
      <c r="I138" s="863">
        <f t="shared" si="48"/>
        <v>1503000.659061719</v>
      </c>
      <c r="J138" s="864">
        <f t="shared" si="49"/>
        <v>2188682</v>
      </c>
      <c r="K138" s="1497">
        <v>4503826</v>
      </c>
      <c r="L138" s="865">
        <f t="shared" si="50"/>
        <v>0.81967701662136117</v>
      </c>
      <c r="M138" s="1497">
        <v>349557</v>
      </c>
      <c r="N138" s="866">
        <f t="shared" si="51"/>
        <v>7.7613344742891929E-2</v>
      </c>
      <c r="O138" s="867">
        <f t="shared" si="52"/>
        <v>5.6900591319870582E-2</v>
      </c>
      <c r="P138" s="1497">
        <v>19890</v>
      </c>
      <c r="Q138" s="1497">
        <v>13969</v>
      </c>
      <c r="R138" s="868">
        <f t="shared" si="53"/>
        <v>0.70231271995977873</v>
      </c>
      <c r="S138" s="869">
        <f t="shared" si="54"/>
        <v>185.604960234375</v>
      </c>
      <c r="T138" s="870">
        <f t="shared" si="55"/>
        <v>264.27680285358429</v>
      </c>
      <c r="U138" s="871">
        <f t="shared" si="56"/>
        <v>0</v>
      </c>
      <c r="V138" s="872">
        <f t="shared" si="57"/>
        <v>0</v>
      </c>
      <c r="W138" s="1498">
        <v>990</v>
      </c>
      <c r="X138" s="2229"/>
      <c r="Y138" s="1499">
        <v>3924</v>
      </c>
      <c r="Z138" s="1497">
        <v>2897</v>
      </c>
      <c r="AA138" s="867">
        <f t="shared" si="61"/>
        <v>0.7382772680937818</v>
      </c>
      <c r="AB138" s="869">
        <f t="shared" si="58"/>
        <v>940.79578467424028</v>
      </c>
      <c r="AC138" s="873">
        <f t="shared" si="59"/>
        <v>1274.31227444312</v>
      </c>
      <c r="AD138" s="874">
        <f t="shared" si="62"/>
        <v>2868030</v>
      </c>
      <c r="AE138" s="903">
        <f t="shared" si="63"/>
        <v>0.77688963675142675</v>
      </c>
      <c r="AF138" s="1500">
        <f t="shared" si="64"/>
        <v>990</v>
      </c>
      <c r="AG138" s="876" t="s">
        <v>282</v>
      </c>
      <c r="AH138" s="1569">
        <v>2188682</v>
      </c>
      <c r="AI138" s="1570">
        <v>114811.489061719</v>
      </c>
      <c r="AJ138" s="1569">
        <v>1388189.17</v>
      </c>
      <c r="AK138" s="910">
        <v>2200000</v>
      </c>
      <c r="AL138" s="1568">
        <v>114811.489061719</v>
      </c>
      <c r="AM138" s="1568">
        <v>2000000</v>
      </c>
      <c r="AN138" s="1480" t="s">
        <v>285</v>
      </c>
      <c r="AO138" s="1463"/>
      <c r="AP138" s="1463"/>
      <c r="AQ138" s="1463"/>
      <c r="AR138" s="899">
        <f t="shared" si="46"/>
        <v>0.99485545454545454</v>
      </c>
      <c r="AS138" s="899">
        <f>AI138/AL138</f>
        <v>1</v>
      </c>
      <c r="AT138" s="899">
        <f t="shared" si="46"/>
        <v>0.69409458499999999</v>
      </c>
      <c r="AU138" s="904">
        <f t="shared" si="47"/>
        <v>0.71070195468275865</v>
      </c>
    </row>
    <row r="139" spans="2:47" s="1480" customFormat="1">
      <c r="B139" s="1494" t="s">
        <v>311</v>
      </c>
      <c r="C139" s="1495" t="s">
        <v>806</v>
      </c>
      <c r="D139" s="1496" t="s">
        <v>277</v>
      </c>
      <c r="E139" s="1549"/>
      <c r="F139" s="1549"/>
      <c r="G139" s="1550"/>
      <c r="H139" s="862">
        <f t="shared" si="60"/>
        <v>2598082.17</v>
      </c>
      <c r="I139" s="863">
        <f t="shared" si="48"/>
        <v>1641752.17</v>
      </c>
      <c r="J139" s="864">
        <f t="shared" si="49"/>
        <v>956330</v>
      </c>
      <c r="K139" s="1497">
        <v>2089990</v>
      </c>
      <c r="L139" s="865">
        <f t="shared" si="50"/>
        <v>1.2431074646290172</v>
      </c>
      <c r="M139" s="1497">
        <v>307874</v>
      </c>
      <c r="N139" s="866">
        <f t="shared" si="51"/>
        <v>0.14730883879827175</v>
      </c>
      <c r="O139" s="867">
        <f t="shared" si="52"/>
        <v>0.11932803679427298</v>
      </c>
      <c r="P139" s="1497">
        <v>36738</v>
      </c>
      <c r="Q139" s="1497">
        <v>23582</v>
      </c>
      <c r="R139" s="868">
        <f t="shared" si="53"/>
        <v>0.64189667374380754</v>
      </c>
      <c r="S139" s="869">
        <f t="shared" si="54"/>
        <v>70.719205454842395</v>
      </c>
      <c r="T139" s="870">
        <f t="shared" si="55"/>
        <v>110.17225723009075</v>
      </c>
      <c r="U139" s="871">
        <f t="shared" si="56"/>
        <v>0</v>
      </c>
      <c r="V139" s="872">
        <f t="shared" si="57"/>
        <v>0</v>
      </c>
      <c r="W139" s="1498">
        <v>720</v>
      </c>
      <c r="X139" s="2229"/>
      <c r="Y139" s="1499">
        <v>1573</v>
      </c>
      <c r="Z139" s="1497">
        <v>1072</v>
      </c>
      <c r="AA139" s="867">
        <f t="shared" si="61"/>
        <v>0.68150031786395426</v>
      </c>
      <c r="AB139" s="869">
        <f t="shared" si="58"/>
        <v>1651.6733439287984</v>
      </c>
      <c r="AC139" s="873">
        <f t="shared" si="59"/>
        <v>2423.58411380597</v>
      </c>
      <c r="AD139" s="874">
        <f t="shared" si="62"/>
        <v>771840</v>
      </c>
      <c r="AE139" s="903">
        <f t="shared" si="63"/>
        <v>0.29708067316439035</v>
      </c>
      <c r="AF139" s="1500">
        <f t="shared" si="64"/>
        <v>720</v>
      </c>
      <c r="AG139" s="876" t="s">
        <v>282</v>
      </c>
      <c r="AH139" s="1569">
        <v>956330</v>
      </c>
      <c r="AI139" s="1570"/>
      <c r="AJ139" s="1569">
        <v>1641752.17</v>
      </c>
      <c r="AK139" s="910">
        <v>965240</v>
      </c>
      <c r="AL139" s="1568"/>
      <c r="AM139" s="1568">
        <v>2240000</v>
      </c>
      <c r="AN139" s="1480" t="s">
        <v>286</v>
      </c>
      <c r="AO139" s="1463"/>
      <c r="AP139" s="1463"/>
      <c r="AQ139" s="1463"/>
      <c r="AR139" s="899">
        <f t="shared" si="46"/>
        <v>0.99076913513737519</v>
      </c>
      <c r="AS139" s="899" t="e">
        <f>AI139/AL139</f>
        <v>#DIV/0!</v>
      </c>
      <c r="AT139" s="899">
        <f>AJ139/AM139</f>
        <v>0.73292507589285716</v>
      </c>
      <c r="AU139" s="904">
        <f t="shared" si="47"/>
        <v>0.73292507589285716</v>
      </c>
    </row>
    <row r="140" spans="2:47" s="1480" customFormat="1">
      <c r="B140" s="1494" t="s">
        <v>311</v>
      </c>
      <c r="C140" s="1495" t="s">
        <v>807</v>
      </c>
      <c r="D140" s="1496" t="s">
        <v>284</v>
      </c>
      <c r="E140" s="1549"/>
      <c r="F140" s="1549"/>
      <c r="G140" s="1550"/>
      <c r="H140" s="862">
        <f t="shared" si="60"/>
        <v>5493489.7800000003</v>
      </c>
      <c r="I140" s="863">
        <f t="shared" si="48"/>
        <v>2835634.58</v>
      </c>
      <c r="J140" s="864">
        <f t="shared" si="49"/>
        <v>2657855.2000000002</v>
      </c>
      <c r="K140" s="1497">
        <v>2775482</v>
      </c>
      <c r="L140" s="865">
        <f t="shared" si="50"/>
        <v>1.9792921661895124</v>
      </c>
      <c r="M140" s="1497">
        <v>383247</v>
      </c>
      <c r="N140" s="866">
        <f t="shared" si="51"/>
        <v>0.13808304287327391</v>
      </c>
      <c r="O140" s="867">
        <f t="shared" si="52"/>
        <v>9.5348430646554308E-2</v>
      </c>
      <c r="P140" s="1497">
        <v>36542</v>
      </c>
      <c r="Q140" s="1497">
        <v>25686</v>
      </c>
      <c r="R140" s="868">
        <f t="shared" si="53"/>
        <v>0.70291719117727547</v>
      </c>
      <c r="S140" s="869">
        <f t="shared" si="54"/>
        <v>150.33358272672541</v>
      </c>
      <c r="T140" s="870">
        <f t="shared" si="55"/>
        <v>213.87097173557581</v>
      </c>
      <c r="U140" s="871">
        <f t="shared" si="56"/>
        <v>0</v>
      </c>
      <c r="V140" s="872">
        <f t="shared" si="57"/>
        <v>0</v>
      </c>
      <c r="W140" s="1498">
        <v>1820</v>
      </c>
      <c r="X140" s="2229"/>
      <c r="Y140" s="1499">
        <v>2780</v>
      </c>
      <c r="Z140" s="1497">
        <v>1724</v>
      </c>
      <c r="AA140" s="867">
        <f t="shared" si="61"/>
        <v>0.62014388489208638</v>
      </c>
      <c r="AB140" s="869">
        <f t="shared" si="58"/>
        <v>1976.0754604316548</v>
      </c>
      <c r="AC140" s="873">
        <f t="shared" si="59"/>
        <v>3186.4789907192576</v>
      </c>
      <c r="AD140" s="874">
        <f t="shared" si="62"/>
        <v>3137680</v>
      </c>
      <c r="AE140" s="903">
        <f t="shared" si="63"/>
        <v>0.57116334527885471</v>
      </c>
      <c r="AF140" s="1500">
        <f t="shared" si="64"/>
        <v>1820</v>
      </c>
      <c r="AG140" s="876" t="s">
        <v>257</v>
      </c>
      <c r="AH140" s="1567">
        <v>2657855.2000000002</v>
      </c>
      <c r="AI140" s="1534">
        <v>0</v>
      </c>
      <c r="AJ140" s="1567">
        <v>2835634.58</v>
      </c>
      <c r="AK140" s="910">
        <v>3699671.0326</v>
      </c>
      <c r="AL140" s="1568">
        <v>0</v>
      </c>
      <c r="AM140" s="1568">
        <v>3295631.16</v>
      </c>
      <c r="AN140" s="1480" t="s">
        <v>287</v>
      </c>
      <c r="AO140" s="1463"/>
      <c r="AP140" s="1463"/>
      <c r="AQ140" s="1463"/>
      <c r="AR140" s="899">
        <f t="shared" si="46"/>
        <v>0.71840311654200029</v>
      </c>
      <c r="AS140" s="899"/>
      <c r="AT140" s="899">
        <f t="shared" ref="AT140:AT144" si="65">AJ140/AM140</f>
        <v>0.86042231133656355</v>
      </c>
      <c r="AU140" s="904">
        <f t="shared" si="47"/>
        <v>0.86042231133656355</v>
      </c>
    </row>
    <row r="141" spans="2:47" s="1480" customFormat="1">
      <c r="B141" s="1494" t="s">
        <v>311</v>
      </c>
      <c r="C141" s="1495" t="s">
        <v>808</v>
      </c>
      <c r="D141" s="1496" t="s">
        <v>284</v>
      </c>
      <c r="E141" s="1549"/>
      <c r="F141" s="1549"/>
      <c r="G141" s="1549"/>
      <c r="H141" s="862">
        <f t="shared" si="60"/>
        <v>8786954.5457142852</v>
      </c>
      <c r="I141" s="863">
        <f t="shared" si="48"/>
        <v>4339767.845714286</v>
      </c>
      <c r="J141" s="864">
        <f t="shared" si="49"/>
        <v>4447186.7</v>
      </c>
      <c r="K141" s="1497">
        <v>8589555</v>
      </c>
      <c r="L141" s="865">
        <f t="shared" si="50"/>
        <v>1.0229813471960172</v>
      </c>
      <c r="M141" s="1497">
        <v>743234</v>
      </c>
      <c r="N141" s="866">
        <f t="shared" si="51"/>
        <v>8.6527648987636735E-2</v>
      </c>
      <c r="O141" s="867">
        <f t="shared" si="52"/>
        <v>7.0830989970857086E-2</v>
      </c>
      <c r="P141" s="1497">
        <v>52644</v>
      </c>
      <c r="Q141" s="1497">
        <v>37608</v>
      </c>
      <c r="R141" s="868">
        <f t="shared" si="53"/>
        <v>0.7143834055162982</v>
      </c>
      <c r="S141" s="869">
        <f t="shared" si="54"/>
        <v>166.91274496076068</v>
      </c>
      <c r="T141" s="870">
        <f t="shared" si="55"/>
        <v>233.64588772905461</v>
      </c>
      <c r="U141" s="871">
        <f t="shared" si="56"/>
        <v>0</v>
      </c>
      <c r="V141" s="872">
        <f t="shared" si="57"/>
        <v>0</v>
      </c>
      <c r="W141" s="1553">
        <v>1400</v>
      </c>
      <c r="X141" s="2229"/>
      <c r="Y141" s="1499">
        <v>4134</v>
      </c>
      <c r="Z141" s="1497">
        <v>2776</v>
      </c>
      <c r="AA141" s="867">
        <f t="shared" si="61"/>
        <v>0.67150459603289792</v>
      </c>
      <c r="AB141" s="869">
        <f t="shared" si="58"/>
        <v>2125.5332718225168</v>
      </c>
      <c r="AC141" s="873">
        <f t="shared" si="59"/>
        <v>3165.3294473034171</v>
      </c>
      <c r="AD141" s="874">
        <f t="shared" si="62"/>
        <v>3886400</v>
      </c>
      <c r="AE141" s="903">
        <f t="shared" si="63"/>
        <v>0.44229203414913959</v>
      </c>
      <c r="AF141" s="1500">
        <f t="shared" si="64"/>
        <v>1400</v>
      </c>
      <c r="AG141" s="876" t="s">
        <v>288</v>
      </c>
      <c r="AH141" s="1567">
        <v>4447186.7</v>
      </c>
      <c r="AI141" s="1534">
        <v>650332.28571428603</v>
      </c>
      <c r="AJ141" s="1567">
        <v>3689435.56</v>
      </c>
      <c r="AK141" s="910">
        <v>4680663.3158590198</v>
      </c>
      <c r="AL141" s="1568">
        <v>650332.28571428603</v>
      </c>
      <c r="AM141" s="1568">
        <v>5067566.9504000004</v>
      </c>
      <c r="AN141" s="1480" t="s">
        <v>289</v>
      </c>
      <c r="AO141" s="1463"/>
      <c r="AP141" s="1463"/>
      <c r="AQ141" s="1463"/>
      <c r="AR141" s="899">
        <f>AH141/AK141</f>
        <v>0.95011890407328503</v>
      </c>
      <c r="AS141" s="899">
        <f t="shared" ref="AS141:AS144" si="66">AI141/AL141</f>
        <v>1</v>
      </c>
      <c r="AT141" s="899">
        <f t="shared" si="65"/>
        <v>0.72804870584073489</v>
      </c>
      <c r="AU141" s="904">
        <f t="shared" si="47"/>
        <v>0.75897941997723317</v>
      </c>
    </row>
    <row r="142" spans="2:47" s="1480" customFormat="1">
      <c r="B142" s="1494" t="s">
        <v>311</v>
      </c>
      <c r="C142" s="1554" t="s">
        <v>809</v>
      </c>
      <c r="D142" s="1496" t="s">
        <v>284</v>
      </c>
      <c r="E142" s="1555"/>
      <c r="F142" s="1555"/>
      <c r="G142" s="1556"/>
      <c r="H142" s="862">
        <f t="shared" si="60"/>
        <v>6697766.0700000003</v>
      </c>
      <c r="I142" s="863">
        <f t="shared" si="48"/>
        <v>5626385.9100000001</v>
      </c>
      <c r="J142" s="864">
        <f t="shared" si="49"/>
        <v>1071380.1599999999</v>
      </c>
      <c r="K142" s="1497">
        <v>5690692</v>
      </c>
      <c r="L142" s="865">
        <f t="shared" si="50"/>
        <v>1.1769686481011448</v>
      </c>
      <c r="M142" s="1497">
        <v>564680</v>
      </c>
      <c r="N142" s="866">
        <f t="shared" si="51"/>
        <v>9.9228705401733217E-2</v>
      </c>
      <c r="O142" s="867">
        <f t="shared" si="52"/>
        <v>7.9306864064602967E-2</v>
      </c>
      <c r="P142" s="1497">
        <v>44783</v>
      </c>
      <c r="Q142" s="1497">
        <v>30450</v>
      </c>
      <c r="R142" s="868">
        <f t="shared" si="53"/>
        <v>0.67994551503918899</v>
      </c>
      <c r="S142" s="869">
        <f t="shared" si="54"/>
        <v>149.56045977268161</v>
      </c>
      <c r="T142" s="870">
        <f t="shared" si="55"/>
        <v>219.95947684729066</v>
      </c>
      <c r="U142" s="871">
        <f t="shared" si="56"/>
        <v>0</v>
      </c>
      <c r="V142" s="872">
        <f t="shared" si="57"/>
        <v>0</v>
      </c>
      <c r="W142" s="1557">
        <v>930</v>
      </c>
      <c r="X142" s="2229"/>
      <c r="Y142" s="1499">
        <v>11837</v>
      </c>
      <c r="Z142" s="1497">
        <v>8052</v>
      </c>
      <c r="AA142" s="867">
        <f t="shared" si="61"/>
        <v>0.68023992565683877</v>
      </c>
      <c r="AB142" s="869">
        <f t="shared" si="58"/>
        <v>565.83307172425452</v>
      </c>
      <c r="AC142" s="873">
        <f t="shared" si="59"/>
        <v>831.81396795827129</v>
      </c>
      <c r="AD142" s="874">
        <f t="shared" si="62"/>
        <v>7488360</v>
      </c>
      <c r="AE142" s="903">
        <f t="shared" si="63"/>
        <v>1.1180384506919632</v>
      </c>
      <c r="AF142" s="1500">
        <f t="shared" si="64"/>
        <v>930</v>
      </c>
      <c r="AG142" s="876" t="s">
        <v>290</v>
      </c>
      <c r="AH142" s="1567">
        <v>1071380.1599999999</v>
      </c>
      <c r="AI142" s="1534">
        <v>954000</v>
      </c>
      <c r="AJ142" s="1567">
        <v>4672385.91</v>
      </c>
      <c r="AK142" s="910">
        <v>1079914.22</v>
      </c>
      <c r="AL142" s="1568">
        <v>954000</v>
      </c>
      <c r="AM142" s="1568">
        <v>5523660</v>
      </c>
      <c r="AN142" s="1480" t="s">
        <v>291</v>
      </c>
      <c r="AO142" s="1463"/>
      <c r="AP142" s="1463"/>
      <c r="AQ142" s="1463"/>
      <c r="AR142" s="899">
        <f t="shared" ref="AR142:AR144" si="67">AH142/AK142</f>
        <v>0.99209746492642714</v>
      </c>
      <c r="AS142" s="899">
        <f t="shared" si="66"/>
        <v>1</v>
      </c>
      <c r="AT142" s="899">
        <f t="shared" si="65"/>
        <v>0.84588586372079388</v>
      </c>
      <c r="AU142" s="904">
        <f t="shared" si="47"/>
        <v>0.86858308555867403</v>
      </c>
    </row>
    <row r="143" spans="2:47" s="1480" customFormat="1">
      <c r="B143" s="1494" t="s">
        <v>311</v>
      </c>
      <c r="C143" s="1554" t="s">
        <v>810</v>
      </c>
      <c r="D143" s="1496" t="s">
        <v>277</v>
      </c>
      <c r="E143" s="1558"/>
      <c r="F143" s="1558"/>
      <c r="G143" s="1559"/>
      <c r="H143" s="862">
        <f t="shared" si="60"/>
        <v>2016397.0899999999</v>
      </c>
      <c r="I143" s="863">
        <f t="shared" si="48"/>
        <v>1580156.21</v>
      </c>
      <c r="J143" s="864">
        <f t="shared" si="49"/>
        <v>436240.88</v>
      </c>
      <c r="K143" s="1497">
        <v>2526916</v>
      </c>
      <c r="L143" s="865">
        <f t="shared" si="50"/>
        <v>0.79796759765658998</v>
      </c>
      <c r="M143" s="1497">
        <v>328778</v>
      </c>
      <c r="N143" s="866">
        <f t="shared" si="51"/>
        <v>0.13011037960897789</v>
      </c>
      <c r="O143" s="867">
        <f t="shared" si="52"/>
        <v>7.465523848919331E-2</v>
      </c>
      <c r="P143" s="1497">
        <v>24545</v>
      </c>
      <c r="Q143" s="1497">
        <v>16791</v>
      </c>
      <c r="R143" s="868">
        <f t="shared" si="53"/>
        <v>0.68409044611937253</v>
      </c>
      <c r="S143" s="869">
        <f t="shared" si="54"/>
        <v>82.151032389488691</v>
      </c>
      <c r="T143" s="870">
        <f t="shared" si="55"/>
        <v>120.08796915013994</v>
      </c>
      <c r="U143" s="871">
        <f t="shared" si="56"/>
        <v>0</v>
      </c>
      <c r="V143" s="872">
        <f t="shared" si="57"/>
        <v>0</v>
      </c>
      <c r="W143" s="1557">
        <v>1650</v>
      </c>
      <c r="X143" s="2229"/>
      <c r="Y143" s="1499">
        <v>1694</v>
      </c>
      <c r="Z143" s="1497">
        <v>1235</v>
      </c>
      <c r="AA143" s="867">
        <f t="shared" si="61"/>
        <v>0.72904368358913818</v>
      </c>
      <c r="AB143" s="869">
        <f t="shared" si="58"/>
        <v>1190.317054309327</v>
      </c>
      <c r="AC143" s="873">
        <f t="shared" si="59"/>
        <v>1632.7101943319838</v>
      </c>
      <c r="AD143" s="874">
        <f t="shared" si="62"/>
        <v>2037750</v>
      </c>
      <c r="AE143" s="903">
        <f t="shared" si="63"/>
        <v>1.0105896353976587</v>
      </c>
      <c r="AF143" s="1500">
        <f t="shared" si="64"/>
        <v>1650</v>
      </c>
      <c r="AG143" s="876" t="s">
        <v>292</v>
      </c>
      <c r="AH143" s="1567">
        <v>436240.88</v>
      </c>
      <c r="AI143" s="1534">
        <v>0</v>
      </c>
      <c r="AJ143" s="1567">
        <v>1580156.21</v>
      </c>
      <c r="AK143" s="1568">
        <v>600000</v>
      </c>
      <c r="AL143" s="1568"/>
      <c r="AM143" s="1568">
        <v>2254461</v>
      </c>
      <c r="AN143" s="1480" t="s">
        <v>293</v>
      </c>
      <c r="AO143" s="1463"/>
      <c r="AP143" s="1463"/>
      <c r="AQ143" s="1463"/>
      <c r="AR143" s="899">
        <f t="shared" si="67"/>
        <v>0.72706813333333331</v>
      </c>
      <c r="AS143" s="899" t="e">
        <f t="shared" si="66"/>
        <v>#DIV/0!</v>
      </c>
      <c r="AT143" s="899">
        <f t="shared" si="65"/>
        <v>0.7009019938690445</v>
      </c>
      <c r="AU143" s="904">
        <f t="shared" si="47"/>
        <v>0.7009019938690445</v>
      </c>
    </row>
    <row r="144" spans="2:47" s="1480" customFormat="1">
      <c r="B144" s="1494" t="s">
        <v>311</v>
      </c>
      <c r="C144" s="1560" t="s">
        <v>811</v>
      </c>
      <c r="D144" s="1496" t="s">
        <v>294</v>
      </c>
      <c r="E144" s="1561"/>
      <c r="F144" s="1561"/>
      <c r="G144" s="1562"/>
      <c r="H144" s="862">
        <f t="shared" si="60"/>
        <v>3751863.0100000002</v>
      </c>
      <c r="I144" s="863">
        <f t="shared" si="48"/>
        <v>3146186.43</v>
      </c>
      <c r="J144" s="864">
        <f t="shared" si="49"/>
        <v>605676.57999999996</v>
      </c>
      <c r="K144" s="1497">
        <v>1919533</v>
      </c>
      <c r="L144" s="865">
        <f t="shared" si="50"/>
        <v>1.9545707263172867</v>
      </c>
      <c r="M144" s="1497">
        <v>219573</v>
      </c>
      <c r="N144" s="866">
        <f t="shared" si="51"/>
        <v>0.1143887601828153</v>
      </c>
      <c r="O144" s="867">
        <f t="shared" si="52"/>
        <v>7.0532351427543466E-2</v>
      </c>
      <c r="P144" s="1497">
        <v>15487</v>
      </c>
      <c r="Q144" s="1497">
        <v>10734</v>
      </c>
      <c r="R144" s="868">
        <f t="shared" si="53"/>
        <v>0.69309743655969525</v>
      </c>
      <c r="S144" s="869">
        <f t="shared" si="54"/>
        <v>242.25886291728548</v>
      </c>
      <c r="T144" s="870">
        <f t="shared" si="55"/>
        <v>349.53074436370412</v>
      </c>
      <c r="U144" s="871">
        <f t="shared" si="56"/>
        <v>0</v>
      </c>
      <c r="V144" s="872">
        <f t="shared" si="57"/>
        <v>0</v>
      </c>
      <c r="W144" s="1557">
        <v>1380</v>
      </c>
      <c r="X144" s="2229"/>
      <c r="Y144" s="1563">
        <v>464</v>
      </c>
      <c r="Z144" s="1564">
        <v>333</v>
      </c>
      <c r="AA144" s="867">
        <f t="shared" si="61"/>
        <v>0.71767241379310343</v>
      </c>
      <c r="AB144" s="869">
        <f t="shared" si="58"/>
        <v>8085.9116594827592</v>
      </c>
      <c r="AC144" s="873">
        <f t="shared" si="59"/>
        <v>11266.855885885887</v>
      </c>
      <c r="AD144" s="874">
        <f t="shared" si="62"/>
        <v>459540</v>
      </c>
      <c r="AE144" s="903">
        <f t="shared" si="63"/>
        <v>0.12248315004443618</v>
      </c>
      <c r="AF144" s="1500">
        <f t="shared" si="64"/>
        <v>1380</v>
      </c>
      <c r="AG144" s="876" t="s">
        <v>290</v>
      </c>
      <c r="AH144" s="1567">
        <v>605676.57999999996</v>
      </c>
      <c r="AI144" s="1534">
        <v>0</v>
      </c>
      <c r="AJ144" s="1567">
        <v>3146186.43</v>
      </c>
      <c r="AK144" s="1568">
        <v>605676.57999999996</v>
      </c>
      <c r="AL144" s="1568"/>
      <c r="AM144" s="1568">
        <v>4178944</v>
      </c>
      <c r="AN144" s="1480" t="s">
        <v>295</v>
      </c>
      <c r="AO144" s="1463"/>
      <c r="AP144" s="1463"/>
      <c r="AQ144" s="1463"/>
      <c r="AR144" s="899">
        <f t="shared" si="67"/>
        <v>1</v>
      </c>
      <c r="AS144" s="899" t="e">
        <f t="shared" si="66"/>
        <v>#DIV/0!</v>
      </c>
      <c r="AT144" s="899">
        <f t="shared" si="65"/>
        <v>0.75286637724745775</v>
      </c>
      <c r="AU144" s="904">
        <f t="shared" si="47"/>
        <v>0.75286637724745775</v>
      </c>
    </row>
    <row r="145" spans="2:47" s="1480" customFormat="1">
      <c r="B145" s="1502"/>
      <c r="C145" s="1503" t="s">
        <v>0</v>
      </c>
      <c r="D145" s="1503"/>
      <c r="E145" s="1503"/>
      <c r="F145" s="1503"/>
      <c r="G145" s="1565"/>
      <c r="H145" s="882">
        <f t="shared" si="60"/>
        <v>48848965.099061713</v>
      </c>
      <c r="I145" s="883">
        <f>SUM(I135:I144)</f>
        <v>29069063.77906172</v>
      </c>
      <c r="J145" s="884">
        <f>SUM(J135:J144)</f>
        <v>19779901.319999997</v>
      </c>
      <c r="K145" s="885">
        <f>SUM(K135:K144)</f>
        <v>45187291</v>
      </c>
      <c r="L145" s="886">
        <f t="shared" si="50"/>
        <v>1.081033273250696</v>
      </c>
      <c r="M145" s="883">
        <f>SUM(M135:M144)</f>
        <v>5019581</v>
      </c>
      <c r="N145" s="887">
        <f t="shared" si="51"/>
        <v>0.11108391073941565</v>
      </c>
      <c r="O145" s="887">
        <f t="shared" si="52"/>
        <v>8.1599838711637479E-2</v>
      </c>
      <c r="P145" s="883">
        <f>SUM(P135:P144)</f>
        <v>409597</v>
      </c>
      <c r="Q145" s="883">
        <f>SUM(Q135:Q144)</f>
        <v>287162</v>
      </c>
      <c r="R145" s="887">
        <f t="shared" si="53"/>
        <v>0.70108423645680995</v>
      </c>
      <c r="S145" s="1504">
        <f t="shared" si="54"/>
        <v>119.26104219284251</v>
      </c>
      <c r="T145" s="1504">
        <f t="shared" si="55"/>
        <v>170.10943334794197</v>
      </c>
      <c r="U145" s="1505">
        <f>X135*Q145</f>
        <v>291469430</v>
      </c>
      <c r="V145" s="888">
        <f t="shared" si="57"/>
        <v>5.9667472874588805</v>
      </c>
      <c r="W145" s="1506">
        <f>X135</f>
        <v>1015</v>
      </c>
      <c r="X145" s="2242"/>
      <c r="Y145" s="1507">
        <f>SUM(Y135:Y144)</f>
        <v>53620</v>
      </c>
      <c r="Z145" s="1507">
        <f>SUM(Z135:Z144)</f>
        <v>38476</v>
      </c>
      <c r="AA145" s="889">
        <f t="shared" si="61"/>
        <v>0.71756807161506897</v>
      </c>
      <c r="AB145" s="1507">
        <f t="shared" si="58"/>
        <v>911.02135581987523</v>
      </c>
      <c r="AC145" s="1507">
        <f t="shared" si="59"/>
        <v>1269.5957245831612</v>
      </c>
      <c r="AD145" s="1508">
        <f t="shared" si="62"/>
        <v>39053140</v>
      </c>
      <c r="AE145" s="908">
        <f t="shared" si="63"/>
        <v>0.79946709046554865</v>
      </c>
      <c r="AF145" s="1509">
        <v>1015</v>
      </c>
      <c r="AG145" s="1510"/>
      <c r="AH145" s="1566">
        <f t="shared" ref="AH145:AM145" si="68">SUM(AH135:AH144)</f>
        <v>19779901.319999997</v>
      </c>
      <c r="AI145" s="1566">
        <f t="shared" si="68"/>
        <v>2713435.4890617188</v>
      </c>
      <c r="AJ145" s="1566">
        <f t="shared" si="68"/>
        <v>26355628.289999999</v>
      </c>
      <c r="AK145" s="1566">
        <f t="shared" si="68"/>
        <v>21307541.855687685</v>
      </c>
      <c r="AL145" s="1566">
        <f t="shared" si="68"/>
        <v>2713435.4890617188</v>
      </c>
      <c r="AM145" s="1566">
        <f t="shared" si="68"/>
        <v>33738082.310400002</v>
      </c>
      <c r="AN145" s="1463"/>
      <c r="AO145" s="1463"/>
      <c r="AP145" s="1463"/>
      <c r="AQ145" s="1463"/>
      <c r="AR145" s="891"/>
      <c r="AS145" s="891"/>
      <c r="AT145" s="891"/>
      <c r="AU145" s="892"/>
    </row>
    <row r="146" spans="2:47" s="1480" customFormat="1">
      <c r="B146" s="1512"/>
      <c r="C146" s="1513" t="s">
        <v>260</v>
      </c>
      <c r="D146" s="1513"/>
      <c r="E146" s="1513"/>
      <c r="F146" s="1513"/>
      <c r="G146" s="1513"/>
      <c r="H146" s="893"/>
      <c r="I146" s="894"/>
      <c r="J146" s="894"/>
      <c r="K146" s="894">
        <v>33159105</v>
      </c>
      <c r="L146" s="895">
        <f>H145/K146</f>
        <v>1.4731689862878299</v>
      </c>
      <c r="M146" s="894">
        <v>3178588</v>
      </c>
      <c r="N146" s="896">
        <f t="shared" si="51"/>
        <v>9.5858678935996616E-2</v>
      </c>
      <c r="O146" s="896">
        <f t="shared" si="52"/>
        <v>6.8586428942662592E-2</v>
      </c>
      <c r="P146" s="894">
        <v>218008</v>
      </c>
      <c r="Q146" s="894">
        <v>151875</v>
      </c>
      <c r="R146" s="896">
        <f t="shared" si="53"/>
        <v>0.69664874683497857</v>
      </c>
      <c r="S146" s="1514">
        <f>H145/P146</f>
        <v>224.06959881775765</v>
      </c>
      <c r="T146" s="1514">
        <f>H145/Q146</f>
        <v>321.63927637242278</v>
      </c>
      <c r="U146" s="1515">
        <f>Q146*X135</f>
        <v>154153125</v>
      </c>
      <c r="V146" s="897">
        <f>U146/H145</f>
        <v>3.1557091268441417</v>
      </c>
      <c r="W146" s="1514">
        <f>W145</f>
        <v>1015</v>
      </c>
      <c r="X146" s="1516"/>
      <c r="Y146" s="894"/>
      <c r="Z146" s="894"/>
      <c r="AA146" s="896"/>
      <c r="AB146" s="1517"/>
      <c r="AC146" s="1517"/>
      <c r="AD146" s="1516"/>
      <c r="AE146" s="898"/>
      <c r="AF146" s="1516"/>
      <c r="AG146" s="1510"/>
      <c r="AH146" s="1518"/>
      <c r="AI146" s="1519"/>
      <c r="AJ146" s="1463"/>
      <c r="AK146" s="1463"/>
    </row>
    <row r="147" spans="2:47">
      <c r="B147" s="1472"/>
      <c r="C147" s="1466" t="s">
        <v>296</v>
      </c>
      <c r="D147" s="1465" t="s">
        <v>277</v>
      </c>
      <c r="E147" s="1465"/>
      <c r="F147" s="1465"/>
      <c r="G147" s="1465"/>
      <c r="H147" s="1466">
        <f>SUM(I147:J147)</f>
        <v>57759059.655149408</v>
      </c>
      <c r="I147" s="1466">
        <f>AL145+AM145</f>
        <v>36451517.799461722</v>
      </c>
      <c r="J147" s="1466">
        <f>AK145</f>
        <v>21307541.855687685</v>
      </c>
      <c r="K147" s="1467"/>
      <c r="L147" s="1468"/>
      <c r="N147" s="845"/>
      <c r="R147" s="845"/>
      <c r="S147" s="1467"/>
      <c r="V147" s="1469"/>
      <c r="X147" s="1467"/>
      <c r="AA147" s="845"/>
      <c r="AB147" s="1467"/>
      <c r="AD147" s="1467"/>
      <c r="AE147" s="1469"/>
      <c r="AF147" s="1467"/>
      <c r="AG147" s="1470"/>
      <c r="AH147" s="1471"/>
      <c r="AI147" s="1471"/>
      <c r="AJ147" s="1471"/>
    </row>
    <row r="148" spans="2:47">
      <c r="B148" s="1472"/>
      <c r="C148" s="1466" t="s">
        <v>297</v>
      </c>
      <c r="D148" s="1465" t="s">
        <v>277</v>
      </c>
      <c r="E148" s="1465"/>
      <c r="F148" s="1465"/>
      <c r="G148" s="1465"/>
      <c r="H148" s="899">
        <f>H145/H147</f>
        <v>0.84573684874225041</v>
      </c>
      <c r="I148" s="899">
        <f>I145/I147</f>
        <v>0.7974719719213168</v>
      </c>
      <c r="J148" s="899">
        <f>J145/J147</f>
        <v>0.9283051725987852</v>
      </c>
      <c r="K148" s="1467"/>
      <c r="L148" s="1468"/>
      <c r="N148" s="845"/>
      <c r="R148" s="845"/>
      <c r="S148" s="1467"/>
      <c r="V148" s="1469"/>
      <c r="X148" s="1467"/>
      <c r="AA148" s="845"/>
      <c r="AB148" s="1467"/>
      <c r="AD148" s="1467"/>
      <c r="AE148" s="1469"/>
      <c r="AF148" s="1467"/>
      <c r="AG148" s="1470"/>
      <c r="AH148" s="1471"/>
      <c r="AI148" s="1471"/>
      <c r="AJ148" s="1471"/>
    </row>
    <row r="149" spans="2:47">
      <c r="B149" s="1472"/>
      <c r="C149" s="1466"/>
      <c r="E149" s="1465"/>
      <c r="F149" s="1465"/>
      <c r="G149" s="1465"/>
      <c r="H149" s="899"/>
      <c r="I149" s="899"/>
      <c r="J149" s="899"/>
      <c r="K149" s="1467"/>
      <c r="L149" s="1468"/>
      <c r="N149" s="845"/>
      <c r="R149" s="845"/>
      <c r="S149" s="1467"/>
      <c r="V149" s="1469"/>
      <c r="X149" s="1467"/>
      <c r="AA149" s="845"/>
      <c r="AB149" s="1467"/>
      <c r="AD149" s="1467"/>
      <c r="AE149" s="1469"/>
      <c r="AF149" s="1467"/>
      <c r="AG149" s="1470"/>
      <c r="AH149" s="1471"/>
      <c r="AI149" s="1471"/>
      <c r="AJ149" s="1471"/>
    </row>
    <row r="150" spans="2:47">
      <c r="B150" s="1472"/>
      <c r="C150" s="1466"/>
      <c r="E150" s="1465"/>
      <c r="F150" s="1465"/>
      <c r="G150" s="1465"/>
      <c r="H150" s="899"/>
      <c r="I150" s="899"/>
      <c r="J150" s="899"/>
      <c r="K150" s="1467"/>
      <c r="L150" s="1468"/>
      <c r="N150" s="845"/>
      <c r="R150" s="845"/>
      <c r="S150" s="1467"/>
      <c r="V150" s="1469"/>
      <c r="X150" s="1467"/>
      <c r="AA150" s="845"/>
      <c r="AB150" s="1467"/>
      <c r="AD150" s="1467"/>
      <c r="AE150" s="1469"/>
      <c r="AF150" s="1467"/>
      <c r="AG150" s="1470"/>
      <c r="AH150" s="1471"/>
      <c r="AI150" s="1471"/>
      <c r="AJ150" s="1471"/>
    </row>
    <row r="151" spans="2:47">
      <c r="E151" s="1465"/>
      <c r="F151" s="1465"/>
      <c r="G151" s="1465"/>
      <c r="H151" s="1466"/>
      <c r="I151" s="1466"/>
      <c r="J151" s="1466"/>
      <c r="K151" s="1467"/>
      <c r="L151" s="1468"/>
      <c r="N151" s="845"/>
      <c r="R151" s="845"/>
      <c r="S151" s="1467"/>
      <c r="V151" s="1469"/>
      <c r="X151" s="1467"/>
      <c r="AA151" s="845"/>
      <c r="AB151" s="1467"/>
      <c r="AD151" s="1467"/>
      <c r="AE151" s="1469"/>
      <c r="AF151" s="1467"/>
      <c r="AG151" s="1470"/>
      <c r="AH151" s="1471"/>
      <c r="AI151" s="1471"/>
      <c r="AJ151" s="1471"/>
    </row>
    <row r="152" spans="2:47" s="1473" customFormat="1" ht="22.5">
      <c r="B152" s="850" t="s">
        <v>814</v>
      </c>
      <c r="C152" s="1474"/>
      <c r="D152" s="1474"/>
      <c r="E152" s="1474"/>
      <c r="F152" s="1474"/>
      <c r="G152" s="1474"/>
      <c r="H152" s="1475"/>
      <c r="I152" s="1476"/>
      <c r="J152" s="1476"/>
      <c r="K152" s="1476"/>
      <c r="L152" s="1477"/>
      <c r="M152" s="1476"/>
      <c r="N152" s="851"/>
      <c r="O152" s="851"/>
      <c r="P152" s="1476"/>
      <c r="Q152" s="1476"/>
      <c r="R152" s="851"/>
      <c r="S152" s="1476"/>
      <c r="T152" s="1476"/>
      <c r="U152" s="1476"/>
      <c r="V152" s="1478"/>
      <c r="W152" s="1476"/>
      <c r="X152" s="1476"/>
      <c r="Y152" s="1476"/>
      <c r="Z152" s="1476"/>
      <c r="AA152" s="851"/>
      <c r="AB152" s="1476"/>
      <c r="AC152" s="1476"/>
      <c r="AD152" s="1476"/>
      <c r="AE152" s="1478"/>
      <c r="AF152" s="1476"/>
      <c r="AG152" s="1479"/>
      <c r="AH152" s="1476"/>
      <c r="AI152" s="1476"/>
      <c r="AJ152" s="1476"/>
    </row>
    <row r="153" spans="2:47">
      <c r="B153" s="852" t="s">
        <v>238</v>
      </c>
      <c r="C153" s="853" t="s">
        <v>312</v>
      </c>
      <c r="E153" s="1465"/>
      <c r="F153" s="1465"/>
      <c r="G153" s="1465"/>
      <c r="H153" s="1466"/>
      <c r="I153" s="1466"/>
      <c r="J153" s="1466"/>
      <c r="K153" s="1467"/>
      <c r="L153" s="1468"/>
      <c r="N153" s="845"/>
      <c r="R153" s="845"/>
      <c r="S153" s="1467"/>
      <c r="V153" s="1469"/>
      <c r="X153" s="1467"/>
      <c r="AA153" s="845"/>
      <c r="AB153" s="1467"/>
      <c r="AD153" s="1467"/>
      <c r="AE153" s="1469"/>
      <c r="AF153" s="1467"/>
      <c r="AG153" s="1470"/>
      <c r="AH153" s="1471"/>
      <c r="AI153" s="1471"/>
      <c r="AJ153" s="1471"/>
    </row>
    <row r="154" spans="2:47">
      <c r="B154" s="854" t="s">
        <v>82</v>
      </c>
      <c r="C154" s="855" t="s">
        <v>313</v>
      </c>
      <c r="E154" s="1465"/>
      <c r="F154" s="1465"/>
      <c r="G154" s="1465"/>
      <c r="H154" s="1466"/>
      <c r="I154" s="1466"/>
      <c r="J154" s="1466"/>
      <c r="K154" s="1467"/>
      <c r="L154" s="1468"/>
      <c r="N154" s="845"/>
      <c r="R154" s="845"/>
      <c r="S154" s="1467"/>
      <c r="V154" s="1469"/>
      <c r="X154" s="1467"/>
      <c r="AA154" s="845"/>
      <c r="AB154" s="1467"/>
      <c r="AD154" s="1467"/>
      <c r="AE154" s="1469"/>
      <c r="AF154" s="1467"/>
      <c r="AG154" s="1470"/>
      <c r="AH154" s="1471"/>
      <c r="AI154" s="1471"/>
      <c r="AJ154" s="1471"/>
    </row>
    <row r="155" spans="2:47">
      <c r="B155" s="854"/>
      <c r="C155" s="855"/>
      <c r="E155" s="1465"/>
      <c r="F155" s="1465"/>
      <c r="G155" s="1465"/>
      <c r="H155" s="1466"/>
      <c r="I155" s="1466"/>
      <c r="J155" s="1466"/>
      <c r="K155" s="1467"/>
      <c r="L155" s="1468"/>
      <c r="N155" s="845"/>
      <c r="R155" s="845"/>
      <c r="S155" s="1467"/>
      <c r="V155" s="1469"/>
      <c r="X155" s="1467"/>
      <c r="AA155" s="845"/>
      <c r="AB155" s="1467"/>
      <c r="AD155" s="1467"/>
      <c r="AE155" s="1469"/>
      <c r="AF155" s="1467"/>
      <c r="AG155" s="1470"/>
      <c r="AH155" s="1471"/>
      <c r="AI155" s="1471"/>
      <c r="AJ155" s="1471"/>
    </row>
    <row r="156" spans="2:47">
      <c r="B156" s="854"/>
      <c r="C156" s="855"/>
      <c r="E156" s="1465"/>
      <c r="F156" s="1465"/>
      <c r="G156" s="1465"/>
      <c r="H156" s="1466"/>
      <c r="I156" s="1466"/>
      <c r="J156" s="1466"/>
      <c r="K156" s="1467"/>
      <c r="L156" s="1468"/>
      <c r="N156" s="845"/>
      <c r="R156" s="845"/>
      <c r="S156" s="1467"/>
      <c r="V156" s="1469"/>
      <c r="X156" s="1467"/>
      <c r="AA156" s="845"/>
      <c r="AB156" s="1467"/>
      <c r="AD156" s="1467"/>
      <c r="AE156" s="1469"/>
      <c r="AF156" s="1467"/>
      <c r="AG156" s="1470"/>
      <c r="AH156" s="1471"/>
      <c r="AI156" s="1471"/>
      <c r="AJ156" s="1471"/>
    </row>
    <row r="157" spans="2:47">
      <c r="B157" s="1472"/>
      <c r="E157" s="1465"/>
      <c r="F157" s="1465"/>
      <c r="G157" s="1465"/>
      <c r="H157" s="1466"/>
      <c r="I157" s="1466"/>
      <c r="J157" s="1466"/>
      <c r="K157" s="1467"/>
      <c r="L157" s="1468"/>
      <c r="N157" s="845"/>
      <c r="R157" s="845"/>
      <c r="S157" s="1467"/>
      <c r="V157" s="1469"/>
      <c r="X157" s="1467"/>
      <c r="AA157" s="845"/>
      <c r="AB157" s="845"/>
      <c r="AD157" s="1467"/>
      <c r="AE157" s="1469"/>
      <c r="AF157" s="1467"/>
      <c r="AG157" s="1470"/>
      <c r="AH157" s="1468" t="s">
        <v>314</v>
      </c>
      <c r="AI157" s="1471"/>
      <c r="AJ157" s="1471"/>
      <c r="AK157" s="1468" t="s">
        <v>305</v>
      </c>
      <c r="AL157" s="845"/>
      <c r="AM157" s="1467"/>
      <c r="AN157" s="1467"/>
      <c r="AR157" s="1463" t="s">
        <v>315</v>
      </c>
      <c r="AT157" s="1469"/>
    </row>
    <row r="158" spans="2:47" s="1480" customFormat="1" ht="40.5" customHeight="1">
      <c r="B158" s="2238" t="s">
        <v>32</v>
      </c>
      <c r="C158" s="2239" t="s">
        <v>31</v>
      </c>
      <c r="D158" s="2239" t="s">
        <v>30</v>
      </c>
      <c r="E158" s="2240" t="s">
        <v>242</v>
      </c>
      <c r="F158" s="2240"/>
      <c r="G158" s="2240"/>
      <c r="H158" s="2241" t="s">
        <v>29</v>
      </c>
      <c r="I158" s="2241"/>
      <c r="J158" s="2241"/>
      <c r="K158" s="2237" t="s">
        <v>243</v>
      </c>
      <c r="L158" s="2237"/>
      <c r="M158" s="2237"/>
      <c r="N158" s="2237"/>
      <c r="O158" s="2237"/>
      <c r="P158" s="2237"/>
      <c r="Q158" s="2237"/>
      <c r="R158" s="2237"/>
      <c r="S158" s="2237"/>
      <c r="T158" s="2237"/>
      <c r="U158" s="2237"/>
      <c r="V158" s="2237"/>
      <c r="W158" s="2237"/>
      <c r="X158" s="2237"/>
      <c r="Y158" s="2243" t="s">
        <v>27</v>
      </c>
      <c r="Z158" s="2243"/>
      <c r="AA158" s="2243"/>
      <c r="AB158" s="2243"/>
      <c r="AC158" s="2243"/>
      <c r="AD158" s="2243"/>
      <c r="AE158" s="2243"/>
      <c r="AF158" s="2243"/>
      <c r="AG158" s="1481"/>
      <c r="AH158" s="1531" t="s">
        <v>244</v>
      </c>
      <c r="AI158" s="1531" t="s">
        <v>245</v>
      </c>
      <c r="AJ158" s="1531" t="s">
        <v>246</v>
      </c>
      <c r="AK158" s="1539" t="s">
        <v>269</v>
      </c>
      <c r="AL158" s="1539" t="s">
        <v>270</v>
      </c>
      <c r="AM158" s="1539" t="s">
        <v>271</v>
      </c>
      <c r="AN158" s="1463" t="s">
        <v>272</v>
      </c>
      <c r="AO158" s="1463"/>
      <c r="AP158" s="1463"/>
      <c r="AQ158" s="1463"/>
      <c r="AR158" s="1463" t="s">
        <v>250</v>
      </c>
      <c r="AS158" s="1463" t="s">
        <v>273</v>
      </c>
      <c r="AT158" s="1469" t="s">
        <v>274</v>
      </c>
      <c r="AU158" s="1480" t="s">
        <v>275</v>
      </c>
    </row>
    <row r="159" spans="2:47" s="1480" customFormat="1" ht="33">
      <c r="B159" s="2238"/>
      <c r="C159" s="2239"/>
      <c r="D159" s="2239"/>
      <c r="E159" s="1542" t="s">
        <v>247</v>
      </c>
      <c r="F159" s="1543" t="s">
        <v>248</v>
      </c>
      <c r="G159" s="1544" t="s">
        <v>249</v>
      </c>
      <c r="H159" s="1482" t="s">
        <v>26</v>
      </c>
      <c r="I159" s="1483" t="s">
        <v>25</v>
      </c>
      <c r="J159" s="1484" t="s">
        <v>250</v>
      </c>
      <c r="K159" s="1485" t="s">
        <v>23</v>
      </c>
      <c r="L159" s="1485" t="s">
        <v>22</v>
      </c>
      <c r="M159" s="1485" t="s">
        <v>251</v>
      </c>
      <c r="N159" s="1485" t="s">
        <v>20</v>
      </c>
      <c r="O159" s="1485" t="s">
        <v>19</v>
      </c>
      <c r="P159" s="1485" t="s">
        <v>18</v>
      </c>
      <c r="Q159" s="1485" t="s">
        <v>17</v>
      </c>
      <c r="R159" s="1486" t="s">
        <v>16</v>
      </c>
      <c r="S159" s="1487" t="s">
        <v>15</v>
      </c>
      <c r="T159" s="1486" t="s">
        <v>14</v>
      </c>
      <c r="U159" s="1486" t="s">
        <v>13</v>
      </c>
      <c r="V159" s="1486" t="s">
        <v>12</v>
      </c>
      <c r="W159" s="1488" t="s">
        <v>3</v>
      </c>
      <c r="X159" s="1489" t="s">
        <v>11</v>
      </c>
      <c r="Y159" s="1490" t="s">
        <v>10</v>
      </c>
      <c r="Z159" s="1491" t="s">
        <v>9</v>
      </c>
      <c r="AA159" s="1492" t="s">
        <v>8</v>
      </c>
      <c r="AB159" s="1492" t="s">
        <v>7</v>
      </c>
      <c r="AC159" s="1492" t="s">
        <v>6</v>
      </c>
      <c r="AD159" s="1492" t="s">
        <v>5</v>
      </c>
      <c r="AE159" s="1492" t="s">
        <v>4</v>
      </c>
      <c r="AF159" s="1493" t="s">
        <v>3</v>
      </c>
      <c r="AG159" s="1481"/>
      <c r="AH159" s="1532"/>
      <c r="AI159" s="1533"/>
      <c r="AJ159" s="1534"/>
      <c r="AK159" s="1545"/>
      <c r="AL159" s="1545"/>
      <c r="AM159" s="1545"/>
      <c r="AO159" s="1463"/>
      <c r="AP159" s="1463"/>
      <c r="AQ159" s="1463"/>
      <c r="AR159" s="1463"/>
      <c r="AS159" s="1463"/>
      <c r="AT159" s="1469"/>
    </row>
    <row r="160" spans="2:47" s="1480" customFormat="1">
      <c r="B160" s="1494" t="s">
        <v>316</v>
      </c>
      <c r="C160" s="1495" t="s">
        <v>797</v>
      </c>
      <c r="D160" s="1496" t="s">
        <v>277</v>
      </c>
      <c r="E160" s="1496"/>
      <c r="F160" s="1496"/>
      <c r="G160" s="1546"/>
      <c r="H160" s="862">
        <f>I160+J160</f>
        <v>2098431.66</v>
      </c>
      <c r="I160" s="863">
        <f>SUM(AI160:AJ160)</f>
        <v>1012743.76</v>
      </c>
      <c r="J160" s="864">
        <f>AH160</f>
        <v>1085687.8999999999</v>
      </c>
      <c r="K160" s="1497">
        <v>1940628</v>
      </c>
      <c r="L160" s="865">
        <f>H160/K160</f>
        <v>1.0813157699466358</v>
      </c>
      <c r="M160" s="1497">
        <v>223413</v>
      </c>
      <c r="N160" s="866">
        <f t="shared" ref="N160:N171" si="69">M160/K160</f>
        <v>0.11512407323814765</v>
      </c>
      <c r="O160" s="867">
        <f t="shared" ref="O160:O171" si="70">P160/M160</f>
        <v>7.0989602216522757E-2</v>
      </c>
      <c r="P160" s="1497">
        <v>15860</v>
      </c>
      <c r="Q160" s="1497">
        <v>11497</v>
      </c>
      <c r="R160" s="868">
        <f t="shared" ref="R160:R171" si="71">Q160/P160</f>
        <v>0.7249054224464061</v>
      </c>
      <c r="S160" s="869">
        <f t="shared" ref="S160:S170" si="72">H160/P160</f>
        <v>132.30968852459017</v>
      </c>
      <c r="T160" s="870">
        <f t="shared" ref="T160:T170" si="73">H160/Q160</f>
        <v>182.51993215621468</v>
      </c>
      <c r="U160" s="871">
        <f t="shared" ref="U160:U169" si="74">X$138*Q160</f>
        <v>0</v>
      </c>
      <c r="V160" s="872">
        <f t="shared" ref="V160:V170" si="75">U160/H160</f>
        <v>0</v>
      </c>
      <c r="W160" s="1498">
        <v>490</v>
      </c>
      <c r="X160" s="2229">
        <v>1015</v>
      </c>
      <c r="Y160" s="1499">
        <v>7837</v>
      </c>
      <c r="Z160" s="1497">
        <v>6260</v>
      </c>
      <c r="AA160" s="867">
        <f>Z160/Y160</f>
        <v>0.79877504146995026</v>
      </c>
      <c r="AB160" s="869">
        <f t="shared" ref="AB160:AB170" si="76">H160/Y160</f>
        <v>267.75955850452982</v>
      </c>
      <c r="AC160" s="873">
        <f t="shared" ref="AC160:AC170" si="77">H160/Z160</f>
        <v>335.21272523961665</v>
      </c>
      <c r="AD160" s="874">
        <f>Z160*AF160</f>
        <v>3067400</v>
      </c>
      <c r="AE160" s="903">
        <f t="shared" ref="AE160:AE170" si="78">AD160/H160</f>
        <v>1.4617583495666473</v>
      </c>
      <c r="AF160" s="1500">
        <f t="shared" ref="AF160:AF169" si="79">W160</f>
        <v>490</v>
      </c>
      <c r="AG160" s="876" t="s">
        <v>257</v>
      </c>
      <c r="AH160" s="1567">
        <v>1085687.8999999999</v>
      </c>
      <c r="AI160" s="1534">
        <v>0</v>
      </c>
      <c r="AJ160" s="1567">
        <v>1012743.76</v>
      </c>
      <c r="AK160" s="910">
        <f>1200000*1.06</f>
        <v>1272000</v>
      </c>
      <c r="AL160" s="1568">
        <v>0</v>
      </c>
      <c r="AM160" s="1568">
        <v>2300000</v>
      </c>
      <c r="AN160" s="1480" t="s">
        <v>278</v>
      </c>
      <c r="AO160" s="1463"/>
      <c r="AP160" s="1463"/>
      <c r="AQ160" s="1463"/>
      <c r="AR160" s="891">
        <f>AH160/AK160</f>
        <v>0.8535282232704402</v>
      </c>
      <c r="AS160" s="891"/>
      <c r="AT160" s="891">
        <f t="shared" ref="AS160:AT170" si="80">AJ160/AM160</f>
        <v>0.44032337391304349</v>
      </c>
      <c r="AU160" s="892">
        <f>SUM(AI160:AJ160)/SUM(AL160:AM160)</f>
        <v>0.44032337391304349</v>
      </c>
    </row>
    <row r="161" spans="2:47" s="1480" customFormat="1">
      <c r="B161" s="1494" t="s">
        <v>316</v>
      </c>
      <c r="C161" s="1495" t="s">
        <v>803</v>
      </c>
      <c r="D161" s="1496" t="s">
        <v>277</v>
      </c>
      <c r="E161" s="1496"/>
      <c r="F161" s="1496"/>
      <c r="G161" s="1548"/>
      <c r="H161" s="862">
        <f>I161+J161</f>
        <v>3027859.12</v>
      </c>
      <c r="I161" s="863">
        <f t="shared" ref="I161:I169" si="81">SUM(AI161:AJ161)</f>
        <v>1352104.82</v>
      </c>
      <c r="J161" s="864">
        <f t="shared" ref="J161:J169" si="82">AH161</f>
        <v>1675754.3</v>
      </c>
      <c r="K161" s="1497">
        <v>3205714</v>
      </c>
      <c r="L161" s="865">
        <f>H161/K161</f>
        <v>0.9445194175150996</v>
      </c>
      <c r="M161" s="1497">
        <v>324846</v>
      </c>
      <c r="N161" s="866">
        <f t="shared" si="69"/>
        <v>0.10133343149139318</v>
      </c>
      <c r="O161" s="867">
        <f t="shared" si="70"/>
        <v>5.9674430345455998E-2</v>
      </c>
      <c r="P161" s="1497">
        <v>19385</v>
      </c>
      <c r="Q161" s="1497">
        <v>14723</v>
      </c>
      <c r="R161" s="868">
        <f t="shared" si="71"/>
        <v>0.75950477173071962</v>
      </c>
      <c r="S161" s="869">
        <f t="shared" si="72"/>
        <v>156.19598246066548</v>
      </c>
      <c r="T161" s="870">
        <f t="shared" si="73"/>
        <v>205.65503769612172</v>
      </c>
      <c r="U161" s="871">
        <f t="shared" si="74"/>
        <v>0</v>
      </c>
      <c r="V161" s="872">
        <f t="shared" si="75"/>
        <v>0</v>
      </c>
      <c r="W161" s="1498">
        <v>490</v>
      </c>
      <c r="X161" s="2229"/>
      <c r="Y161" s="1499">
        <v>208</v>
      </c>
      <c r="Z161" s="1497">
        <v>173</v>
      </c>
      <c r="AA161" s="867">
        <f>Z161/Y161</f>
        <v>0.83173076923076927</v>
      </c>
      <c r="AB161" s="869">
        <f t="shared" si="76"/>
        <v>14557.015000000001</v>
      </c>
      <c r="AC161" s="873">
        <f t="shared" si="77"/>
        <v>17502.075838150289</v>
      </c>
      <c r="AD161" s="874">
        <f>Z161*AF161</f>
        <v>84770</v>
      </c>
      <c r="AE161" s="903">
        <f t="shared" si="78"/>
        <v>2.7996679052888034E-2</v>
      </c>
      <c r="AF161" s="1500">
        <v>490</v>
      </c>
      <c r="AG161" s="876" t="s">
        <v>279</v>
      </c>
      <c r="AH161" s="1567">
        <v>1675754.3</v>
      </c>
      <c r="AI161" s="1534">
        <v>0</v>
      </c>
      <c r="AJ161" s="1567">
        <v>1352104.82</v>
      </c>
      <c r="AK161" s="910">
        <f>1900000*1.06</f>
        <v>2014000</v>
      </c>
      <c r="AL161" s="1568">
        <v>0</v>
      </c>
      <c r="AM161" s="1568">
        <v>3000000</v>
      </c>
      <c r="AN161" s="1480" t="s">
        <v>280</v>
      </c>
      <c r="AO161" s="1463"/>
      <c r="AP161" s="1463"/>
      <c r="AQ161" s="1463"/>
      <c r="AR161" s="891">
        <f t="shared" ref="AR161:AS170" si="83">AH161/AK161</f>
        <v>0.83205278053624632</v>
      </c>
      <c r="AS161" s="891"/>
      <c r="AT161" s="891">
        <f t="shared" si="80"/>
        <v>0.4507016066666667</v>
      </c>
      <c r="AU161" s="892">
        <f t="shared" ref="AU161:AU170" si="84">SUM(AI161:AJ161)/SUM(AL161:AM161)</f>
        <v>0.4507016066666667</v>
      </c>
    </row>
    <row r="162" spans="2:47" s="1480" customFormat="1">
      <c r="B162" s="1494" t="s">
        <v>316</v>
      </c>
      <c r="C162" s="1495" t="s">
        <v>804</v>
      </c>
      <c r="D162" s="1496" t="s">
        <v>281</v>
      </c>
      <c r="E162" s="1549"/>
      <c r="F162" s="1549"/>
      <c r="G162" s="1550"/>
      <c r="H162" s="862">
        <f t="shared" ref="H162:H170" si="85">I162+J162</f>
        <v>5988952.2922857143</v>
      </c>
      <c r="I162" s="863">
        <f t="shared" si="81"/>
        <v>2863811.2842857139</v>
      </c>
      <c r="J162" s="864">
        <f t="shared" si="82"/>
        <v>3125141.0079999999</v>
      </c>
      <c r="K162" s="1497">
        <v>6116476</v>
      </c>
      <c r="L162" s="865">
        <f t="shared" ref="L162:L170" si="86">H162/K162</f>
        <v>0.97915078752630014</v>
      </c>
      <c r="M162" s="1497">
        <v>502650</v>
      </c>
      <c r="N162" s="866">
        <f t="shared" si="69"/>
        <v>8.2179673393633856E-2</v>
      </c>
      <c r="O162" s="867">
        <f t="shared" si="70"/>
        <v>4.5490898239331543E-2</v>
      </c>
      <c r="P162" s="1497">
        <v>22866</v>
      </c>
      <c r="Q162" s="1497">
        <v>16717</v>
      </c>
      <c r="R162" s="868">
        <f t="shared" si="71"/>
        <v>0.73108545438642525</v>
      </c>
      <c r="S162" s="869">
        <f t="shared" si="72"/>
        <v>261.91517065886967</v>
      </c>
      <c r="T162" s="870">
        <f t="shared" si="73"/>
        <v>358.25520681256887</v>
      </c>
      <c r="U162" s="871">
        <f t="shared" si="74"/>
        <v>0</v>
      </c>
      <c r="V162" s="872">
        <f t="shared" si="75"/>
        <v>0</v>
      </c>
      <c r="W162" s="1498">
        <v>1300</v>
      </c>
      <c r="X162" s="2229"/>
      <c r="Y162" s="1499">
        <v>1492</v>
      </c>
      <c r="Z162" s="1497">
        <v>943</v>
      </c>
      <c r="AA162" s="867">
        <f t="shared" ref="AA162:AA170" si="87">Z162/Y162</f>
        <v>0.63203753351206438</v>
      </c>
      <c r="AB162" s="869">
        <f t="shared" si="76"/>
        <v>4014.0430913443124</v>
      </c>
      <c r="AC162" s="873">
        <f t="shared" si="77"/>
        <v>6350.9568316921677</v>
      </c>
      <c r="AD162" s="874">
        <f t="shared" ref="AD162:AD170" si="88">Z162*AF162</f>
        <v>1225900</v>
      </c>
      <c r="AE162" s="903">
        <f t="shared" si="78"/>
        <v>0.20469356578095715</v>
      </c>
      <c r="AF162" s="1500">
        <f t="shared" si="79"/>
        <v>1300</v>
      </c>
      <c r="AG162" s="876" t="s">
        <v>282</v>
      </c>
      <c r="AH162" s="1567">
        <v>3125141.0079999999</v>
      </c>
      <c r="AI162" s="1534">
        <v>994291.71428571397</v>
      </c>
      <c r="AJ162" s="1567">
        <v>1869519.57</v>
      </c>
      <c r="AK162" s="910">
        <f>(3992.04663220867+134.734775019996)*1000</f>
        <v>4126781.4072286654</v>
      </c>
      <c r="AL162" s="1568">
        <v>994291.71428571397</v>
      </c>
      <c r="AM162" s="1568">
        <f>4685168.263*0.8</f>
        <v>3748134.6104000006</v>
      </c>
      <c r="AN162" s="1480" t="s">
        <v>283</v>
      </c>
      <c r="AO162" s="1463"/>
      <c r="AP162" s="1463"/>
      <c r="AQ162" s="1463"/>
      <c r="AR162" s="891">
        <f t="shared" si="83"/>
        <v>0.75728290394200559</v>
      </c>
      <c r="AS162" s="891">
        <f t="shared" si="80"/>
        <v>1</v>
      </c>
      <c r="AT162" s="891">
        <f t="shared" si="80"/>
        <v>0.49878666705635877</v>
      </c>
      <c r="AU162" s="892">
        <f t="shared" si="84"/>
        <v>0.60387048489899353</v>
      </c>
    </row>
    <row r="163" spans="2:47" s="1480" customFormat="1">
      <c r="B163" s="1494" t="s">
        <v>316</v>
      </c>
      <c r="C163" s="1495" t="s">
        <v>805</v>
      </c>
      <c r="D163" s="1496" t="s">
        <v>284</v>
      </c>
      <c r="E163" s="1549"/>
      <c r="F163" s="1549"/>
      <c r="G163" s="1550"/>
      <c r="H163" s="862">
        <f t="shared" si="85"/>
        <v>1974390.3199999998</v>
      </c>
      <c r="I163" s="863">
        <f t="shared" si="81"/>
        <v>831390.32</v>
      </c>
      <c r="J163" s="864">
        <f t="shared" si="82"/>
        <v>1143000</v>
      </c>
      <c r="K163" s="1497">
        <v>1608338</v>
      </c>
      <c r="L163" s="865">
        <f t="shared" si="86"/>
        <v>1.2275966370253018</v>
      </c>
      <c r="M163" s="1497">
        <v>116521</v>
      </c>
      <c r="N163" s="866">
        <f t="shared" si="69"/>
        <v>7.2448079943394986E-2</v>
      </c>
      <c r="O163" s="867">
        <f t="shared" si="70"/>
        <v>4.4034980818908179E-2</v>
      </c>
      <c r="P163" s="1497">
        <v>5131</v>
      </c>
      <c r="Q163" s="1497">
        <v>3709</v>
      </c>
      <c r="R163" s="868">
        <f t="shared" si="71"/>
        <v>0.72286104073280066</v>
      </c>
      <c r="S163" s="869">
        <f t="shared" si="72"/>
        <v>384.79639836289221</v>
      </c>
      <c r="T163" s="870">
        <f t="shared" si="73"/>
        <v>532.3241628471286</v>
      </c>
      <c r="U163" s="871">
        <f t="shared" si="74"/>
        <v>0</v>
      </c>
      <c r="V163" s="872">
        <f t="shared" si="75"/>
        <v>0</v>
      </c>
      <c r="W163" s="1498">
        <v>990</v>
      </c>
      <c r="X163" s="2229"/>
      <c r="Y163" s="1499">
        <v>1622</v>
      </c>
      <c r="Z163" s="1497">
        <v>1237</v>
      </c>
      <c r="AA163" s="867">
        <f t="shared" si="87"/>
        <v>0.76263871763255242</v>
      </c>
      <c r="AB163" s="869">
        <f t="shared" si="76"/>
        <v>1217.2566707768187</v>
      </c>
      <c r="AC163" s="873">
        <f t="shared" si="77"/>
        <v>1596.1118189167339</v>
      </c>
      <c r="AD163" s="874">
        <f t="shared" si="88"/>
        <v>1224630</v>
      </c>
      <c r="AE163" s="903">
        <f t="shared" si="78"/>
        <v>0.62025729542677266</v>
      </c>
      <c r="AF163" s="1500">
        <f t="shared" si="79"/>
        <v>990</v>
      </c>
      <c r="AG163" s="876" t="s">
        <v>282</v>
      </c>
      <c r="AH163" s="1567">
        <v>1143000</v>
      </c>
      <c r="AI163" s="1534"/>
      <c r="AJ163" s="1567">
        <v>831390.32</v>
      </c>
      <c r="AK163" s="910">
        <v>1400000</v>
      </c>
      <c r="AL163" s="1568"/>
      <c r="AM163" s="1568">
        <v>2000000</v>
      </c>
      <c r="AN163" s="1480" t="s">
        <v>285</v>
      </c>
      <c r="AO163" s="1463"/>
      <c r="AP163" s="1463"/>
      <c r="AQ163" s="1463"/>
      <c r="AR163" s="891">
        <f t="shared" si="83"/>
        <v>0.81642857142857139</v>
      </c>
      <c r="AS163" s="891"/>
      <c r="AT163" s="891">
        <f t="shared" si="80"/>
        <v>0.41569515999999995</v>
      </c>
      <c r="AU163" s="892">
        <f t="shared" si="84"/>
        <v>0.41569515999999995</v>
      </c>
    </row>
    <row r="164" spans="2:47" s="1480" customFormat="1">
      <c r="B164" s="1494" t="s">
        <v>316</v>
      </c>
      <c r="C164" s="1495" t="s">
        <v>806</v>
      </c>
      <c r="D164" s="1496" t="s">
        <v>277</v>
      </c>
      <c r="E164" s="1549"/>
      <c r="F164" s="1549"/>
      <c r="G164" s="1550"/>
      <c r="H164" s="862">
        <f t="shared" si="85"/>
        <v>2016759.46</v>
      </c>
      <c r="I164" s="863">
        <f t="shared" si="81"/>
        <v>1060429.46</v>
      </c>
      <c r="J164" s="864">
        <f t="shared" si="82"/>
        <v>956330</v>
      </c>
      <c r="K164" s="1497">
        <v>1551041</v>
      </c>
      <c r="L164" s="865">
        <f t="shared" si="86"/>
        <v>1.3002618628392157</v>
      </c>
      <c r="M164" s="1497">
        <v>180905</v>
      </c>
      <c r="N164" s="866">
        <f t="shared" si="69"/>
        <v>0.11663456994367009</v>
      </c>
      <c r="O164" s="867">
        <f t="shared" si="70"/>
        <v>7.8588209281114402E-2</v>
      </c>
      <c r="P164" s="1497">
        <v>14217</v>
      </c>
      <c r="Q164" s="1497">
        <v>9320</v>
      </c>
      <c r="R164" s="868">
        <f t="shared" si="71"/>
        <v>0.65555321094464369</v>
      </c>
      <c r="S164" s="869">
        <f t="shared" si="72"/>
        <v>141.85548709291692</v>
      </c>
      <c r="T164" s="870">
        <f t="shared" si="73"/>
        <v>216.3905</v>
      </c>
      <c r="U164" s="871">
        <f t="shared" si="74"/>
        <v>0</v>
      </c>
      <c r="V164" s="872">
        <f t="shared" si="75"/>
        <v>0</v>
      </c>
      <c r="W164" s="1498">
        <v>720</v>
      </c>
      <c r="X164" s="2229"/>
      <c r="Y164" s="1499">
        <v>1052</v>
      </c>
      <c r="Z164" s="1497">
        <v>734</v>
      </c>
      <c r="AA164" s="867">
        <f t="shared" si="87"/>
        <v>0.69771863117870725</v>
      </c>
      <c r="AB164" s="869">
        <f t="shared" si="76"/>
        <v>1917.0717300380227</v>
      </c>
      <c r="AC164" s="873">
        <f t="shared" si="77"/>
        <v>2747.6286920980924</v>
      </c>
      <c r="AD164" s="874">
        <f t="shared" si="88"/>
        <v>528480</v>
      </c>
      <c r="AE164" s="903">
        <f t="shared" si="78"/>
        <v>0.26204414085158179</v>
      </c>
      <c r="AF164" s="1500">
        <f t="shared" si="79"/>
        <v>720</v>
      </c>
      <c r="AG164" s="876" t="s">
        <v>282</v>
      </c>
      <c r="AH164" s="1567">
        <v>956330</v>
      </c>
      <c r="AI164" s="1534"/>
      <c r="AJ164" s="1567">
        <v>1060429.46</v>
      </c>
      <c r="AK164" s="910">
        <v>965240</v>
      </c>
      <c r="AL164" s="1568"/>
      <c r="AM164" s="1568">
        <v>2240000</v>
      </c>
      <c r="AN164" s="1480" t="s">
        <v>286</v>
      </c>
      <c r="AO164" s="1463"/>
      <c r="AP164" s="1463"/>
      <c r="AQ164" s="1463"/>
      <c r="AR164" s="891">
        <f t="shared" si="83"/>
        <v>0.99076913513737519</v>
      </c>
      <c r="AS164" s="891"/>
      <c r="AT164" s="891">
        <f t="shared" si="80"/>
        <v>0.47340600892857143</v>
      </c>
      <c r="AU164" s="892">
        <f t="shared" si="84"/>
        <v>0.47340600892857143</v>
      </c>
    </row>
    <row r="165" spans="2:47" s="1480" customFormat="1">
      <c r="B165" s="1494" t="s">
        <v>316</v>
      </c>
      <c r="C165" s="1495" t="s">
        <v>807</v>
      </c>
      <c r="D165" s="1496" t="s">
        <v>284</v>
      </c>
      <c r="E165" s="1549"/>
      <c r="F165" s="1549"/>
      <c r="G165" s="1550"/>
      <c r="H165" s="862">
        <f t="shared" si="85"/>
        <v>3181259.2680000002</v>
      </c>
      <c r="I165" s="863">
        <f t="shared" si="81"/>
        <v>1565806.77</v>
      </c>
      <c r="J165" s="864">
        <f t="shared" si="82"/>
        <v>1615452.4979999999</v>
      </c>
      <c r="K165" s="1497">
        <v>1290954</v>
      </c>
      <c r="L165" s="865">
        <f t="shared" si="86"/>
        <v>2.4642700421548716</v>
      </c>
      <c r="M165" s="1497">
        <v>195217</v>
      </c>
      <c r="N165" s="866">
        <f t="shared" si="69"/>
        <v>0.15121917589627515</v>
      </c>
      <c r="O165" s="867">
        <f t="shared" si="70"/>
        <v>5.5282070721299884E-2</v>
      </c>
      <c r="P165" s="1497">
        <v>10792</v>
      </c>
      <c r="Q165" s="1497">
        <v>7504</v>
      </c>
      <c r="R165" s="868">
        <f t="shared" si="71"/>
        <v>0.69532987398072643</v>
      </c>
      <c r="S165" s="869">
        <f t="shared" si="72"/>
        <v>294.77939844329131</v>
      </c>
      <c r="T165" s="870">
        <f t="shared" si="73"/>
        <v>423.94180010660983</v>
      </c>
      <c r="U165" s="871">
        <f t="shared" si="74"/>
        <v>0</v>
      </c>
      <c r="V165" s="872">
        <f t="shared" si="75"/>
        <v>0</v>
      </c>
      <c r="W165" s="1498">
        <v>1820</v>
      </c>
      <c r="X165" s="2229"/>
      <c r="Y165" s="1499">
        <v>1461</v>
      </c>
      <c r="Z165" s="1497">
        <v>919</v>
      </c>
      <c r="AA165" s="867">
        <f t="shared" si="87"/>
        <v>0.62902121834360025</v>
      </c>
      <c r="AB165" s="869">
        <f t="shared" si="76"/>
        <v>2177.4532977412732</v>
      </c>
      <c r="AC165" s="873">
        <f t="shared" si="77"/>
        <v>3461.6531751904245</v>
      </c>
      <c r="AD165" s="874">
        <f t="shared" si="88"/>
        <v>1672580</v>
      </c>
      <c r="AE165" s="903">
        <f t="shared" si="78"/>
        <v>0.52576035434280111</v>
      </c>
      <c r="AF165" s="1500">
        <f t="shared" si="79"/>
        <v>1820</v>
      </c>
      <c r="AG165" s="876" t="s">
        <v>257</v>
      </c>
      <c r="AH165" s="1567">
        <v>1615452.4979999999</v>
      </c>
      <c r="AI165" s="1534">
        <v>0</v>
      </c>
      <c r="AJ165" s="1567">
        <v>1565806.77</v>
      </c>
      <c r="AK165" s="910">
        <v>3699671.0326</v>
      </c>
      <c r="AL165" s="1568">
        <v>0</v>
      </c>
      <c r="AM165" s="1568">
        <f>6417165.835*0.44</f>
        <v>2823552.9674</v>
      </c>
      <c r="AN165" s="1480" t="s">
        <v>287</v>
      </c>
      <c r="AO165" s="1463"/>
      <c r="AP165" s="1463"/>
      <c r="AQ165" s="1463"/>
      <c r="AR165" s="891">
        <f t="shared" si="83"/>
        <v>0.43664760562906485</v>
      </c>
      <c r="AS165" s="891"/>
      <c r="AT165" s="891">
        <f t="shared" si="80"/>
        <v>0.55455193795844926</v>
      </c>
      <c r="AU165" s="892">
        <f t="shared" si="84"/>
        <v>0.55455193795844926</v>
      </c>
    </row>
    <row r="166" spans="2:47" s="1480" customFormat="1">
      <c r="B166" s="1494" t="s">
        <v>316</v>
      </c>
      <c r="C166" s="1495" t="s">
        <v>808</v>
      </c>
      <c r="D166" s="1496" t="s">
        <v>284</v>
      </c>
      <c r="E166" s="1549"/>
      <c r="F166" s="1549"/>
      <c r="G166" s="1549"/>
      <c r="H166" s="862">
        <f t="shared" si="85"/>
        <v>5808447.1087142862</v>
      </c>
      <c r="I166" s="863">
        <f t="shared" si="81"/>
        <v>2787610.0257142861</v>
      </c>
      <c r="J166" s="864">
        <f t="shared" si="82"/>
        <v>3020837.0830000001</v>
      </c>
      <c r="K166" s="1497">
        <v>5871600</v>
      </c>
      <c r="L166" s="865">
        <f t="shared" si="86"/>
        <v>0.98924434714801524</v>
      </c>
      <c r="M166" s="1497">
        <v>354772</v>
      </c>
      <c r="N166" s="866">
        <f t="shared" si="69"/>
        <v>6.0421690850875398E-2</v>
      </c>
      <c r="O166" s="867">
        <f t="shared" si="70"/>
        <v>4.5003551576787343E-2</v>
      </c>
      <c r="P166" s="1497">
        <v>15966</v>
      </c>
      <c r="Q166" s="1497">
        <v>11557</v>
      </c>
      <c r="R166" s="868">
        <f t="shared" si="71"/>
        <v>0.72385068270073905</v>
      </c>
      <c r="S166" s="869">
        <f t="shared" si="72"/>
        <v>363.80102146525655</v>
      </c>
      <c r="T166" s="870">
        <f t="shared" si="73"/>
        <v>502.59125280905823</v>
      </c>
      <c r="U166" s="871">
        <f t="shared" si="74"/>
        <v>0</v>
      </c>
      <c r="V166" s="872">
        <f t="shared" si="75"/>
        <v>0</v>
      </c>
      <c r="W166" s="1553">
        <v>1400</v>
      </c>
      <c r="X166" s="2229"/>
      <c r="Y166" s="1499">
        <v>2097</v>
      </c>
      <c r="Z166" s="1497">
        <v>1451</v>
      </c>
      <c r="AA166" s="867">
        <f t="shared" si="87"/>
        <v>0.6919408679065332</v>
      </c>
      <c r="AB166" s="869">
        <f t="shared" si="76"/>
        <v>2769.8841720144428</v>
      </c>
      <c r="AC166" s="873">
        <f t="shared" si="77"/>
        <v>4003.0648578320374</v>
      </c>
      <c r="AD166" s="874">
        <f t="shared" si="88"/>
        <v>2031400</v>
      </c>
      <c r="AE166" s="903">
        <f t="shared" si="78"/>
        <v>0.34973203026198429</v>
      </c>
      <c r="AF166" s="1500">
        <f t="shared" si="79"/>
        <v>1400</v>
      </c>
      <c r="AG166" s="876" t="s">
        <v>288</v>
      </c>
      <c r="AH166" s="1567">
        <v>3020837.0830000001</v>
      </c>
      <c r="AI166" s="1534">
        <v>650332.28571428603</v>
      </c>
      <c r="AJ166" s="1567">
        <v>2137277.7400000002</v>
      </c>
      <c r="AK166" s="910">
        <v>4680663.3158590198</v>
      </c>
      <c r="AL166" s="1568">
        <v>650332.28571428603</v>
      </c>
      <c r="AM166" s="1568">
        <f>6334458.688*0.8</f>
        <v>5067566.9504000004</v>
      </c>
      <c r="AN166" s="1480" t="s">
        <v>289</v>
      </c>
      <c r="AO166" s="1463"/>
      <c r="AP166" s="1463"/>
      <c r="AQ166" s="1463"/>
      <c r="AR166" s="891">
        <f t="shared" si="83"/>
        <v>0.64538653587084593</v>
      </c>
      <c r="AS166" s="891">
        <f t="shared" si="80"/>
        <v>1</v>
      </c>
      <c r="AT166" s="891">
        <f t="shared" si="80"/>
        <v>0.42175619205806397</v>
      </c>
      <c r="AU166" s="892">
        <f t="shared" si="84"/>
        <v>0.48752346108300126</v>
      </c>
    </row>
    <row r="167" spans="2:47" s="1480" customFormat="1">
      <c r="B167" s="1494" t="s">
        <v>316</v>
      </c>
      <c r="C167" s="1554" t="s">
        <v>809</v>
      </c>
      <c r="D167" s="1496" t="s">
        <v>284</v>
      </c>
      <c r="E167" s="1555"/>
      <c r="F167" s="1555"/>
      <c r="G167" s="1556"/>
      <c r="H167" s="862">
        <f t="shared" si="85"/>
        <v>4319539.7328571426</v>
      </c>
      <c r="I167" s="863">
        <f t="shared" si="81"/>
        <v>3372439.2728571426</v>
      </c>
      <c r="J167" s="864">
        <f t="shared" si="82"/>
        <v>947100.46</v>
      </c>
      <c r="K167" s="1497">
        <v>4302747</v>
      </c>
      <c r="L167" s="865">
        <f t="shared" si="86"/>
        <v>1.0039027934612801</v>
      </c>
      <c r="M167" s="1497">
        <v>313167</v>
      </c>
      <c r="N167" s="866">
        <f t="shared" si="69"/>
        <v>7.2783038370603709E-2</v>
      </c>
      <c r="O167" s="867">
        <f t="shared" si="70"/>
        <v>4.3056899354018782E-2</v>
      </c>
      <c r="P167" s="1497">
        <v>13484</v>
      </c>
      <c r="Q167" s="1497">
        <v>9436</v>
      </c>
      <c r="R167" s="868">
        <f t="shared" si="71"/>
        <v>0.69979234648472266</v>
      </c>
      <c r="S167" s="869">
        <f t="shared" si="72"/>
        <v>320.34557496715684</v>
      </c>
      <c r="T167" s="870">
        <f t="shared" si="73"/>
        <v>457.7723328589596</v>
      </c>
      <c r="U167" s="871">
        <f t="shared" si="74"/>
        <v>0</v>
      </c>
      <c r="V167" s="872">
        <f t="shared" si="75"/>
        <v>0</v>
      </c>
      <c r="W167" s="1557">
        <v>930</v>
      </c>
      <c r="X167" s="2229"/>
      <c r="Y167" s="1499">
        <v>4856</v>
      </c>
      <c r="Z167" s="1497">
        <v>3372</v>
      </c>
      <c r="AA167" s="867">
        <f t="shared" si="87"/>
        <v>0.69439868204283361</v>
      </c>
      <c r="AB167" s="869">
        <f t="shared" si="76"/>
        <v>889.52630413038355</v>
      </c>
      <c r="AC167" s="873">
        <f t="shared" si="77"/>
        <v>1281.0022932553804</v>
      </c>
      <c r="AD167" s="874">
        <f t="shared" si="88"/>
        <v>3135960</v>
      </c>
      <c r="AE167" s="903">
        <f t="shared" si="78"/>
        <v>0.72599401647955941</v>
      </c>
      <c r="AF167" s="1500">
        <f t="shared" si="79"/>
        <v>930</v>
      </c>
      <c r="AG167" s="876" t="s">
        <v>290</v>
      </c>
      <c r="AH167" s="1567">
        <v>947100.46</v>
      </c>
      <c r="AI167" s="1534">
        <v>590575.14285714296</v>
      </c>
      <c r="AJ167" s="1567">
        <v>2781864.13</v>
      </c>
      <c r="AK167" s="910">
        <v>1079914.22</v>
      </c>
      <c r="AL167" s="1568">
        <v>954000</v>
      </c>
      <c r="AM167" s="1568">
        <v>5523660</v>
      </c>
      <c r="AN167" s="1480" t="s">
        <v>291</v>
      </c>
      <c r="AO167" s="1463"/>
      <c r="AP167" s="1463"/>
      <c r="AQ167" s="1463"/>
      <c r="AR167" s="891">
        <f t="shared" si="83"/>
        <v>0.87701452806131208</v>
      </c>
      <c r="AS167" s="891">
        <f t="shared" si="80"/>
        <v>0.61905151242887102</v>
      </c>
      <c r="AT167" s="891">
        <f t="shared" si="80"/>
        <v>0.50362696654030115</v>
      </c>
      <c r="AU167" s="892">
        <f t="shared" si="84"/>
        <v>0.52062616328383127</v>
      </c>
    </row>
    <row r="168" spans="2:47" s="1480" customFormat="1">
      <c r="B168" s="1494" t="s">
        <v>316</v>
      </c>
      <c r="C168" s="1554" t="s">
        <v>810</v>
      </c>
      <c r="D168" s="1496" t="s">
        <v>277</v>
      </c>
      <c r="E168" s="1558"/>
      <c r="F168" s="1558"/>
      <c r="G168" s="1559"/>
      <c r="H168" s="862">
        <f t="shared" si="85"/>
        <v>1448533.78</v>
      </c>
      <c r="I168" s="863">
        <f t="shared" si="81"/>
        <v>1012292.9</v>
      </c>
      <c r="J168" s="864">
        <f t="shared" si="82"/>
        <v>436240.88</v>
      </c>
      <c r="K168" s="1497">
        <v>1912576</v>
      </c>
      <c r="L168" s="865">
        <f t="shared" si="86"/>
        <v>0.75737318673872311</v>
      </c>
      <c r="M168" s="1497">
        <v>178433</v>
      </c>
      <c r="N168" s="866">
        <f t="shared" si="69"/>
        <v>9.3294593260607683E-2</v>
      </c>
      <c r="O168" s="867">
        <f t="shared" si="70"/>
        <v>3.5834178655293585E-2</v>
      </c>
      <c r="P168" s="1497">
        <v>6394</v>
      </c>
      <c r="Q168" s="1497">
        <v>4463</v>
      </c>
      <c r="R168" s="868">
        <f t="shared" si="71"/>
        <v>0.697998123240538</v>
      </c>
      <c r="S168" s="869">
        <f t="shared" si="72"/>
        <v>226.54578980294025</v>
      </c>
      <c r="T168" s="870">
        <f t="shared" si="73"/>
        <v>324.56504145193816</v>
      </c>
      <c r="U168" s="871">
        <f t="shared" si="74"/>
        <v>0</v>
      </c>
      <c r="V168" s="872">
        <f t="shared" si="75"/>
        <v>0</v>
      </c>
      <c r="W168" s="1557">
        <v>1650</v>
      </c>
      <c r="X168" s="2229"/>
      <c r="Y168" s="1499">
        <v>776</v>
      </c>
      <c r="Z168" s="1497">
        <v>571</v>
      </c>
      <c r="AA168" s="867">
        <f t="shared" si="87"/>
        <v>0.73582474226804129</v>
      </c>
      <c r="AB168" s="869">
        <f t="shared" si="76"/>
        <v>1866.6672422680413</v>
      </c>
      <c r="AC168" s="873">
        <f t="shared" si="77"/>
        <v>2536.8367425569177</v>
      </c>
      <c r="AD168" s="874">
        <f t="shared" si="88"/>
        <v>942150</v>
      </c>
      <c r="AE168" s="903">
        <f t="shared" si="78"/>
        <v>0.65041631269379163</v>
      </c>
      <c r="AF168" s="1500">
        <f t="shared" si="79"/>
        <v>1650</v>
      </c>
      <c r="AG168" s="876" t="s">
        <v>292</v>
      </c>
      <c r="AH168" s="1567">
        <v>436240.88</v>
      </c>
      <c r="AI168" s="1534">
        <v>0</v>
      </c>
      <c r="AJ168" s="1567">
        <v>1012292.9</v>
      </c>
      <c r="AK168" s="1568">
        <v>600000</v>
      </c>
      <c r="AL168" s="1568"/>
      <c r="AM168" s="1568">
        <v>2254461</v>
      </c>
      <c r="AN168" s="1480" t="s">
        <v>293</v>
      </c>
      <c r="AO168" s="1463"/>
      <c r="AP168" s="1463"/>
      <c r="AQ168" s="1463"/>
      <c r="AR168" s="891">
        <f t="shared" si="83"/>
        <v>0.72706813333333331</v>
      </c>
      <c r="AS168" s="891"/>
      <c r="AT168" s="891">
        <f t="shared" si="80"/>
        <v>0.44901770312283068</v>
      </c>
      <c r="AU168" s="892">
        <f t="shared" si="84"/>
        <v>0.44901770312283068</v>
      </c>
    </row>
    <row r="169" spans="2:47" s="1480" customFormat="1">
      <c r="B169" s="1494" t="s">
        <v>316</v>
      </c>
      <c r="C169" s="1560" t="s">
        <v>811</v>
      </c>
      <c r="D169" s="1496" t="s">
        <v>294</v>
      </c>
      <c r="E169" s="1561"/>
      <c r="F169" s="1561"/>
      <c r="G169" s="1562"/>
      <c r="H169" s="862">
        <f t="shared" si="85"/>
        <v>2191393.61</v>
      </c>
      <c r="I169" s="863">
        <f t="shared" si="81"/>
        <v>1670069.71</v>
      </c>
      <c r="J169" s="864">
        <f t="shared" si="82"/>
        <v>521323.9</v>
      </c>
      <c r="K169" s="1497">
        <v>1335273</v>
      </c>
      <c r="L169" s="865">
        <f t="shared" si="86"/>
        <v>1.6411577332874998</v>
      </c>
      <c r="M169" s="1497">
        <v>116821</v>
      </c>
      <c r="N169" s="866">
        <f t="shared" si="69"/>
        <v>8.7488476139336302E-2</v>
      </c>
      <c r="O169" s="867">
        <f t="shared" si="70"/>
        <v>3.9992809511988428E-2</v>
      </c>
      <c r="P169" s="1497">
        <v>4672</v>
      </c>
      <c r="Q169" s="1497">
        <v>3416</v>
      </c>
      <c r="R169" s="868">
        <f t="shared" si="71"/>
        <v>0.73116438356164382</v>
      </c>
      <c r="S169" s="869">
        <f t="shared" si="72"/>
        <v>469.04828981164383</v>
      </c>
      <c r="T169" s="870">
        <f t="shared" si="73"/>
        <v>641.50866803278689</v>
      </c>
      <c r="U169" s="871">
        <f t="shared" si="74"/>
        <v>0</v>
      </c>
      <c r="V169" s="872">
        <f t="shared" si="75"/>
        <v>0</v>
      </c>
      <c r="W169" s="1557">
        <v>1380</v>
      </c>
      <c r="X169" s="2229"/>
      <c r="Y169" s="1563">
        <v>230</v>
      </c>
      <c r="Z169" s="1564">
        <v>183</v>
      </c>
      <c r="AA169" s="867">
        <f t="shared" si="87"/>
        <v>0.79565217391304344</v>
      </c>
      <c r="AB169" s="869">
        <f t="shared" si="76"/>
        <v>9527.7983043478253</v>
      </c>
      <c r="AC169" s="873">
        <f t="shared" si="77"/>
        <v>11974.828469945354</v>
      </c>
      <c r="AD169" s="874">
        <f t="shared" si="88"/>
        <v>252540</v>
      </c>
      <c r="AE169" s="903">
        <f t="shared" si="78"/>
        <v>0.11524173423139626</v>
      </c>
      <c r="AF169" s="1500">
        <f t="shared" si="79"/>
        <v>1380</v>
      </c>
      <c r="AG169" s="876" t="s">
        <v>290</v>
      </c>
      <c r="AH169" s="1567">
        <v>521323.9</v>
      </c>
      <c r="AI169" s="1534">
        <v>0</v>
      </c>
      <c r="AJ169" s="1567">
        <v>1670069.71</v>
      </c>
      <c r="AK169" s="1568">
        <v>605676.57999999996</v>
      </c>
      <c r="AL169" s="1568"/>
      <c r="AM169" s="1568">
        <v>4178944</v>
      </c>
      <c r="AN169" s="1480" t="s">
        <v>295</v>
      </c>
      <c r="AO169" s="1463"/>
      <c r="AP169" s="1463"/>
      <c r="AQ169" s="1463"/>
      <c r="AR169" s="891">
        <f t="shared" si="83"/>
        <v>0.86072983043194451</v>
      </c>
      <c r="AS169" s="891"/>
      <c r="AT169" s="891">
        <f t="shared" si="80"/>
        <v>0.39963916960839868</v>
      </c>
      <c r="AU169" s="892">
        <f t="shared" si="84"/>
        <v>0.39963916960839868</v>
      </c>
    </row>
    <row r="170" spans="2:47" s="1480" customFormat="1">
      <c r="B170" s="1502"/>
      <c r="C170" s="1503" t="s">
        <v>0</v>
      </c>
      <c r="D170" s="1503"/>
      <c r="E170" s="1503"/>
      <c r="F170" s="1503"/>
      <c r="G170" s="1565"/>
      <c r="H170" s="882">
        <f t="shared" si="85"/>
        <v>32055566.351857144</v>
      </c>
      <c r="I170" s="883">
        <f>SUM(I160:I169)</f>
        <v>17528698.322857141</v>
      </c>
      <c r="J170" s="884">
        <f>SUM(J160:J169)</f>
        <v>14526868.029000003</v>
      </c>
      <c r="K170" s="885">
        <f>SUM(K160:K169)</f>
        <v>29135347</v>
      </c>
      <c r="L170" s="886">
        <f t="shared" si="86"/>
        <v>1.1002294344343022</v>
      </c>
      <c r="M170" s="883">
        <f>SUM(M160:M169)</f>
        <v>2506745</v>
      </c>
      <c r="N170" s="887">
        <f t="shared" si="69"/>
        <v>8.6037931863313655E-2</v>
      </c>
      <c r="O170" s="887">
        <f t="shared" si="70"/>
        <v>5.1368208573269319E-2</v>
      </c>
      <c r="P170" s="883">
        <f>SUM(P160:P169)</f>
        <v>128767</v>
      </c>
      <c r="Q170" s="883">
        <f>SUM(Q160:Q169)</f>
        <v>92342</v>
      </c>
      <c r="R170" s="887">
        <f t="shared" si="71"/>
        <v>0.71712472916197478</v>
      </c>
      <c r="S170" s="1504">
        <f t="shared" si="72"/>
        <v>248.94240257097815</v>
      </c>
      <c r="T170" s="1504">
        <f t="shared" si="73"/>
        <v>347.13961525478271</v>
      </c>
      <c r="U170" s="1505">
        <f>X160*Q170</f>
        <v>93727130</v>
      </c>
      <c r="V170" s="888">
        <f t="shared" si="75"/>
        <v>2.9238956183524083</v>
      </c>
      <c r="W170" s="1506">
        <f>X160</f>
        <v>1015</v>
      </c>
      <c r="X170" s="2242"/>
      <c r="Y170" s="1507">
        <f>SUM(Y160:Y169)</f>
        <v>21631</v>
      </c>
      <c r="Z170" s="1507">
        <f>SUM(Z160:Z169)</f>
        <v>15843</v>
      </c>
      <c r="AA170" s="889">
        <f t="shared" si="87"/>
        <v>0.73242106236419957</v>
      </c>
      <c r="AB170" s="1507">
        <f t="shared" si="76"/>
        <v>1481.9271578686673</v>
      </c>
      <c r="AC170" s="1507">
        <f t="shared" si="77"/>
        <v>2023.3267911290252</v>
      </c>
      <c r="AD170" s="1508">
        <f t="shared" si="88"/>
        <v>16080645</v>
      </c>
      <c r="AE170" s="908">
        <f t="shared" si="78"/>
        <v>0.50164906847975144</v>
      </c>
      <c r="AF170" s="1509">
        <v>1015</v>
      </c>
      <c r="AG170" s="1510"/>
      <c r="AH170" s="1566">
        <f>SUM(AH160:AH169)</f>
        <v>14526868.029000003</v>
      </c>
      <c r="AI170" s="1566">
        <f t="shared" ref="AI170:AM170" si="89">SUM(AI160:AI169)</f>
        <v>2235199.1428571427</v>
      </c>
      <c r="AJ170" s="1566">
        <f t="shared" si="89"/>
        <v>15293499.18</v>
      </c>
      <c r="AK170" s="1566">
        <f t="shared" si="89"/>
        <v>20443946.555687681</v>
      </c>
      <c r="AL170" s="1566">
        <f t="shared" si="89"/>
        <v>2598624</v>
      </c>
      <c r="AM170" s="1566">
        <f t="shared" si="89"/>
        <v>33136319.528200001</v>
      </c>
      <c r="AN170" s="1463"/>
      <c r="AO170" s="1463"/>
      <c r="AP170" s="1463"/>
      <c r="AQ170" s="1463"/>
      <c r="AR170" s="891">
        <f t="shared" si="83"/>
        <v>0.71057063221281525</v>
      </c>
      <c r="AS170" s="891">
        <f t="shared" si="83"/>
        <v>0.86014719438331311</v>
      </c>
      <c r="AT170" s="891">
        <f t="shared" si="80"/>
        <v>0.4615328255446346</v>
      </c>
      <c r="AU170" s="892">
        <f t="shared" si="84"/>
        <v>0.49051982715530196</v>
      </c>
    </row>
    <row r="171" spans="2:47" s="1480" customFormat="1">
      <c r="B171" s="1512"/>
      <c r="C171" s="1513" t="s">
        <v>260</v>
      </c>
      <c r="D171" s="1513"/>
      <c r="E171" s="1513"/>
      <c r="F171" s="1513"/>
      <c r="G171" s="1513"/>
      <c r="H171" s="893"/>
      <c r="I171" s="894"/>
      <c r="J171" s="894"/>
      <c r="K171" s="894">
        <v>23039658</v>
      </c>
      <c r="L171" s="895">
        <f>H170/K171</f>
        <v>1.3913212753356472</v>
      </c>
      <c r="M171" s="894">
        <v>1646244</v>
      </c>
      <c r="N171" s="896">
        <f t="shared" si="69"/>
        <v>7.1452623124874506E-2</v>
      </c>
      <c r="O171" s="896">
        <f t="shared" si="70"/>
        <v>4.3964928649701987E-2</v>
      </c>
      <c r="P171" s="894">
        <v>72377</v>
      </c>
      <c r="Q171" s="894">
        <v>52056</v>
      </c>
      <c r="R171" s="896">
        <f t="shared" si="71"/>
        <v>0.7192340108045373</v>
      </c>
      <c r="S171" s="1514">
        <f>H170/P171</f>
        <v>442.89714069189307</v>
      </c>
      <c r="T171" s="1514">
        <f>H170/Q171</f>
        <v>615.7900405689478</v>
      </c>
      <c r="U171" s="1515">
        <f>Q171*$X$163</f>
        <v>0</v>
      </c>
      <c r="V171" s="897">
        <f>U171/H170</f>
        <v>0</v>
      </c>
      <c r="W171" s="1514">
        <f>W170</f>
        <v>1015</v>
      </c>
      <c r="X171" s="1516"/>
      <c r="Y171" s="894"/>
      <c r="Z171" s="894"/>
      <c r="AA171" s="896"/>
      <c r="AB171" s="1517"/>
      <c r="AC171" s="1517"/>
      <c r="AD171" s="1516"/>
      <c r="AE171" s="898"/>
      <c r="AF171" s="1516"/>
      <c r="AG171" s="1510"/>
      <c r="AH171" s="1518"/>
      <c r="AI171" s="1519"/>
      <c r="AJ171" s="1463"/>
      <c r="AK171" s="1463"/>
    </row>
    <row r="172" spans="2:47">
      <c r="B172" s="1472"/>
      <c r="C172" s="1466" t="s">
        <v>296</v>
      </c>
      <c r="D172" s="1465" t="s">
        <v>277</v>
      </c>
      <c r="E172" s="1465"/>
      <c r="F172" s="1465"/>
      <c r="G172" s="1465"/>
      <c r="H172" s="1466">
        <f>SUM(I172:J172)</f>
        <v>56178890.083887681</v>
      </c>
      <c r="I172" s="1466">
        <f>AL170+AM170</f>
        <v>35734943.528200001</v>
      </c>
      <c r="J172" s="1466">
        <f>AK170</f>
        <v>20443946.555687681</v>
      </c>
      <c r="K172" s="1467"/>
      <c r="L172" s="1468"/>
      <c r="N172" s="845"/>
      <c r="R172" s="845"/>
      <c r="S172" s="1467"/>
      <c r="V172" s="1469"/>
      <c r="X172" s="1467"/>
      <c r="AA172" s="845"/>
      <c r="AB172" s="1467"/>
      <c r="AD172" s="1467"/>
      <c r="AE172" s="1469"/>
      <c r="AF172" s="1467"/>
      <c r="AG172" s="1470"/>
      <c r="AH172" s="1471"/>
      <c r="AI172" s="1471"/>
      <c r="AJ172" s="1471"/>
    </row>
    <row r="173" spans="2:47">
      <c r="B173" s="1472"/>
      <c r="C173" s="1466" t="s">
        <v>297</v>
      </c>
      <c r="D173" s="1465" t="s">
        <v>277</v>
      </c>
      <c r="E173" s="1465"/>
      <c r="F173" s="1465"/>
      <c r="G173" s="1465"/>
      <c r="H173" s="899">
        <f>H170/H172</f>
        <v>0.57059807169545351</v>
      </c>
      <c r="I173" s="899">
        <f t="shared" ref="I173:J173" si="90">I170/I172</f>
        <v>0.49051982715530196</v>
      </c>
      <c r="J173" s="899">
        <f t="shared" si="90"/>
        <v>0.71057063221281525</v>
      </c>
      <c r="K173" s="1467"/>
      <c r="L173" s="1468"/>
      <c r="N173" s="845"/>
      <c r="R173" s="845"/>
      <c r="S173" s="1467"/>
      <c r="V173" s="1469"/>
      <c r="X173" s="1467"/>
      <c r="AA173" s="845"/>
      <c r="AB173" s="1467"/>
      <c r="AD173" s="1467"/>
      <c r="AE173" s="1469"/>
      <c r="AF173" s="1467"/>
      <c r="AG173" s="1470"/>
      <c r="AH173" s="1471"/>
      <c r="AI173" s="1471"/>
      <c r="AJ173" s="1471"/>
    </row>
    <row r="174" spans="2:47">
      <c r="E174" s="1465"/>
      <c r="F174" s="1465"/>
      <c r="G174" s="1465"/>
      <c r="H174" s="1466"/>
      <c r="I174" s="1466"/>
      <c r="J174" s="1466"/>
      <c r="K174" s="1467"/>
      <c r="L174" s="1468"/>
      <c r="N174" s="845"/>
      <c r="R174" s="845"/>
      <c r="S174" s="1467"/>
      <c r="V174" s="1469"/>
      <c r="X174" s="1467"/>
      <c r="AA174" s="845"/>
      <c r="AB174" s="1467"/>
      <c r="AD174" s="1467"/>
      <c r="AE174" s="1469"/>
      <c r="AF174" s="1467"/>
      <c r="AG174" s="1470"/>
      <c r="AH174" s="1471"/>
      <c r="AI174" s="1471"/>
      <c r="AJ174" s="1471"/>
    </row>
    <row r="175" spans="2:47">
      <c r="B175" s="1472"/>
      <c r="E175" s="1465"/>
      <c r="F175" s="1465"/>
      <c r="G175" s="1465"/>
      <c r="H175" s="1466"/>
      <c r="I175" s="1466"/>
      <c r="J175" s="1466"/>
      <c r="K175" s="1467"/>
      <c r="L175" s="1468"/>
      <c r="N175" s="845"/>
      <c r="R175" s="845"/>
      <c r="S175" s="1467"/>
      <c r="V175" s="1469"/>
      <c r="X175" s="1467"/>
      <c r="AA175" s="845"/>
      <c r="AB175" s="1467"/>
      <c r="AD175" s="1467"/>
      <c r="AE175" s="1469"/>
      <c r="AF175" s="1467"/>
      <c r="AG175" s="1470"/>
      <c r="AH175" s="1471"/>
      <c r="AI175" s="1471"/>
      <c r="AJ175" s="1471"/>
    </row>
    <row r="176" spans="2:47">
      <c r="B176" s="1472"/>
      <c r="E176" s="1465"/>
      <c r="F176" s="1465"/>
      <c r="G176" s="1465"/>
      <c r="H176" s="1466"/>
      <c r="I176" s="1466"/>
      <c r="J176" s="1466"/>
      <c r="K176" s="1467"/>
      <c r="L176" s="1468"/>
      <c r="N176" s="845"/>
      <c r="R176" s="845"/>
      <c r="S176" s="1467"/>
      <c r="V176" s="1469"/>
      <c r="X176" s="1467"/>
      <c r="AA176" s="845"/>
      <c r="AB176" s="1467"/>
      <c r="AD176" s="1467"/>
      <c r="AE176" s="1469"/>
      <c r="AF176" s="1467"/>
      <c r="AG176" s="1470"/>
      <c r="AH176" s="1471"/>
      <c r="AI176" s="1471"/>
      <c r="AJ176" s="1471"/>
    </row>
    <row r="177" spans="2:40">
      <c r="E177" s="1465"/>
      <c r="F177" s="1465"/>
      <c r="G177" s="1465"/>
      <c r="H177" s="1466"/>
      <c r="I177" s="1466"/>
      <c r="J177" s="1466"/>
      <c r="K177" s="1467"/>
      <c r="L177" s="1468"/>
      <c r="N177" s="845"/>
      <c r="R177" s="845"/>
      <c r="S177" s="1467"/>
      <c r="V177" s="1469"/>
      <c r="X177" s="1467"/>
      <c r="AA177" s="845"/>
      <c r="AB177" s="1467"/>
      <c r="AD177" s="1467"/>
      <c r="AE177" s="1469"/>
      <c r="AF177" s="1467"/>
      <c r="AG177" s="1470"/>
      <c r="AH177" s="1471"/>
      <c r="AI177" s="1471"/>
      <c r="AJ177" s="1471"/>
    </row>
    <row r="178" spans="2:40" s="1473" customFormat="1" ht="22.5">
      <c r="B178" s="850" t="s">
        <v>815</v>
      </c>
      <c r="C178" s="1474"/>
      <c r="D178" s="1474"/>
      <c r="E178" s="1474"/>
      <c r="F178" s="1474"/>
      <c r="G178" s="1474"/>
      <c r="H178" s="1475"/>
      <c r="I178" s="1476"/>
      <c r="J178" s="1476"/>
      <c r="K178" s="1476"/>
      <c r="L178" s="1477"/>
      <c r="M178" s="1476"/>
      <c r="N178" s="851"/>
      <c r="O178" s="851"/>
      <c r="P178" s="1476"/>
      <c r="Q178" s="1476"/>
      <c r="R178" s="851"/>
      <c r="S178" s="1476"/>
      <c r="T178" s="1476"/>
      <c r="U178" s="1476"/>
      <c r="V178" s="1478"/>
      <c r="W178" s="1476"/>
      <c r="X178" s="1476"/>
      <c r="Y178" s="1476"/>
      <c r="Z178" s="1476"/>
      <c r="AA178" s="851"/>
      <c r="AB178" s="1476"/>
      <c r="AC178" s="1476"/>
      <c r="AD178" s="1476"/>
      <c r="AE178" s="1478"/>
      <c r="AF178" s="1476"/>
      <c r="AG178" s="1479"/>
      <c r="AH178" s="1476"/>
      <c r="AI178" s="1476"/>
      <c r="AJ178" s="1476"/>
    </row>
    <row r="179" spans="2:40">
      <c r="B179" s="852" t="s">
        <v>238</v>
      </c>
      <c r="C179" s="853" t="s">
        <v>317</v>
      </c>
      <c r="E179" s="1465"/>
      <c r="F179" s="1465"/>
      <c r="G179" s="1465"/>
      <c r="H179" s="1466"/>
      <c r="I179" s="1466"/>
      <c r="J179" s="1466"/>
      <c r="K179" s="1467"/>
      <c r="L179" s="1468"/>
      <c r="N179" s="845"/>
      <c r="R179" s="845"/>
      <c r="S179" s="1467"/>
      <c r="V179" s="1469"/>
      <c r="X179" s="1467"/>
      <c r="AA179" s="845"/>
      <c r="AB179" s="1467"/>
      <c r="AD179" s="1467"/>
      <c r="AE179" s="1469"/>
      <c r="AF179" s="1467"/>
      <c r="AG179" s="1470"/>
      <c r="AH179" s="1471"/>
      <c r="AI179" s="1471"/>
      <c r="AJ179" s="1471"/>
    </row>
    <row r="180" spans="2:40">
      <c r="B180" s="854" t="s">
        <v>82</v>
      </c>
      <c r="C180" s="855" t="s">
        <v>318</v>
      </c>
      <c r="E180" s="1465"/>
      <c r="F180" s="1465"/>
      <c r="G180" s="1465"/>
      <c r="H180" s="1466"/>
      <c r="I180" s="1466"/>
      <c r="J180" s="1466"/>
      <c r="K180" s="1467"/>
      <c r="L180" s="1468"/>
      <c r="N180" s="845"/>
      <c r="R180" s="845"/>
      <c r="S180" s="1467"/>
      <c r="V180" s="1469"/>
      <c r="X180" s="1467"/>
      <c r="AA180" s="845"/>
      <c r="AB180" s="1467"/>
      <c r="AD180" s="1467"/>
      <c r="AE180" s="1469"/>
      <c r="AF180" s="1467"/>
      <c r="AG180" s="1470"/>
      <c r="AH180" s="1471"/>
      <c r="AI180" s="1471"/>
      <c r="AJ180" s="1471"/>
    </row>
    <row r="181" spans="2:40">
      <c r="B181" s="1571"/>
      <c r="C181" s="1572"/>
      <c r="E181" s="1465"/>
      <c r="F181" s="1465"/>
      <c r="G181" s="1465"/>
      <c r="H181" s="1466"/>
      <c r="I181" s="1466"/>
      <c r="J181" s="1466"/>
      <c r="K181" s="1467"/>
      <c r="L181" s="1468"/>
      <c r="N181" s="845"/>
      <c r="R181" s="845"/>
      <c r="S181" s="1467"/>
      <c r="V181" s="1469"/>
      <c r="X181" s="1467"/>
      <c r="AB181" s="1467"/>
      <c r="AD181" s="1467"/>
      <c r="AE181" s="1469"/>
      <c r="AF181" s="1467"/>
      <c r="AG181" s="1470"/>
      <c r="AH181" s="1471"/>
      <c r="AI181" s="1471"/>
      <c r="AJ181" s="1471"/>
    </row>
    <row r="182" spans="2:40">
      <c r="B182" s="1472"/>
      <c r="E182" s="1465"/>
      <c r="F182" s="1465"/>
      <c r="G182" s="1465"/>
      <c r="H182" s="1466"/>
      <c r="I182" s="1466"/>
      <c r="J182" s="1466"/>
      <c r="K182" s="1467"/>
      <c r="L182" s="1468"/>
      <c r="N182" s="845"/>
      <c r="R182" s="845"/>
      <c r="S182" s="1467"/>
      <c r="V182" s="1469"/>
      <c r="X182" s="1467"/>
      <c r="AA182" s="845"/>
      <c r="AB182" s="1467"/>
      <c r="AD182" s="1467"/>
      <c r="AE182" s="1469"/>
      <c r="AF182" s="1467"/>
      <c r="AG182" s="1470"/>
      <c r="AH182" s="1471"/>
      <c r="AI182" s="1471"/>
      <c r="AJ182" s="1471"/>
    </row>
    <row r="183" spans="2:40" s="1480" customFormat="1" ht="16.5" customHeight="1">
      <c r="B183" s="2238" t="s">
        <v>32</v>
      </c>
      <c r="C183" s="2239" t="s">
        <v>31</v>
      </c>
      <c r="D183" s="2239" t="s">
        <v>30</v>
      </c>
      <c r="E183" s="2240" t="s">
        <v>242</v>
      </c>
      <c r="F183" s="2240"/>
      <c r="G183" s="2240"/>
      <c r="H183" s="2241" t="s">
        <v>29</v>
      </c>
      <c r="I183" s="2241"/>
      <c r="J183" s="2241"/>
      <c r="K183" s="2237" t="s">
        <v>243</v>
      </c>
      <c r="L183" s="2237"/>
      <c r="M183" s="2237"/>
      <c r="N183" s="2237"/>
      <c r="O183" s="2237"/>
      <c r="P183" s="2237"/>
      <c r="Q183" s="2237"/>
      <c r="R183" s="2237"/>
      <c r="S183" s="2237"/>
      <c r="T183" s="2237"/>
      <c r="U183" s="2237"/>
      <c r="V183" s="2237"/>
      <c r="W183" s="2237"/>
      <c r="X183" s="2237"/>
      <c r="Y183" s="2237" t="s">
        <v>27</v>
      </c>
      <c r="Z183" s="2237"/>
      <c r="AA183" s="2237"/>
      <c r="AB183" s="2237"/>
      <c r="AC183" s="2237"/>
      <c r="AD183" s="2237"/>
      <c r="AE183" s="2237"/>
      <c r="AF183" s="2237"/>
      <c r="AG183" s="1481"/>
      <c r="AH183" s="1531" t="s">
        <v>244</v>
      </c>
      <c r="AI183" s="1531" t="s">
        <v>245</v>
      </c>
      <c r="AJ183" s="1531" t="s">
        <v>246</v>
      </c>
      <c r="AK183" s="1463"/>
      <c r="AL183" s="911"/>
    </row>
    <row r="184" spans="2:40" s="1480" customFormat="1" ht="33">
      <c r="B184" s="2238"/>
      <c r="C184" s="2239"/>
      <c r="D184" s="2239"/>
      <c r="E184" s="1542" t="s">
        <v>247</v>
      </c>
      <c r="F184" s="1543" t="s">
        <v>248</v>
      </c>
      <c r="G184" s="1544" t="s">
        <v>249</v>
      </c>
      <c r="H184" s="1482" t="s">
        <v>26</v>
      </c>
      <c r="I184" s="1483" t="s">
        <v>25</v>
      </c>
      <c r="J184" s="1484" t="s">
        <v>250</v>
      </c>
      <c r="K184" s="1485" t="s">
        <v>23</v>
      </c>
      <c r="L184" s="1485" t="s">
        <v>22</v>
      </c>
      <c r="M184" s="1485" t="s">
        <v>251</v>
      </c>
      <c r="N184" s="1485" t="s">
        <v>20</v>
      </c>
      <c r="O184" s="1485" t="s">
        <v>19</v>
      </c>
      <c r="P184" s="1485" t="s">
        <v>18</v>
      </c>
      <c r="Q184" s="1485" t="s">
        <v>17</v>
      </c>
      <c r="R184" s="1486" t="s">
        <v>16</v>
      </c>
      <c r="S184" s="1487" t="s">
        <v>15</v>
      </c>
      <c r="T184" s="1486" t="s">
        <v>14</v>
      </c>
      <c r="U184" s="1486" t="s">
        <v>13</v>
      </c>
      <c r="V184" s="1486" t="s">
        <v>12</v>
      </c>
      <c r="W184" s="1488" t="s">
        <v>3</v>
      </c>
      <c r="X184" s="1489" t="s">
        <v>11</v>
      </c>
      <c r="Y184" s="1573" t="s">
        <v>10</v>
      </c>
      <c r="Z184" s="1574" t="s">
        <v>9</v>
      </c>
      <c r="AA184" s="1575" t="s">
        <v>8</v>
      </c>
      <c r="AB184" s="1575" t="s">
        <v>7</v>
      </c>
      <c r="AC184" s="1575" t="s">
        <v>6</v>
      </c>
      <c r="AD184" s="1575" t="s">
        <v>5</v>
      </c>
      <c r="AE184" s="1575" t="s">
        <v>4</v>
      </c>
      <c r="AF184" s="1576" t="s">
        <v>3</v>
      </c>
      <c r="AG184" s="1481"/>
      <c r="AH184" s="1532"/>
      <c r="AI184" s="1533"/>
      <c r="AJ184" s="1534"/>
      <c r="AK184" s="1463"/>
    </row>
    <row r="185" spans="2:40" s="1480" customFormat="1">
      <c r="B185" s="1494" t="s">
        <v>319</v>
      </c>
      <c r="C185" s="1495" t="s">
        <v>797</v>
      </c>
      <c r="D185" s="1496" t="s">
        <v>277</v>
      </c>
      <c r="E185" s="1496"/>
      <c r="F185" s="1496"/>
      <c r="G185" s="1546"/>
      <c r="H185" s="862">
        <f t="shared" ref="H185:H194" si="91">I185+J185</f>
        <v>995039.08</v>
      </c>
      <c r="I185" s="863">
        <f>AI185+AJ185</f>
        <v>376435.38</v>
      </c>
      <c r="J185" s="864">
        <f>AH185</f>
        <v>618603.69999999995</v>
      </c>
      <c r="K185" s="1497">
        <v>899263</v>
      </c>
      <c r="L185" s="865">
        <f>H185/K185</f>
        <v>1.1065050824953322</v>
      </c>
      <c r="M185" s="1497">
        <v>61826</v>
      </c>
      <c r="N185" s="866">
        <f t="shared" ref="N185:N195" si="92">M185/K185</f>
        <v>6.875185568626753E-2</v>
      </c>
      <c r="O185" s="867">
        <f t="shared" ref="O185:O195" si="93">P185/M185</f>
        <v>7.9982531621000871E-2</v>
      </c>
      <c r="P185" s="1497">
        <v>4945</v>
      </c>
      <c r="Q185" s="1497">
        <v>3606</v>
      </c>
      <c r="R185" s="868">
        <f t="shared" ref="R185:R195" si="94">Q185/P185</f>
        <v>0.729221435793731</v>
      </c>
      <c r="S185" s="869">
        <f t="shared" ref="S185:S194" si="95">H185/P185</f>
        <v>201.22124974721942</v>
      </c>
      <c r="T185" s="870">
        <f t="shared" ref="T185:T194" si="96">H185/Q185</f>
        <v>275.93984470327229</v>
      </c>
      <c r="U185" s="871">
        <f t="shared" ref="U185:U193" si="97">X$163*Q185</f>
        <v>0</v>
      </c>
      <c r="V185" s="872">
        <f t="shared" ref="V185:V194" si="98">U185/H185</f>
        <v>0</v>
      </c>
      <c r="W185" s="1498">
        <v>490</v>
      </c>
      <c r="X185" s="2229">
        <v>1015</v>
      </c>
      <c r="Y185" s="1499">
        <v>2600</v>
      </c>
      <c r="Z185" s="1497">
        <v>2088</v>
      </c>
      <c r="AA185" s="867">
        <f>Z185/Y185</f>
        <v>0.80307692307692302</v>
      </c>
      <c r="AB185" s="869">
        <f t="shared" ref="AB185:AB194" si="99">H185/Y185</f>
        <v>382.70733846153843</v>
      </c>
      <c r="AC185" s="873">
        <f t="shared" ref="AC185:AC194" si="100">H185/Z185</f>
        <v>476.55128352490419</v>
      </c>
      <c r="AD185" s="874">
        <f>Z185*AF185</f>
        <v>1023120</v>
      </c>
      <c r="AE185" s="903">
        <f t="shared" ref="AE185:AE194" si="101">AD185/H185</f>
        <v>1.028220921735054</v>
      </c>
      <c r="AF185" s="1500">
        <f t="shared" ref="AF185:AF193" si="102">W185</f>
        <v>490</v>
      </c>
      <c r="AG185" s="876" t="s">
        <v>257</v>
      </c>
      <c r="AH185" s="1567">
        <v>618603.69999999995</v>
      </c>
      <c r="AI185" s="1534">
        <v>0</v>
      </c>
      <c r="AJ185" s="1567">
        <v>376435.38</v>
      </c>
      <c r="AK185" s="1463"/>
    </row>
    <row r="186" spans="2:40" s="1480" customFormat="1">
      <c r="B186" s="1494" t="s">
        <v>319</v>
      </c>
      <c r="C186" s="1495" t="s">
        <v>804</v>
      </c>
      <c r="D186" s="1496" t="s">
        <v>281</v>
      </c>
      <c r="E186" s="1549"/>
      <c r="F186" s="1549"/>
      <c r="G186" s="1550"/>
      <c r="H186" s="862">
        <f t="shared" si="91"/>
        <v>3291788.1422857139</v>
      </c>
      <c r="I186" s="863">
        <f t="shared" ref="I186:I193" si="103">AI186+AJ186</f>
        <v>1970522.834285714</v>
      </c>
      <c r="J186" s="864">
        <f t="shared" ref="J186:J193" si="104">AH186</f>
        <v>1321265.308</v>
      </c>
      <c r="K186" s="1497">
        <v>1944678</v>
      </c>
      <c r="L186" s="865">
        <f t="shared" ref="L186:L194" si="105">H186/K186</f>
        <v>1.692716296623767</v>
      </c>
      <c r="M186" s="1497">
        <v>118462</v>
      </c>
      <c r="N186" s="866">
        <f t="shared" si="92"/>
        <v>6.0915997404197508E-2</v>
      </c>
      <c r="O186" s="867">
        <f t="shared" si="93"/>
        <v>5.0902399081562022E-2</v>
      </c>
      <c r="P186" s="1497">
        <v>6030</v>
      </c>
      <c r="Q186" s="1497">
        <v>4369</v>
      </c>
      <c r="R186" s="868">
        <f t="shared" si="94"/>
        <v>0.72454394693200663</v>
      </c>
      <c r="S186" s="869">
        <f t="shared" si="95"/>
        <v>545.90184780857612</v>
      </c>
      <c r="T186" s="870">
        <f t="shared" si="96"/>
        <v>753.44201013635018</v>
      </c>
      <c r="U186" s="871">
        <f t="shared" si="97"/>
        <v>0</v>
      </c>
      <c r="V186" s="872">
        <f t="shared" si="98"/>
        <v>0</v>
      </c>
      <c r="W186" s="1498">
        <v>1300</v>
      </c>
      <c r="X186" s="2229"/>
      <c r="Y186" s="1499">
        <v>410</v>
      </c>
      <c r="Z186" s="1497">
        <v>272</v>
      </c>
      <c r="AA186" s="867">
        <f t="shared" ref="AA186:AA194" si="106">Z186/Y186</f>
        <v>0.6634146341463415</v>
      </c>
      <c r="AB186" s="869">
        <f t="shared" si="99"/>
        <v>8028.7515665505216</v>
      </c>
      <c r="AC186" s="873">
        <f t="shared" si="100"/>
        <v>12102.162287815125</v>
      </c>
      <c r="AD186" s="874">
        <f t="shared" ref="AD186:AD194" si="107">Z186*AF186</f>
        <v>353600</v>
      </c>
      <c r="AE186" s="903">
        <f t="shared" si="101"/>
        <v>0.10741882062752414</v>
      </c>
      <c r="AF186" s="1500">
        <f t="shared" si="102"/>
        <v>1300</v>
      </c>
      <c r="AG186" s="876" t="s">
        <v>282</v>
      </c>
      <c r="AH186" s="1567">
        <v>1321265.308</v>
      </c>
      <c r="AI186" s="1534">
        <v>994291.71428571397</v>
      </c>
      <c r="AJ186" s="1567">
        <v>976231.12</v>
      </c>
      <c r="AK186" s="1463"/>
      <c r="AN186" s="1577"/>
    </row>
    <row r="187" spans="2:40" s="1480" customFormat="1">
      <c r="B187" s="1494" t="s">
        <v>319</v>
      </c>
      <c r="C187" s="1495" t="s">
        <v>805</v>
      </c>
      <c r="D187" s="1496" t="s">
        <v>284</v>
      </c>
      <c r="E187" s="1549"/>
      <c r="F187" s="1549"/>
      <c r="G187" s="1550"/>
      <c r="H187" s="862">
        <f t="shared" si="91"/>
        <v>1456374.1800000002</v>
      </c>
      <c r="I187" s="863">
        <f t="shared" si="103"/>
        <v>786695.18</v>
      </c>
      <c r="J187" s="864">
        <f t="shared" si="104"/>
        <v>669679</v>
      </c>
      <c r="K187" s="1497">
        <v>739929</v>
      </c>
      <c r="L187" s="865">
        <f t="shared" si="105"/>
        <v>1.9682620629817187</v>
      </c>
      <c r="M187" s="1497">
        <v>33630</v>
      </c>
      <c r="N187" s="866">
        <f t="shared" si="92"/>
        <v>4.5450306718617599E-2</v>
      </c>
      <c r="O187" s="867">
        <f t="shared" si="93"/>
        <v>4.8944394885518883E-2</v>
      </c>
      <c r="P187" s="1497">
        <v>1646</v>
      </c>
      <c r="Q187" s="1497">
        <v>1242</v>
      </c>
      <c r="R187" s="868">
        <f t="shared" si="94"/>
        <v>0.75455650060753343</v>
      </c>
      <c r="S187" s="869">
        <f t="shared" si="95"/>
        <v>884.79597812879717</v>
      </c>
      <c r="T187" s="870">
        <f t="shared" si="96"/>
        <v>1172.6040096618358</v>
      </c>
      <c r="U187" s="871">
        <f t="shared" si="97"/>
        <v>0</v>
      </c>
      <c r="V187" s="872">
        <f t="shared" si="98"/>
        <v>0</v>
      </c>
      <c r="W187" s="1498">
        <v>990</v>
      </c>
      <c r="X187" s="2229"/>
      <c r="Y187" s="1499">
        <v>625</v>
      </c>
      <c r="Z187" s="1497">
        <v>506</v>
      </c>
      <c r="AA187" s="867">
        <f t="shared" si="106"/>
        <v>0.80959999999999999</v>
      </c>
      <c r="AB187" s="869">
        <f t="shared" si="99"/>
        <v>2330.1986880000004</v>
      </c>
      <c r="AC187" s="873">
        <f t="shared" si="100"/>
        <v>2878.2098418972337</v>
      </c>
      <c r="AD187" s="874">
        <f t="shared" si="107"/>
        <v>500940</v>
      </c>
      <c r="AE187" s="903">
        <f t="shared" si="101"/>
        <v>0.34396380193996567</v>
      </c>
      <c r="AF187" s="1500">
        <f t="shared" si="102"/>
        <v>990</v>
      </c>
      <c r="AG187" s="876" t="s">
        <v>282</v>
      </c>
      <c r="AH187" s="1567">
        <v>669679</v>
      </c>
      <c r="AI187" s="1534"/>
      <c r="AJ187" s="1567">
        <v>786695.18</v>
      </c>
      <c r="AK187" s="1463"/>
      <c r="AN187" s="1577"/>
    </row>
    <row r="188" spans="2:40" s="1480" customFormat="1">
      <c r="B188" s="1494" t="s">
        <v>319</v>
      </c>
      <c r="C188" s="1495" t="s">
        <v>806</v>
      </c>
      <c r="D188" s="1496" t="s">
        <v>277</v>
      </c>
      <c r="E188" s="1549"/>
      <c r="F188" s="1549"/>
      <c r="G188" s="1550"/>
      <c r="H188" s="862">
        <f t="shared" si="91"/>
        <v>1438460.04</v>
      </c>
      <c r="I188" s="863">
        <f t="shared" si="103"/>
        <v>567386.04</v>
      </c>
      <c r="J188" s="864">
        <f t="shared" si="104"/>
        <v>871074</v>
      </c>
      <c r="K188" s="1497">
        <v>553873</v>
      </c>
      <c r="L188" s="865">
        <f t="shared" si="105"/>
        <v>2.5970936297671128</v>
      </c>
      <c r="M188" s="1497">
        <v>27302</v>
      </c>
      <c r="N188" s="866">
        <f t="shared" si="92"/>
        <v>4.9292888441935245E-2</v>
      </c>
      <c r="O188" s="867">
        <f t="shared" si="93"/>
        <v>8.8271921470954515E-2</v>
      </c>
      <c r="P188" s="1497">
        <v>2410</v>
      </c>
      <c r="Q188" s="1497">
        <v>1561</v>
      </c>
      <c r="R188" s="868">
        <f t="shared" si="94"/>
        <v>0.64771784232365148</v>
      </c>
      <c r="S188" s="869">
        <f t="shared" si="95"/>
        <v>596.87138589211622</v>
      </c>
      <c r="T188" s="870">
        <f t="shared" si="96"/>
        <v>921.49906470211408</v>
      </c>
      <c r="U188" s="871">
        <f t="shared" si="97"/>
        <v>0</v>
      </c>
      <c r="V188" s="872">
        <f t="shared" si="98"/>
        <v>0</v>
      </c>
      <c r="W188" s="1498">
        <v>720</v>
      </c>
      <c r="X188" s="2229"/>
      <c r="Y188" s="1499">
        <v>245</v>
      </c>
      <c r="Z188" s="1497">
        <v>168</v>
      </c>
      <c r="AA188" s="867">
        <f t="shared" si="106"/>
        <v>0.68571428571428572</v>
      </c>
      <c r="AB188" s="869">
        <f t="shared" si="99"/>
        <v>5871.2654693877548</v>
      </c>
      <c r="AC188" s="873">
        <f t="shared" si="100"/>
        <v>8562.2621428571438</v>
      </c>
      <c r="AD188" s="874">
        <f t="shared" si="107"/>
        <v>120960</v>
      </c>
      <c r="AE188" s="903">
        <f t="shared" si="101"/>
        <v>8.4089927169613971E-2</v>
      </c>
      <c r="AF188" s="1500">
        <f t="shared" si="102"/>
        <v>720</v>
      </c>
      <c r="AG188" s="876" t="s">
        <v>282</v>
      </c>
      <c r="AH188" s="1567">
        <v>871074</v>
      </c>
      <c r="AI188" s="1534"/>
      <c r="AJ188" s="1567">
        <v>567386.04</v>
      </c>
      <c r="AK188" s="1463"/>
      <c r="AN188" s="1577"/>
    </row>
    <row r="189" spans="2:40" s="1480" customFormat="1">
      <c r="B189" s="1494" t="s">
        <v>319</v>
      </c>
      <c r="C189" s="1495" t="s">
        <v>807</v>
      </c>
      <c r="D189" s="1496" t="s">
        <v>284</v>
      </c>
      <c r="E189" s="1549"/>
      <c r="F189" s="1549"/>
      <c r="G189" s="1550"/>
      <c r="H189" s="862">
        <f t="shared" si="91"/>
        <v>1411623.1780000001</v>
      </c>
      <c r="I189" s="863">
        <f t="shared" si="103"/>
        <v>699134.28</v>
      </c>
      <c r="J189" s="864">
        <f t="shared" si="104"/>
        <v>712488.89800000004</v>
      </c>
      <c r="K189" s="1497">
        <v>308947</v>
      </c>
      <c r="L189" s="865">
        <f t="shared" si="105"/>
        <v>4.5691435035782835</v>
      </c>
      <c r="M189" s="1497">
        <v>36367</v>
      </c>
      <c r="N189" s="866">
        <f t="shared" si="92"/>
        <v>0.11771274684654649</v>
      </c>
      <c r="O189" s="867">
        <f t="shared" si="93"/>
        <v>6.9733549646657678E-2</v>
      </c>
      <c r="P189" s="1497">
        <v>2536</v>
      </c>
      <c r="Q189" s="1497">
        <v>1789</v>
      </c>
      <c r="R189" s="868">
        <f t="shared" si="94"/>
        <v>0.70544164037854895</v>
      </c>
      <c r="S189" s="869">
        <f t="shared" si="95"/>
        <v>556.6337452681388</v>
      </c>
      <c r="T189" s="870">
        <f t="shared" si="96"/>
        <v>789.05711458915596</v>
      </c>
      <c r="U189" s="871">
        <f t="shared" si="97"/>
        <v>0</v>
      </c>
      <c r="V189" s="872">
        <f t="shared" si="98"/>
        <v>0</v>
      </c>
      <c r="W189" s="1498">
        <v>1820</v>
      </c>
      <c r="X189" s="2229"/>
      <c r="Y189" s="1499">
        <v>256</v>
      </c>
      <c r="Z189" s="1497">
        <v>177</v>
      </c>
      <c r="AA189" s="867">
        <f t="shared" si="106"/>
        <v>0.69140625</v>
      </c>
      <c r="AB189" s="869">
        <f t="shared" si="99"/>
        <v>5514.1530390625003</v>
      </c>
      <c r="AC189" s="873">
        <f t="shared" si="100"/>
        <v>7975.2721920903959</v>
      </c>
      <c r="AD189" s="874">
        <f t="shared" si="107"/>
        <v>322140</v>
      </c>
      <c r="AE189" s="903">
        <f t="shared" si="101"/>
        <v>0.22820537734185603</v>
      </c>
      <c r="AF189" s="1500">
        <f t="shared" si="102"/>
        <v>1820</v>
      </c>
      <c r="AG189" s="876" t="s">
        <v>257</v>
      </c>
      <c r="AH189" s="1567">
        <v>712488.89800000004</v>
      </c>
      <c r="AI189" s="1534">
        <v>0</v>
      </c>
      <c r="AJ189" s="1567">
        <v>699134.28</v>
      </c>
      <c r="AK189" s="1463"/>
      <c r="AN189" s="1577"/>
    </row>
    <row r="190" spans="2:40" s="1480" customFormat="1">
      <c r="B190" s="1494" t="s">
        <v>319</v>
      </c>
      <c r="C190" s="1495" t="s">
        <v>808</v>
      </c>
      <c r="D190" s="1496" t="s">
        <v>284</v>
      </c>
      <c r="E190" s="1549"/>
      <c r="F190" s="1549"/>
      <c r="G190" s="1549"/>
      <c r="H190" s="862">
        <f t="shared" si="91"/>
        <v>3253410.5187142859</v>
      </c>
      <c r="I190" s="863">
        <f t="shared" si="103"/>
        <v>1686934.0357142859</v>
      </c>
      <c r="J190" s="864">
        <f t="shared" si="104"/>
        <v>1566476.483</v>
      </c>
      <c r="K190" s="1497">
        <v>4171793</v>
      </c>
      <c r="L190" s="865">
        <f t="shared" si="105"/>
        <v>0.77985904830711539</v>
      </c>
      <c r="M190" s="1497">
        <v>136876</v>
      </c>
      <c r="N190" s="866">
        <f t="shared" si="92"/>
        <v>3.2809873356611896E-2</v>
      </c>
      <c r="O190" s="867">
        <f t="shared" si="93"/>
        <v>4.2432566702709021E-2</v>
      </c>
      <c r="P190" s="1497">
        <v>5808</v>
      </c>
      <c r="Q190" s="1497">
        <v>4243</v>
      </c>
      <c r="R190" s="868">
        <f t="shared" si="94"/>
        <v>0.73054407713498626</v>
      </c>
      <c r="S190" s="869">
        <f t="shared" si="95"/>
        <v>560.16021327725309</v>
      </c>
      <c r="T190" s="870">
        <f t="shared" si="96"/>
        <v>766.77127473822441</v>
      </c>
      <c r="U190" s="871">
        <f t="shared" si="97"/>
        <v>0</v>
      </c>
      <c r="V190" s="872">
        <f t="shared" si="98"/>
        <v>0</v>
      </c>
      <c r="W190" s="1553">
        <v>1400</v>
      </c>
      <c r="X190" s="2229"/>
      <c r="Y190" s="1499">
        <v>710</v>
      </c>
      <c r="Z190" s="1497">
        <v>480</v>
      </c>
      <c r="AA190" s="867">
        <f t="shared" si="106"/>
        <v>0.676056338028169</v>
      </c>
      <c r="AB190" s="869">
        <f t="shared" si="99"/>
        <v>4582.2683362173038</v>
      </c>
      <c r="AC190" s="873">
        <f t="shared" si="100"/>
        <v>6777.9385806547625</v>
      </c>
      <c r="AD190" s="874">
        <f t="shared" si="107"/>
        <v>672000</v>
      </c>
      <c r="AE190" s="903">
        <f t="shared" si="101"/>
        <v>0.20655247658864995</v>
      </c>
      <c r="AF190" s="1500">
        <f t="shared" si="102"/>
        <v>1400</v>
      </c>
      <c r="AG190" s="876" t="s">
        <v>288</v>
      </c>
      <c r="AH190" s="1567">
        <v>1566476.483</v>
      </c>
      <c r="AI190" s="1534">
        <v>650332.28571428603</v>
      </c>
      <c r="AJ190" s="1567">
        <v>1036601.75</v>
      </c>
      <c r="AK190" s="1463"/>
    </row>
    <row r="191" spans="2:40" s="1480" customFormat="1">
      <c r="B191" s="1494" t="s">
        <v>319</v>
      </c>
      <c r="C191" s="1554" t="s">
        <v>809</v>
      </c>
      <c r="D191" s="1496" t="s">
        <v>284</v>
      </c>
      <c r="E191" s="1555"/>
      <c r="F191" s="1555"/>
      <c r="G191" s="1556"/>
      <c r="H191" s="862">
        <f t="shared" si="91"/>
        <v>2633368.85</v>
      </c>
      <c r="I191" s="863">
        <f t="shared" si="103"/>
        <v>1730571.09</v>
      </c>
      <c r="J191" s="864">
        <f t="shared" si="104"/>
        <v>902797.76</v>
      </c>
      <c r="K191" s="1497">
        <v>3078381</v>
      </c>
      <c r="L191" s="865">
        <f t="shared" si="105"/>
        <v>0.85543954760635543</v>
      </c>
      <c r="M191" s="1497">
        <v>133183</v>
      </c>
      <c r="N191" s="866">
        <f t="shared" si="92"/>
        <v>4.3263975446833906E-2</v>
      </c>
      <c r="O191" s="867">
        <f t="shared" si="93"/>
        <v>3.9967563427764807E-2</v>
      </c>
      <c r="P191" s="1497">
        <v>5323</v>
      </c>
      <c r="Q191" s="1497">
        <v>3857</v>
      </c>
      <c r="R191" s="868">
        <f t="shared" si="94"/>
        <v>0.72459139582941945</v>
      </c>
      <c r="S191" s="869">
        <f t="shared" si="95"/>
        <v>494.71517001690779</v>
      </c>
      <c r="T191" s="870">
        <f t="shared" si="96"/>
        <v>682.75054446460979</v>
      </c>
      <c r="U191" s="871">
        <f t="shared" si="97"/>
        <v>0</v>
      </c>
      <c r="V191" s="872">
        <f t="shared" si="98"/>
        <v>0</v>
      </c>
      <c r="W191" s="1557">
        <v>930</v>
      </c>
      <c r="X191" s="2229"/>
      <c r="Y191" s="1499">
        <v>1980</v>
      </c>
      <c r="Z191" s="1497">
        <v>1421</v>
      </c>
      <c r="AA191" s="867">
        <f t="shared" si="106"/>
        <v>0.71767676767676769</v>
      </c>
      <c r="AB191" s="869">
        <f t="shared" si="99"/>
        <v>1329.9842676767678</v>
      </c>
      <c r="AC191" s="873">
        <f t="shared" si="100"/>
        <v>1853.1800492610839</v>
      </c>
      <c r="AD191" s="874">
        <f t="shared" si="107"/>
        <v>1321530</v>
      </c>
      <c r="AE191" s="903">
        <f t="shared" si="101"/>
        <v>0.50184006695453998</v>
      </c>
      <c r="AF191" s="1500">
        <f t="shared" si="102"/>
        <v>930</v>
      </c>
      <c r="AG191" s="876" t="s">
        <v>290</v>
      </c>
      <c r="AH191" s="1567">
        <v>902797.76</v>
      </c>
      <c r="AI191" s="1534">
        <v>318002</v>
      </c>
      <c r="AJ191" s="1567">
        <v>1412569.09</v>
      </c>
      <c r="AK191" s="1463"/>
    </row>
    <row r="192" spans="2:40" s="1480" customFormat="1">
      <c r="B192" s="1494" t="s">
        <v>319</v>
      </c>
      <c r="C192" s="1554" t="s">
        <v>810</v>
      </c>
      <c r="D192" s="1496" t="s">
        <v>277</v>
      </c>
      <c r="E192" s="1558"/>
      <c r="F192" s="1558"/>
      <c r="G192" s="1559"/>
      <c r="H192" s="862">
        <f t="shared" si="91"/>
        <v>816985.39</v>
      </c>
      <c r="I192" s="863">
        <f t="shared" si="103"/>
        <v>524144.39</v>
      </c>
      <c r="J192" s="864">
        <f t="shared" si="104"/>
        <v>292841</v>
      </c>
      <c r="K192" s="1497">
        <v>761384</v>
      </c>
      <c r="L192" s="865">
        <f t="shared" si="105"/>
        <v>1.0730267381505258</v>
      </c>
      <c r="M192" s="1497">
        <v>43292</v>
      </c>
      <c r="N192" s="866">
        <f t="shared" si="92"/>
        <v>5.6859613545858598E-2</v>
      </c>
      <c r="O192" s="867">
        <f t="shared" si="93"/>
        <v>3.5479996304167052E-2</v>
      </c>
      <c r="P192" s="1497">
        <v>1536</v>
      </c>
      <c r="Q192" s="1497">
        <v>1104</v>
      </c>
      <c r="R192" s="868">
        <f t="shared" si="94"/>
        <v>0.71875</v>
      </c>
      <c r="S192" s="869">
        <f t="shared" si="95"/>
        <v>531.89152994791664</v>
      </c>
      <c r="T192" s="870">
        <f t="shared" si="96"/>
        <v>740.02299818840584</v>
      </c>
      <c r="U192" s="871">
        <f t="shared" si="97"/>
        <v>0</v>
      </c>
      <c r="V192" s="872">
        <f t="shared" si="98"/>
        <v>0</v>
      </c>
      <c r="W192" s="1557">
        <v>1650</v>
      </c>
      <c r="X192" s="2229"/>
      <c r="Y192" s="1499">
        <v>285</v>
      </c>
      <c r="Z192" s="1497">
        <v>226</v>
      </c>
      <c r="AA192" s="867">
        <f t="shared" si="106"/>
        <v>0.7929824561403509</v>
      </c>
      <c r="AB192" s="869">
        <f t="shared" si="99"/>
        <v>2866.615403508772</v>
      </c>
      <c r="AC192" s="873">
        <f t="shared" si="100"/>
        <v>3614.9796017699114</v>
      </c>
      <c r="AD192" s="874">
        <f t="shared" si="107"/>
        <v>372900</v>
      </c>
      <c r="AE192" s="903">
        <f t="shared" si="101"/>
        <v>0.45643411077400048</v>
      </c>
      <c r="AF192" s="1500">
        <f t="shared" si="102"/>
        <v>1650</v>
      </c>
      <c r="AG192" s="876" t="s">
        <v>292</v>
      </c>
      <c r="AH192" s="1567">
        <f>303563-155340+144618</f>
        <v>292841</v>
      </c>
      <c r="AI192" s="1534">
        <v>0</v>
      </c>
      <c r="AJ192" s="1567">
        <v>524144.39</v>
      </c>
      <c r="AK192" s="1463"/>
    </row>
    <row r="193" spans="2:40" s="1480" customFormat="1">
      <c r="B193" s="1494" t="s">
        <v>319</v>
      </c>
      <c r="C193" s="1560" t="s">
        <v>811</v>
      </c>
      <c r="D193" s="1496" t="s">
        <v>294</v>
      </c>
      <c r="E193" s="1561"/>
      <c r="F193" s="1561"/>
      <c r="G193" s="1562"/>
      <c r="H193" s="862">
        <f t="shared" si="91"/>
        <v>1162887.92</v>
      </c>
      <c r="I193" s="863">
        <f t="shared" si="103"/>
        <v>794991.6</v>
      </c>
      <c r="J193" s="864">
        <f t="shared" si="104"/>
        <v>367896.32000000001</v>
      </c>
      <c r="K193" s="1497">
        <v>929367</v>
      </c>
      <c r="L193" s="865">
        <f t="shared" si="105"/>
        <v>1.2512687883258173</v>
      </c>
      <c r="M193" s="1497">
        <v>51572</v>
      </c>
      <c r="N193" s="866">
        <f t="shared" si="92"/>
        <v>5.5491533484619104E-2</v>
      </c>
      <c r="O193" s="867">
        <f t="shared" si="93"/>
        <v>3.9304273636857207E-2</v>
      </c>
      <c r="P193" s="1497">
        <v>2027</v>
      </c>
      <c r="Q193" s="1497">
        <v>1543</v>
      </c>
      <c r="R193" s="868">
        <f t="shared" si="94"/>
        <v>0.76122348297977305</v>
      </c>
      <c r="S193" s="869">
        <f t="shared" si="95"/>
        <v>573.69902318697575</v>
      </c>
      <c r="T193" s="870">
        <f t="shared" si="96"/>
        <v>753.65386908619564</v>
      </c>
      <c r="U193" s="871">
        <f t="shared" si="97"/>
        <v>0</v>
      </c>
      <c r="V193" s="872">
        <f t="shared" si="98"/>
        <v>0</v>
      </c>
      <c r="W193" s="1557">
        <v>1380</v>
      </c>
      <c r="X193" s="2229"/>
      <c r="Y193" s="1563">
        <v>63</v>
      </c>
      <c r="Z193" s="1564">
        <v>59</v>
      </c>
      <c r="AA193" s="867">
        <f t="shared" si="106"/>
        <v>0.93650793650793651</v>
      </c>
      <c r="AB193" s="869">
        <f t="shared" si="99"/>
        <v>18458.53841269841</v>
      </c>
      <c r="AC193" s="873">
        <f t="shared" si="100"/>
        <v>19709.964745762711</v>
      </c>
      <c r="AD193" s="874">
        <f t="shared" si="107"/>
        <v>81420</v>
      </c>
      <c r="AE193" s="903">
        <f t="shared" si="101"/>
        <v>7.0015345932908132E-2</v>
      </c>
      <c r="AF193" s="1500">
        <f t="shared" si="102"/>
        <v>1380</v>
      </c>
      <c r="AG193" s="876" t="s">
        <v>290</v>
      </c>
      <c r="AH193" s="1567">
        <v>367896.32000000001</v>
      </c>
      <c r="AI193" s="1534">
        <v>0</v>
      </c>
      <c r="AJ193" s="1567">
        <v>794991.6</v>
      </c>
      <c r="AK193" s="1463"/>
    </row>
    <row r="194" spans="2:40" s="1480" customFormat="1">
      <c r="B194" s="1502"/>
      <c r="C194" s="1503" t="s">
        <v>0</v>
      </c>
      <c r="D194" s="1503"/>
      <c r="E194" s="1503"/>
      <c r="F194" s="1503"/>
      <c r="G194" s="1565"/>
      <c r="H194" s="882">
        <f t="shared" si="91"/>
        <v>16459937.299000001</v>
      </c>
      <c r="I194" s="883">
        <f>SUM(I185:I193)</f>
        <v>9136814.8300000001</v>
      </c>
      <c r="J194" s="884">
        <f>SUM(J185:J193)</f>
        <v>7323122.4690000005</v>
      </c>
      <c r="K194" s="885">
        <f>SUM(K185:K193)</f>
        <v>13387615</v>
      </c>
      <c r="L194" s="886">
        <f t="shared" si="105"/>
        <v>1.2294898903949658</v>
      </c>
      <c r="M194" s="883">
        <f>SUM(M185:M193)</f>
        <v>642510</v>
      </c>
      <c r="N194" s="887">
        <f t="shared" si="92"/>
        <v>4.7992865047284373E-2</v>
      </c>
      <c r="O194" s="887">
        <f t="shared" si="93"/>
        <v>5.0210891659273789E-2</v>
      </c>
      <c r="P194" s="883">
        <f>SUM(P185:P193)</f>
        <v>32261</v>
      </c>
      <c r="Q194" s="883">
        <f>SUM(Q185:Q193)</f>
        <v>23314</v>
      </c>
      <c r="R194" s="887">
        <f t="shared" si="94"/>
        <v>0.72266823719041562</v>
      </c>
      <c r="S194" s="1504">
        <f t="shared" si="95"/>
        <v>510.21162701094204</v>
      </c>
      <c r="T194" s="1504">
        <f t="shared" si="96"/>
        <v>706.01086467358675</v>
      </c>
      <c r="U194" s="1505">
        <f>X185*Q194</f>
        <v>23663710</v>
      </c>
      <c r="V194" s="888">
        <f t="shared" si="98"/>
        <v>1.437654929672038</v>
      </c>
      <c r="W194" s="1506">
        <f>X185</f>
        <v>1015</v>
      </c>
      <c r="X194" s="2242"/>
      <c r="Y194" s="1507">
        <f>SUM(Y185:Y193)</f>
        <v>7174</v>
      </c>
      <c r="Z194" s="1507">
        <f>SUM(Z185:Z193)</f>
        <v>5397</v>
      </c>
      <c r="AA194" s="889">
        <f t="shared" si="106"/>
        <v>0.75229997212155009</v>
      </c>
      <c r="AB194" s="1507">
        <f t="shared" si="99"/>
        <v>2294.3876915249512</v>
      </c>
      <c r="AC194" s="1507">
        <f t="shared" si="100"/>
        <v>3049.8308873448213</v>
      </c>
      <c r="AD194" s="1508">
        <f t="shared" si="107"/>
        <v>5477955</v>
      </c>
      <c r="AE194" s="908">
        <f t="shared" si="101"/>
        <v>0.33280533822767389</v>
      </c>
      <c r="AF194" s="1509">
        <v>1015</v>
      </c>
      <c r="AG194" s="1510"/>
      <c r="AH194" s="1463"/>
      <c r="AK194" s="1463"/>
      <c r="AN194" s="1577"/>
    </row>
    <row r="195" spans="2:40" s="1480" customFormat="1">
      <c r="B195" s="1512"/>
      <c r="C195" s="1513" t="s">
        <v>260</v>
      </c>
      <c r="D195" s="1513"/>
      <c r="E195" s="1513"/>
      <c r="F195" s="1513"/>
      <c r="G195" s="1513"/>
      <c r="H195" s="893"/>
      <c r="I195" s="894"/>
      <c r="J195" s="894"/>
      <c r="K195" s="894">
        <v>11862672</v>
      </c>
      <c r="L195" s="895">
        <f>H194/K195</f>
        <v>1.387540454545148</v>
      </c>
      <c r="M195" s="894">
        <v>511630</v>
      </c>
      <c r="N195" s="896">
        <f t="shared" si="92"/>
        <v>4.3129406258556248E-2</v>
      </c>
      <c r="O195" s="896">
        <f t="shared" si="93"/>
        <v>4.4969997850008797E-2</v>
      </c>
      <c r="P195" s="894">
        <v>23008</v>
      </c>
      <c r="Q195" s="894">
        <v>16727</v>
      </c>
      <c r="R195" s="896">
        <f t="shared" si="94"/>
        <v>0.72700799721835885</v>
      </c>
      <c r="S195" s="1514">
        <f>H194/P195</f>
        <v>715.40061278685675</v>
      </c>
      <c r="T195" s="1514">
        <f>H194/Q195</f>
        <v>984.03403473426204</v>
      </c>
      <c r="U195" s="1515">
        <f>Q195*$X$163</f>
        <v>0</v>
      </c>
      <c r="V195" s="897">
        <f>U195/H194</f>
        <v>0</v>
      </c>
      <c r="W195" s="1514">
        <f>W194</f>
        <v>1015</v>
      </c>
      <c r="X195" s="1516"/>
      <c r="Y195" s="894"/>
      <c r="Z195" s="894"/>
      <c r="AA195" s="896"/>
      <c r="AB195" s="1517"/>
      <c r="AC195" s="1517"/>
      <c r="AD195" s="1516"/>
      <c r="AE195" s="898"/>
      <c r="AF195" s="1516"/>
      <c r="AG195" s="1510"/>
      <c r="AH195" s="1518"/>
      <c r="AI195" s="1519"/>
      <c r="AJ195" s="1463"/>
      <c r="AK195" s="1463"/>
    </row>
    <row r="196" spans="2:40">
      <c r="B196" s="1578"/>
      <c r="C196" s="1466" t="s">
        <v>296</v>
      </c>
      <c r="D196" s="1465" t="s">
        <v>277</v>
      </c>
      <c r="E196" s="1465"/>
      <c r="F196" s="1465"/>
      <c r="G196" s="1465"/>
      <c r="H196" s="1579">
        <f>SUM(AH185:AH193)</f>
        <v>7323122.4690000005</v>
      </c>
      <c r="I196" s="1579">
        <f>SUM(AJ185:AJ193)</f>
        <v>7174188.8299999991</v>
      </c>
      <c r="J196" s="1579">
        <f>H196-I196</f>
        <v>148933.63900000136</v>
      </c>
      <c r="K196" s="1467"/>
      <c r="L196" s="1468"/>
      <c r="N196" s="845"/>
      <c r="R196" s="845"/>
      <c r="S196" s="1467"/>
      <c r="V196" s="1469"/>
      <c r="X196" s="1467"/>
      <c r="AA196" s="845"/>
      <c r="AB196" s="1467"/>
      <c r="AD196" s="1467"/>
      <c r="AE196" s="1469"/>
      <c r="AF196" s="1467"/>
      <c r="AG196" s="1470"/>
      <c r="AH196" s="1471"/>
      <c r="AI196" s="1471"/>
      <c r="AJ196" s="1471"/>
    </row>
    <row r="197" spans="2:40">
      <c r="B197" s="1472"/>
      <c r="C197" s="1466" t="s">
        <v>297</v>
      </c>
      <c r="D197" s="1465" t="s">
        <v>277</v>
      </c>
      <c r="E197" s="1465"/>
      <c r="F197" s="1465"/>
      <c r="G197" s="1465"/>
      <c r="H197" s="1466">
        <f>H194/H196</f>
        <v>2.2476665341427324</v>
      </c>
      <c r="I197" s="1466">
        <f>I194/I196</f>
        <v>1.2735676529439777</v>
      </c>
      <c r="J197" s="1466">
        <f>J194/J196</f>
        <v>49.170372242095915</v>
      </c>
      <c r="K197" s="1467"/>
      <c r="L197" s="1468"/>
      <c r="N197" s="845"/>
      <c r="R197" s="845"/>
      <c r="S197" s="1467"/>
      <c r="V197" s="1469"/>
      <c r="X197" s="1467"/>
      <c r="AA197" s="845"/>
      <c r="AB197" s="1467"/>
      <c r="AD197" s="1467"/>
      <c r="AE197" s="1469"/>
      <c r="AF197" s="1467"/>
      <c r="AG197" s="1470"/>
      <c r="AH197" s="1471"/>
      <c r="AI197" s="1471"/>
      <c r="AJ197" s="1471"/>
    </row>
    <row r="198" spans="2:40">
      <c r="B198" s="1472"/>
      <c r="E198" s="1465"/>
      <c r="F198" s="1465"/>
      <c r="G198" s="1465"/>
      <c r="H198" s="1466"/>
      <c r="I198" s="1466"/>
      <c r="J198" s="1466"/>
      <c r="K198" s="1467"/>
      <c r="L198" s="1468"/>
      <c r="N198" s="845"/>
      <c r="R198" s="845"/>
      <c r="S198" s="1467"/>
      <c r="V198" s="1469"/>
      <c r="X198" s="1467"/>
      <c r="AA198" s="845"/>
      <c r="AB198" s="1467"/>
      <c r="AD198" s="1467"/>
      <c r="AE198" s="1469"/>
      <c r="AF198" s="1467"/>
      <c r="AG198" s="1470"/>
      <c r="AH198" s="1471"/>
      <c r="AI198" s="1471"/>
      <c r="AJ198" s="1471"/>
    </row>
    <row r="199" spans="2:40">
      <c r="B199" s="1472"/>
      <c r="E199" s="1465"/>
      <c r="F199" s="1465"/>
      <c r="G199" s="1465"/>
      <c r="H199" s="1466"/>
      <c r="I199" s="1466"/>
      <c r="J199" s="1466"/>
      <c r="K199" s="1467"/>
      <c r="L199" s="1468"/>
      <c r="N199" s="845"/>
      <c r="R199" s="845"/>
      <c r="S199" s="1467"/>
      <c r="V199" s="1469"/>
      <c r="X199" s="1467"/>
      <c r="AA199" s="845"/>
      <c r="AB199" s="1467"/>
      <c r="AD199" s="1467"/>
      <c r="AE199" s="1469"/>
      <c r="AF199" s="1467"/>
      <c r="AG199" s="1470"/>
      <c r="AH199" s="1471"/>
      <c r="AI199" s="1471"/>
      <c r="AJ199" s="1471"/>
    </row>
    <row r="200" spans="2:40">
      <c r="B200" s="1472"/>
      <c r="E200" s="1465"/>
      <c r="F200" s="1465"/>
      <c r="G200" s="1465"/>
      <c r="H200" s="1466"/>
      <c r="I200" s="1466"/>
      <c r="J200" s="1466"/>
      <c r="K200" s="1467"/>
      <c r="L200" s="1468"/>
      <c r="N200" s="845"/>
      <c r="R200" s="845"/>
      <c r="S200" s="1467"/>
      <c r="V200" s="1469"/>
      <c r="X200" s="1467"/>
      <c r="AA200" s="845"/>
      <c r="AB200" s="1467"/>
      <c r="AD200" s="1467"/>
      <c r="AE200" s="1469"/>
      <c r="AF200" s="1467"/>
      <c r="AG200" s="1470"/>
      <c r="AH200" s="1471"/>
      <c r="AI200" s="1471"/>
      <c r="AJ200" s="1471"/>
    </row>
    <row r="201" spans="2:40">
      <c r="B201" s="1472"/>
      <c r="E201" s="1465"/>
      <c r="F201" s="1465"/>
      <c r="G201" s="1465"/>
      <c r="H201" s="1466"/>
      <c r="I201" s="1466"/>
      <c r="J201" s="1466"/>
      <c r="K201" s="1467"/>
      <c r="L201" s="1468"/>
      <c r="N201" s="845"/>
      <c r="R201" s="845"/>
      <c r="S201" s="1467"/>
      <c r="V201" s="1469"/>
      <c r="X201" s="1467"/>
      <c r="AA201" s="845"/>
      <c r="AB201" s="1467"/>
      <c r="AD201" s="1467"/>
      <c r="AE201" s="1469"/>
      <c r="AF201" s="1467"/>
      <c r="AG201" s="1470"/>
      <c r="AH201" s="1471"/>
      <c r="AI201" s="1471"/>
      <c r="AJ201" s="1471"/>
    </row>
    <row r="202" spans="2:40">
      <c r="B202" s="1472"/>
      <c r="E202" s="1465"/>
      <c r="F202" s="1465"/>
      <c r="G202" s="1465"/>
      <c r="H202" s="1466"/>
      <c r="I202" s="1466"/>
      <c r="J202" s="1466"/>
      <c r="K202" s="1467"/>
      <c r="L202" s="1468"/>
      <c r="N202" s="845"/>
      <c r="Q202" s="1580"/>
      <c r="R202" s="845"/>
      <c r="S202" s="1467"/>
      <c r="V202" s="1469"/>
      <c r="X202" s="1467"/>
      <c r="AA202" s="845"/>
      <c r="AB202" s="1467"/>
      <c r="AD202" s="1467"/>
      <c r="AE202" s="1469"/>
      <c r="AF202" s="1467"/>
      <c r="AG202" s="1470"/>
      <c r="AH202" s="1471"/>
      <c r="AI202" s="1471"/>
      <c r="AJ202" s="1471"/>
    </row>
    <row r="203" spans="2:40">
      <c r="B203" s="1472"/>
      <c r="E203" s="1465"/>
      <c r="F203" s="1465"/>
      <c r="G203" s="1465"/>
      <c r="H203" s="1466"/>
      <c r="I203" s="1466"/>
      <c r="J203" s="1466"/>
      <c r="K203" s="1467"/>
      <c r="L203" s="1468"/>
      <c r="N203" s="845"/>
      <c r="R203" s="845"/>
      <c r="S203" s="1467"/>
      <c r="V203" s="1469"/>
      <c r="X203" s="1467"/>
      <c r="AA203" s="845"/>
      <c r="AB203" s="1467"/>
      <c r="AD203" s="1467"/>
      <c r="AE203" s="1469"/>
      <c r="AF203" s="1467"/>
      <c r="AG203" s="1470"/>
      <c r="AH203" s="1471"/>
      <c r="AI203" s="1471"/>
      <c r="AJ203" s="1471"/>
    </row>
    <row r="204" spans="2:40" s="1473" customFormat="1" ht="22.5">
      <c r="B204" s="850" t="s">
        <v>816</v>
      </c>
      <c r="C204" s="1474"/>
      <c r="D204" s="1474"/>
      <c r="E204" s="1474"/>
      <c r="F204" s="1474"/>
      <c r="G204" s="1474"/>
      <c r="H204" s="1475"/>
      <c r="I204" s="1476"/>
      <c r="J204" s="1476"/>
      <c r="K204" s="1476"/>
      <c r="L204" s="1477"/>
      <c r="M204" s="1476"/>
      <c r="N204" s="851"/>
      <c r="O204" s="851"/>
      <c r="P204" s="1476"/>
      <c r="Q204" s="1476"/>
      <c r="R204" s="851"/>
      <c r="S204" s="1476"/>
      <c r="T204" s="1476"/>
      <c r="U204" s="1476"/>
      <c r="V204" s="1478"/>
      <c r="W204" s="1476"/>
      <c r="X204" s="1476"/>
      <c r="Y204" s="1476"/>
      <c r="Z204" s="1476"/>
      <c r="AA204" s="851"/>
      <c r="AB204" s="1476"/>
      <c r="AC204" s="1476"/>
      <c r="AD204" s="1476"/>
      <c r="AE204" s="1478"/>
      <c r="AF204" s="1476"/>
      <c r="AG204" s="1479"/>
      <c r="AH204" s="1476"/>
      <c r="AI204" s="1476"/>
      <c r="AJ204" s="1476"/>
    </row>
    <row r="205" spans="2:40">
      <c r="B205" s="852" t="s">
        <v>238</v>
      </c>
      <c r="C205" s="853" t="s">
        <v>320</v>
      </c>
      <c r="E205" s="1465"/>
      <c r="F205" s="1465"/>
      <c r="G205" s="1465"/>
      <c r="H205" s="1466"/>
      <c r="I205" s="1466"/>
      <c r="J205" s="1466"/>
      <c r="K205" s="1467"/>
      <c r="L205" s="1468"/>
      <c r="N205" s="845"/>
      <c r="R205" s="845"/>
      <c r="S205" s="1467"/>
      <c r="V205" s="1469"/>
      <c r="X205" s="1467"/>
      <c r="AA205" s="845"/>
      <c r="AB205" s="1467"/>
      <c r="AD205" s="1467"/>
      <c r="AE205" s="1469"/>
      <c r="AF205" s="1467"/>
      <c r="AG205" s="1470"/>
      <c r="AH205" s="1471"/>
      <c r="AI205" s="1471"/>
      <c r="AJ205" s="1471"/>
    </row>
    <row r="206" spans="2:40" ht="66">
      <c r="B206" s="854" t="s">
        <v>82</v>
      </c>
      <c r="C206" s="912" t="s">
        <v>321</v>
      </c>
      <c r="E206" s="1465"/>
      <c r="F206" s="1465"/>
      <c r="G206" s="1465"/>
      <c r="H206" s="1466"/>
      <c r="I206" s="1466"/>
      <c r="J206" s="1466"/>
      <c r="K206" s="1467"/>
      <c r="L206" s="1468"/>
      <c r="N206" s="845"/>
      <c r="R206" s="845"/>
      <c r="S206" s="1467"/>
      <c r="V206" s="1469"/>
      <c r="X206" s="1467"/>
      <c r="AA206" s="845"/>
      <c r="AB206" s="1467"/>
      <c r="AD206" s="1467"/>
      <c r="AE206" s="1469"/>
      <c r="AF206" s="1467"/>
      <c r="AG206" s="1470"/>
      <c r="AH206" s="1471"/>
      <c r="AI206" s="1471"/>
      <c r="AJ206" s="1471"/>
    </row>
    <row r="207" spans="2:40">
      <c r="B207" s="1571"/>
      <c r="C207" s="1572"/>
      <c r="E207" s="1465"/>
      <c r="F207" s="1465"/>
      <c r="G207" s="1465"/>
      <c r="H207" s="1466"/>
      <c r="I207" s="1466"/>
      <c r="J207" s="1466"/>
      <c r="K207" s="1467"/>
      <c r="L207" s="1468"/>
      <c r="N207" s="845"/>
      <c r="R207" s="845"/>
      <c r="S207" s="1467"/>
      <c r="V207" s="1469"/>
      <c r="X207" s="1467"/>
      <c r="AA207" s="845"/>
      <c r="AB207" s="1467"/>
      <c r="AD207" s="1467"/>
      <c r="AE207" s="1469"/>
      <c r="AF207" s="1467"/>
      <c r="AG207" s="1470"/>
      <c r="AH207" s="1471"/>
      <c r="AI207" s="1471"/>
      <c r="AJ207" s="1471"/>
    </row>
    <row r="208" spans="2:40">
      <c r="B208" s="1472"/>
      <c r="E208" s="1465"/>
      <c r="F208" s="1465"/>
      <c r="G208" s="1465"/>
      <c r="H208" s="1466"/>
      <c r="I208" s="1466"/>
      <c r="J208" s="1466"/>
      <c r="K208" s="1467"/>
      <c r="L208" s="1468"/>
      <c r="N208" s="845"/>
      <c r="R208" s="845"/>
      <c r="S208" s="1467"/>
      <c r="V208" s="1469"/>
      <c r="X208" s="1467"/>
      <c r="AA208" s="845"/>
      <c r="AB208" s="1467"/>
      <c r="AD208" s="1467"/>
      <c r="AE208" s="1469"/>
      <c r="AF208" s="1467"/>
      <c r="AG208" s="1470"/>
      <c r="AH208" s="1471"/>
      <c r="AI208" s="1471"/>
      <c r="AJ208" s="1471"/>
    </row>
    <row r="209" spans="2:40" s="1480" customFormat="1" ht="16.5" customHeight="1">
      <c r="B209" s="2238" t="s">
        <v>32</v>
      </c>
      <c r="C209" s="2239" t="s">
        <v>31</v>
      </c>
      <c r="D209" s="2239" t="s">
        <v>30</v>
      </c>
      <c r="E209" s="2240" t="s">
        <v>242</v>
      </c>
      <c r="F209" s="2240"/>
      <c r="G209" s="2240"/>
      <c r="H209" s="2241" t="s">
        <v>29</v>
      </c>
      <c r="I209" s="2241"/>
      <c r="J209" s="2241"/>
      <c r="K209" s="2237" t="s">
        <v>243</v>
      </c>
      <c r="L209" s="2237"/>
      <c r="M209" s="2237"/>
      <c r="N209" s="2237"/>
      <c r="O209" s="2237"/>
      <c r="P209" s="2237"/>
      <c r="Q209" s="2237"/>
      <c r="R209" s="2237"/>
      <c r="S209" s="2237"/>
      <c r="T209" s="2237"/>
      <c r="U209" s="2237"/>
      <c r="V209" s="2237"/>
      <c r="W209" s="2237"/>
      <c r="X209" s="2237"/>
      <c r="Y209" s="2237" t="s">
        <v>27</v>
      </c>
      <c r="Z209" s="2237"/>
      <c r="AA209" s="2237"/>
      <c r="AB209" s="2237"/>
      <c r="AC209" s="2237"/>
      <c r="AD209" s="2237"/>
      <c r="AE209" s="2237"/>
      <c r="AF209" s="2237"/>
      <c r="AG209" s="1481"/>
      <c r="AH209" s="1531" t="s">
        <v>244</v>
      </c>
      <c r="AI209" s="1531" t="s">
        <v>245</v>
      </c>
      <c r="AJ209" s="1531" t="s">
        <v>246</v>
      </c>
      <c r="AK209" s="1463"/>
      <c r="AL209" s="911"/>
    </row>
    <row r="210" spans="2:40" s="1480" customFormat="1" ht="33">
      <c r="B210" s="2238"/>
      <c r="C210" s="2239"/>
      <c r="D210" s="2239"/>
      <c r="E210" s="1542" t="s">
        <v>247</v>
      </c>
      <c r="F210" s="1543" t="s">
        <v>248</v>
      </c>
      <c r="G210" s="1544" t="s">
        <v>249</v>
      </c>
      <c r="H210" s="1482" t="s">
        <v>26</v>
      </c>
      <c r="I210" s="1483" t="s">
        <v>25</v>
      </c>
      <c r="J210" s="1484" t="s">
        <v>250</v>
      </c>
      <c r="K210" s="1485" t="s">
        <v>23</v>
      </c>
      <c r="L210" s="1485" t="s">
        <v>22</v>
      </c>
      <c r="M210" s="1485" t="s">
        <v>251</v>
      </c>
      <c r="N210" s="1485" t="s">
        <v>20</v>
      </c>
      <c r="O210" s="1485" t="s">
        <v>19</v>
      </c>
      <c r="P210" s="1485" t="s">
        <v>18</v>
      </c>
      <c r="Q210" s="1485" t="s">
        <v>17</v>
      </c>
      <c r="R210" s="1486" t="s">
        <v>16</v>
      </c>
      <c r="S210" s="1487" t="s">
        <v>15</v>
      </c>
      <c r="T210" s="1486" t="s">
        <v>14</v>
      </c>
      <c r="U210" s="1486" t="s">
        <v>13</v>
      </c>
      <c r="V210" s="1486" t="s">
        <v>12</v>
      </c>
      <c r="W210" s="1488" t="s">
        <v>3</v>
      </c>
      <c r="X210" s="1489" t="s">
        <v>11</v>
      </c>
      <c r="Y210" s="1573" t="s">
        <v>10</v>
      </c>
      <c r="Z210" s="1574" t="s">
        <v>9</v>
      </c>
      <c r="AA210" s="1575" t="s">
        <v>8</v>
      </c>
      <c r="AB210" s="1575" t="s">
        <v>7</v>
      </c>
      <c r="AC210" s="1575" t="s">
        <v>6</v>
      </c>
      <c r="AD210" s="1575" t="s">
        <v>5</v>
      </c>
      <c r="AE210" s="1575" t="s">
        <v>4</v>
      </c>
      <c r="AF210" s="1576" t="s">
        <v>3</v>
      </c>
      <c r="AG210" s="1481"/>
      <c r="AH210" s="1532"/>
      <c r="AI210" s="1533"/>
      <c r="AJ210" s="1534"/>
      <c r="AK210" s="1463"/>
    </row>
    <row r="211" spans="2:40" s="1480" customFormat="1">
      <c r="B211" s="1494" t="s">
        <v>322</v>
      </c>
      <c r="C211" s="1495" t="s">
        <v>797</v>
      </c>
      <c r="D211" s="1496" t="s">
        <v>277</v>
      </c>
      <c r="E211" s="1496"/>
      <c r="F211" s="1496"/>
      <c r="G211" s="1546"/>
      <c r="H211" s="862">
        <f t="shared" ref="H211:H217" si="108">I211+J211</f>
        <v>486980.93999999994</v>
      </c>
      <c r="I211" s="863">
        <f>AI211+AJ211</f>
        <v>91870.84</v>
      </c>
      <c r="J211" s="864">
        <f>AH211</f>
        <v>395110.1</v>
      </c>
      <c r="K211" s="1497">
        <v>449510</v>
      </c>
      <c r="L211" s="865">
        <f t="shared" ref="L211:L217" si="109">H211/K211</f>
        <v>1.0833595248159105</v>
      </c>
      <c r="M211" s="1497">
        <v>22675</v>
      </c>
      <c r="N211" s="866">
        <f t="shared" ref="N211:N218" si="110">M211/K211</f>
        <v>5.0443816600298105E-2</v>
      </c>
      <c r="O211" s="867">
        <f t="shared" ref="O211:O218" si="111">P211/M211</f>
        <v>9.1995589856670348E-2</v>
      </c>
      <c r="P211" s="1497">
        <v>2086</v>
      </c>
      <c r="Q211" s="1497">
        <v>1678</v>
      </c>
      <c r="R211" s="868">
        <f t="shared" ref="R211:R218" si="112">Q211/P211</f>
        <v>0.80441035474592526</v>
      </c>
      <c r="S211" s="869">
        <f t="shared" ref="S211:S217" si="113">H211/P211</f>
        <v>233.45203259827417</v>
      </c>
      <c r="T211" s="870">
        <f t="shared" ref="T211:T217" si="114">H211/Q211</f>
        <v>290.2151013110846</v>
      </c>
      <c r="U211" s="874">
        <f t="shared" ref="U211:U216" si="115">X$189*Q211</f>
        <v>0</v>
      </c>
      <c r="V211" s="872">
        <f t="shared" ref="V211:V217" si="116">U211/H211</f>
        <v>0</v>
      </c>
      <c r="W211" s="1498">
        <v>490</v>
      </c>
      <c r="X211" s="2229">
        <v>1015</v>
      </c>
      <c r="Y211" s="1499">
        <v>1870</v>
      </c>
      <c r="Z211" s="1497">
        <v>1538</v>
      </c>
      <c r="AA211" s="867">
        <f>Z211/Y211</f>
        <v>0.82245989304812839</v>
      </c>
      <c r="AB211" s="869">
        <f t="shared" ref="AB211:AB217" si="117">H211/Y211</f>
        <v>260.417614973262</v>
      </c>
      <c r="AC211" s="873">
        <f t="shared" ref="AC211:AC217" si="118">H211/Z211</f>
        <v>316.63260078023404</v>
      </c>
      <c r="AD211" s="874">
        <f t="shared" ref="AD211:AD217" si="119">Z211*AF211</f>
        <v>753620</v>
      </c>
      <c r="AE211" s="903">
        <f t="shared" ref="AE211:AE217" si="120">AD211/H211</f>
        <v>1.5475348994151601</v>
      </c>
      <c r="AF211" s="1500">
        <f t="shared" ref="AF211:AF216" si="121">W211</f>
        <v>490</v>
      </c>
      <c r="AG211" s="876" t="s">
        <v>257</v>
      </c>
      <c r="AH211" s="1567">
        <v>395110.1</v>
      </c>
      <c r="AI211" s="1534">
        <v>0</v>
      </c>
      <c r="AJ211" s="1567">
        <v>91870.84</v>
      </c>
      <c r="AK211" s="1463"/>
    </row>
    <row r="212" spans="2:40" s="1480" customFormat="1">
      <c r="B212" s="1494" t="s">
        <v>323</v>
      </c>
      <c r="C212" s="1495" t="s">
        <v>804</v>
      </c>
      <c r="D212" s="1496" t="s">
        <v>281</v>
      </c>
      <c r="E212" s="1549"/>
      <c r="F212" s="1549"/>
      <c r="G212" s="1581"/>
      <c r="H212" s="862">
        <f t="shared" si="108"/>
        <v>13415824.82285714</v>
      </c>
      <c r="I212" s="863">
        <f t="shared" ref="I212:I216" si="122">AI212+AJ212</f>
        <v>5705822.5228571398</v>
      </c>
      <c r="J212" s="864">
        <f t="shared" ref="J212:J216" si="123">AH212</f>
        <v>7710002.2999999998</v>
      </c>
      <c r="K212" s="1497">
        <v>8948455</v>
      </c>
      <c r="L212" s="865">
        <f t="shared" si="109"/>
        <v>1.4992336467979266</v>
      </c>
      <c r="M212" s="1497">
        <v>545227</v>
      </c>
      <c r="N212" s="866">
        <f t="shared" si="110"/>
        <v>6.0929735915306052E-2</v>
      </c>
      <c r="O212" s="867">
        <f t="shared" si="111"/>
        <v>5.8949758540937994E-2</v>
      </c>
      <c r="P212" s="1497">
        <v>32141</v>
      </c>
      <c r="Q212" s="1497">
        <v>23226</v>
      </c>
      <c r="R212" s="868">
        <f t="shared" si="112"/>
        <v>0.72262841853084847</v>
      </c>
      <c r="S212" s="869">
        <f t="shared" si="113"/>
        <v>417.40533346371114</v>
      </c>
      <c r="T212" s="873">
        <f t="shared" si="114"/>
        <v>577.62097747598125</v>
      </c>
      <c r="U212" s="874">
        <f t="shared" si="115"/>
        <v>0</v>
      </c>
      <c r="V212" s="872">
        <f t="shared" si="116"/>
        <v>0</v>
      </c>
      <c r="W212" s="1498">
        <v>1300</v>
      </c>
      <c r="X212" s="2229"/>
      <c r="Y212" s="1499">
        <v>2185</v>
      </c>
      <c r="Z212" s="1497">
        <v>1235</v>
      </c>
      <c r="AA212" s="867">
        <f t="shared" ref="AA212:AA217" si="124">Z212/Y212</f>
        <v>0.56521739130434778</v>
      </c>
      <c r="AB212" s="869">
        <f t="shared" si="117"/>
        <v>6139.9655939849608</v>
      </c>
      <c r="AC212" s="873">
        <f t="shared" si="118"/>
        <v>10863.016050896469</v>
      </c>
      <c r="AD212" s="874">
        <f t="shared" si="119"/>
        <v>1605500</v>
      </c>
      <c r="AE212" s="903">
        <f t="shared" si="120"/>
        <v>0.11967210523386068</v>
      </c>
      <c r="AF212" s="1500">
        <f t="shared" si="121"/>
        <v>1300</v>
      </c>
      <c r="AG212" s="876" t="s">
        <v>282</v>
      </c>
      <c r="AH212" s="1567">
        <v>7710002.2999999998</v>
      </c>
      <c r="AI212" s="1534">
        <v>2209537.1428571399</v>
      </c>
      <c r="AJ212" s="1567">
        <v>3496285.38</v>
      </c>
      <c r="AK212" s="1463"/>
      <c r="AN212" s="1577"/>
    </row>
    <row r="213" spans="2:40" s="1480" customFormat="1">
      <c r="B213" s="1494" t="s">
        <v>324</v>
      </c>
      <c r="C213" s="1495" t="s">
        <v>805</v>
      </c>
      <c r="D213" s="1496" t="s">
        <v>284</v>
      </c>
      <c r="E213" s="1549"/>
      <c r="F213" s="1549"/>
      <c r="G213" s="1549"/>
      <c r="H213" s="862">
        <f t="shared" si="108"/>
        <v>1135870.06</v>
      </c>
      <c r="I213" s="863">
        <f t="shared" si="122"/>
        <v>792737.06</v>
      </c>
      <c r="J213" s="864">
        <f t="shared" si="123"/>
        <v>343133</v>
      </c>
      <c r="K213" s="1497">
        <v>374580</v>
      </c>
      <c r="L213" s="865">
        <f t="shared" si="109"/>
        <v>3.0323830957338886</v>
      </c>
      <c r="M213" s="1497">
        <v>37189</v>
      </c>
      <c r="N213" s="866">
        <f t="shared" si="110"/>
        <v>9.9281862352501471E-2</v>
      </c>
      <c r="O213" s="867">
        <f t="shared" si="111"/>
        <v>5.1009707171475439E-2</v>
      </c>
      <c r="P213" s="1497">
        <v>1897</v>
      </c>
      <c r="Q213" s="1497">
        <v>1452</v>
      </c>
      <c r="R213" s="868">
        <f t="shared" si="112"/>
        <v>0.76541908276225623</v>
      </c>
      <c r="S213" s="869">
        <f t="shared" si="113"/>
        <v>598.77177648919348</v>
      </c>
      <c r="T213" s="873">
        <f t="shared" si="114"/>
        <v>782.27965564738292</v>
      </c>
      <c r="U213" s="874">
        <f t="shared" si="115"/>
        <v>0</v>
      </c>
      <c r="V213" s="872">
        <f t="shared" si="116"/>
        <v>0</v>
      </c>
      <c r="W213" s="1553">
        <v>990</v>
      </c>
      <c r="X213" s="2229"/>
      <c r="Y213" s="1499">
        <v>623</v>
      </c>
      <c r="Z213" s="1497">
        <v>504</v>
      </c>
      <c r="AA213" s="867">
        <f t="shared" si="124"/>
        <v>0.8089887640449438</v>
      </c>
      <c r="AB213" s="869">
        <f t="shared" si="117"/>
        <v>1823.2264205457466</v>
      </c>
      <c r="AC213" s="873">
        <f t="shared" si="118"/>
        <v>2253.7104365079367</v>
      </c>
      <c r="AD213" s="874">
        <f t="shared" si="119"/>
        <v>498960</v>
      </c>
      <c r="AE213" s="903">
        <f t="shared" si="120"/>
        <v>0.43927559812607436</v>
      </c>
      <c r="AF213" s="1500">
        <f t="shared" si="121"/>
        <v>990</v>
      </c>
      <c r="AG213" s="876" t="s">
        <v>282</v>
      </c>
      <c r="AH213" s="1567">
        <v>343133</v>
      </c>
      <c r="AI213" s="1534"/>
      <c r="AJ213" s="1567">
        <v>792737.06</v>
      </c>
      <c r="AK213" s="1463"/>
    </row>
    <row r="214" spans="2:40" s="1480" customFormat="1">
      <c r="B214" s="1494" t="s">
        <v>324</v>
      </c>
      <c r="C214" s="1495" t="s">
        <v>807</v>
      </c>
      <c r="D214" s="1496" t="s">
        <v>284</v>
      </c>
      <c r="E214" s="1555"/>
      <c r="F214" s="1555"/>
      <c r="G214" s="1556"/>
      <c r="H214" s="862">
        <f t="shared" si="108"/>
        <v>1327406.75</v>
      </c>
      <c r="I214" s="863">
        <f t="shared" si="122"/>
        <v>834271.25</v>
      </c>
      <c r="J214" s="864">
        <f t="shared" si="123"/>
        <v>493135.5</v>
      </c>
      <c r="K214" s="1497">
        <v>246450</v>
      </c>
      <c r="L214" s="865">
        <f t="shared" si="109"/>
        <v>5.3861097585717186</v>
      </c>
      <c r="M214" s="1497">
        <v>22015</v>
      </c>
      <c r="N214" s="866">
        <f t="shared" si="110"/>
        <v>8.9328464191519574E-2</v>
      </c>
      <c r="O214" s="867">
        <f t="shared" si="111"/>
        <v>5.3463547581194641E-2</v>
      </c>
      <c r="P214" s="1497">
        <v>1177</v>
      </c>
      <c r="Q214" s="1497">
        <v>799</v>
      </c>
      <c r="R214" s="868">
        <f t="shared" si="112"/>
        <v>0.67884451996601525</v>
      </c>
      <c r="S214" s="869">
        <f t="shared" si="113"/>
        <v>1127.788232795242</v>
      </c>
      <c r="T214" s="873">
        <f t="shared" si="114"/>
        <v>1661.3351063829787</v>
      </c>
      <c r="U214" s="874">
        <f t="shared" si="115"/>
        <v>0</v>
      </c>
      <c r="V214" s="872">
        <f t="shared" si="116"/>
        <v>0</v>
      </c>
      <c r="W214" s="1557">
        <v>1820</v>
      </c>
      <c r="X214" s="2229"/>
      <c r="Y214" s="1499">
        <v>295</v>
      </c>
      <c r="Z214" s="1497">
        <v>176</v>
      </c>
      <c r="AA214" s="867">
        <f t="shared" si="124"/>
        <v>0.59661016949152545</v>
      </c>
      <c r="AB214" s="869">
        <f t="shared" si="117"/>
        <v>4499.6838983050848</v>
      </c>
      <c r="AC214" s="873">
        <f t="shared" si="118"/>
        <v>7542.083806818182</v>
      </c>
      <c r="AD214" s="874">
        <f t="shared" si="119"/>
        <v>320320</v>
      </c>
      <c r="AE214" s="903">
        <f t="shared" si="120"/>
        <v>0.24131261951169075</v>
      </c>
      <c r="AF214" s="1500">
        <f t="shared" si="121"/>
        <v>1820</v>
      </c>
      <c r="AG214" s="876" t="s">
        <v>257</v>
      </c>
      <c r="AH214" s="1567">
        <v>493135.5</v>
      </c>
      <c r="AI214" s="1534">
        <v>0</v>
      </c>
      <c r="AJ214" s="1567">
        <f>830703.35+3567.9</f>
        <v>834271.25</v>
      </c>
      <c r="AK214" s="1463"/>
    </row>
    <row r="215" spans="2:40" s="1480" customFormat="1">
      <c r="B215" s="1494" t="s">
        <v>324</v>
      </c>
      <c r="C215" s="1495" t="s">
        <v>808</v>
      </c>
      <c r="D215" s="1496" t="s">
        <v>284</v>
      </c>
      <c r="E215" s="1558"/>
      <c r="F215" s="1558"/>
      <c r="G215" s="1559"/>
      <c r="H215" s="862">
        <f t="shared" si="108"/>
        <v>5580163.6699999999</v>
      </c>
      <c r="I215" s="863">
        <f t="shared" si="122"/>
        <v>2653024.0700000003</v>
      </c>
      <c r="J215" s="864">
        <f t="shared" si="123"/>
        <v>2927139.6</v>
      </c>
      <c r="K215" s="1497">
        <v>937328</v>
      </c>
      <c r="L215" s="865">
        <f t="shared" si="109"/>
        <v>5.9532668073502553</v>
      </c>
      <c r="M215" s="1497">
        <v>41723</v>
      </c>
      <c r="N215" s="866">
        <f t="shared" si="110"/>
        <v>4.4512699930013826E-2</v>
      </c>
      <c r="O215" s="867">
        <f t="shared" si="111"/>
        <v>5.3855187786113173E-2</v>
      </c>
      <c r="P215" s="1497">
        <v>2247</v>
      </c>
      <c r="Q215" s="1497">
        <v>1599</v>
      </c>
      <c r="R215" s="868">
        <f t="shared" si="112"/>
        <v>0.71161548731642188</v>
      </c>
      <c r="S215" s="869">
        <f t="shared" si="113"/>
        <v>2483.3839207832666</v>
      </c>
      <c r="T215" s="873">
        <f t="shared" si="114"/>
        <v>3489.7834083802377</v>
      </c>
      <c r="U215" s="874">
        <f t="shared" si="115"/>
        <v>0</v>
      </c>
      <c r="V215" s="872">
        <f t="shared" si="116"/>
        <v>0</v>
      </c>
      <c r="W215" s="1557">
        <v>1400</v>
      </c>
      <c r="X215" s="2229"/>
      <c r="Y215" s="1499">
        <v>284</v>
      </c>
      <c r="Z215" s="1497">
        <v>196</v>
      </c>
      <c r="AA215" s="867">
        <f t="shared" si="124"/>
        <v>0.6901408450704225</v>
      </c>
      <c r="AB215" s="869">
        <f t="shared" si="117"/>
        <v>19648.463626760564</v>
      </c>
      <c r="AC215" s="873">
        <f t="shared" si="118"/>
        <v>28470.222806122449</v>
      </c>
      <c r="AD215" s="874">
        <f t="shared" si="119"/>
        <v>274400</v>
      </c>
      <c r="AE215" s="903">
        <f t="shared" si="120"/>
        <v>4.9174184885512506E-2</v>
      </c>
      <c r="AF215" s="1500">
        <f t="shared" si="121"/>
        <v>1400</v>
      </c>
      <c r="AG215" s="876" t="s">
        <v>288</v>
      </c>
      <c r="AH215" s="1567">
        <v>2927139.6</v>
      </c>
      <c r="AI215" s="1534">
        <f>30000*47</f>
        <v>1410000</v>
      </c>
      <c r="AJ215" s="1567">
        <v>1243024.07</v>
      </c>
      <c r="AK215" s="1463"/>
    </row>
    <row r="216" spans="2:40" s="1480" customFormat="1">
      <c r="B216" s="1494" t="s">
        <v>324</v>
      </c>
      <c r="C216" s="1554" t="s">
        <v>809</v>
      </c>
      <c r="D216" s="1496" t="s">
        <v>284</v>
      </c>
      <c r="E216" s="1561"/>
      <c r="F216" s="1561"/>
      <c r="G216" s="1562"/>
      <c r="H216" s="862">
        <f t="shared" si="108"/>
        <v>4703706.6100000003</v>
      </c>
      <c r="I216" s="863">
        <f t="shared" si="122"/>
        <v>1717629.37</v>
      </c>
      <c r="J216" s="864">
        <f t="shared" si="123"/>
        <v>2986077.24</v>
      </c>
      <c r="K216" s="1497">
        <v>985463</v>
      </c>
      <c r="L216" s="865">
        <f t="shared" si="109"/>
        <v>4.7730930638694709</v>
      </c>
      <c r="M216" s="1497">
        <v>41058</v>
      </c>
      <c r="N216" s="866">
        <f t="shared" si="110"/>
        <v>4.1663664693651611E-2</v>
      </c>
      <c r="O216" s="867">
        <f t="shared" si="111"/>
        <v>5.1756052413658729E-2</v>
      </c>
      <c r="P216" s="1497">
        <v>2125</v>
      </c>
      <c r="Q216" s="1497">
        <v>1597</v>
      </c>
      <c r="R216" s="868">
        <f t="shared" si="112"/>
        <v>0.75152941176470589</v>
      </c>
      <c r="S216" s="869">
        <f t="shared" si="113"/>
        <v>2213.5089929411765</v>
      </c>
      <c r="T216" s="873">
        <f t="shared" si="114"/>
        <v>2945.3391421415154</v>
      </c>
      <c r="U216" s="874">
        <f t="shared" si="115"/>
        <v>0</v>
      </c>
      <c r="V216" s="872">
        <f t="shared" si="116"/>
        <v>0</v>
      </c>
      <c r="W216" s="1557">
        <v>930</v>
      </c>
      <c r="X216" s="2229"/>
      <c r="Y216" s="1563">
        <v>482</v>
      </c>
      <c r="Z216" s="1564">
        <v>357</v>
      </c>
      <c r="AA216" s="867">
        <f t="shared" si="124"/>
        <v>0.74066390041493779</v>
      </c>
      <c r="AB216" s="869">
        <f t="shared" si="117"/>
        <v>9758.7274066390055</v>
      </c>
      <c r="AC216" s="873">
        <f t="shared" si="118"/>
        <v>13175.648767507004</v>
      </c>
      <c r="AD216" s="874">
        <f t="shared" si="119"/>
        <v>332010</v>
      </c>
      <c r="AE216" s="903">
        <f t="shared" si="120"/>
        <v>7.0584759537117472E-2</v>
      </c>
      <c r="AF216" s="1500">
        <f t="shared" si="121"/>
        <v>930</v>
      </c>
      <c r="AG216" s="876" t="s">
        <v>290</v>
      </c>
      <c r="AH216" s="1567">
        <f>2719554.02+266523.22</f>
        <v>2986077.24</v>
      </c>
      <c r="AI216" s="1534">
        <v>250000</v>
      </c>
      <c r="AJ216" s="1567">
        <v>1467629.37</v>
      </c>
      <c r="AK216" s="1463"/>
    </row>
    <row r="217" spans="2:40" s="1480" customFormat="1">
      <c r="B217" s="1502"/>
      <c r="C217" s="1503" t="s">
        <v>0</v>
      </c>
      <c r="D217" s="1503"/>
      <c r="E217" s="1503"/>
      <c r="F217" s="1503"/>
      <c r="G217" s="1565"/>
      <c r="H217" s="882">
        <f t="shared" si="108"/>
        <v>26649952.852857139</v>
      </c>
      <c r="I217" s="883">
        <f>SUM(I211:I216)</f>
        <v>11795355.112857141</v>
      </c>
      <c r="J217" s="884">
        <f>SUM(J211:J216)</f>
        <v>14854597.739999998</v>
      </c>
      <c r="K217" s="885">
        <f>SUM(K211:K216)</f>
        <v>11941786</v>
      </c>
      <c r="L217" s="886">
        <f t="shared" si="109"/>
        <v>2.2316555373590798</v>
      </c>
      <c r="M217" s="883">
        <f>SUM(M211:M216)</f>
        <v>709887</v>
      </c>
      <c r="N217" s="887">
        <f t="shared" si="110"/>
        <v>5.9445630661946212E-2</v>
      </c>
      <c r="O217" s="887">
        <f t="shared" si="111"/>
        <v>5.8703709181883876E-2</v>
      </c>
      <c r="P217" s="883">
        <f>SUM(P211:P216)</f>
        <v>41673</v>
      </c>
      <c r="Q217" s="883">
        <f>SUM(Q211:Q216)</f>
        <v>30351</v>
      </c>
      <c r="R217" s="887">
        <f t="shared" si="112"/>
        <v>0.72831329637895037</v>
      </c>
      <c r="S217" s="1504">
        <f t="shared" si="113"/>
        <v>639.50166421561062</v>
      </c>
      <c r="T217" s="1504">
        <f t="shared" si="114"/>
        <v>878.05847757428546</v>
      </c>
      <c r="U217" s="1505">
        <f>X211*Q217</f>
        <v>30806265</v>
      </c>
      <c r="V217" s="888">
        <f t="shared" si="116"/>
        <v>1.1559594559169084</v>
      </c>
      <c r="W217" s="1506">
        <f>X211</f>
        <v>1015</v>
      </c>
      <c r="X217" s="2229"/>
      <c r="Y217" s="1507">
        <f>SUM(Y211:Y216)</f>
        <v>5739</v>
      </c>
      <c r="Z217" s="1507">
        <f>SUM(Z211:Z216)</f>
        <v>4006</v>
      </c>
      <c r="AA217" s="889">
        <f t="shared" si="124"/>
        <v>0.69803101585642102</v>
      </c>
      <c r="AB217" s="1507">
        <f t="shared" si="117"/>
        <v>4643.6579287083359</v>
      </c>
      <c r="AC217" s="1507">
        <f t="shared" si="118"/>
        <v>6652.5094490407237</v>
      </c>
      <c r="AD217" s="1508">
        <f t="shared" si="119"/>
        <v>4066090</v>
      </c>
      <c r="AE217" s="908">
        <f t="shared" si="120"/>
        <v>0.15257400350575384</v>
      </c>
      <c r="AF217" s="1509">
        <v>1015</v>
      </c>
      <c r="AG217" s="1510"/>
      <c r="AH217" s="1463"/>
      <c r="AK217" s="1463"/>
      <c r="AN217" s="1577"/>
    </row>
    <row r="218" spans="2:40" s="1480" customFormat="1">
      <c r="B218" s="1512"/>
      <c r="C218" s="1513" t="s">
        <v>260</v>
      </c>
      <c r="D218" s="1513"/>
      <c r="E218" s="1513"/>
      <c r="F218" s="1513"/>
      <c r="G218" s="1513"/>
      <c r="H218" s="893"/>
      <c r="I218" s="894"/>
      <c r="J218" s="894"/>
      <c r="K218" s="894">
        <v>11264918</v>
      </c>
      <c r="L218" s="895">
        <f>H217/K218</f>
        <v>2.365747611554486</v>
      </c>
      <c r="M218" s="894">
        <v>640186</v>
      </c>
      <c r="N218" s="896">
        <f t="shared" si="110"/>
        <v>5.6830063032860069E-2</v>
      </c>
      <c r="O218" s="896">
        <f t="shared" si="111"/>
        <v>5.9599866288859799E-2</v>
      </c>
      <c r="P218" s="894">
        <v>38155</v>
      </c>
      <c r="Q218" s="894">
        <v>28057</v>
      </c>
      <c r="R218" s="896">
        <f t="shared" si="112"/>
        <v>0.73534268116891621</v>
      </c>
      <c r="S218" s="1514">
        <f>H217/P218</f>
        <v>698.46554456446438</v>
      </c>
      <c r="T218" s="1514">
        <f>H217/Q218</f>
        <v>949.85040641754779</v>
      </c>
      <c r="U218" s="1515">
        <f>Q218*$X$189</f>
        <v>0</v>
      </c>
      <c r="V218" s="897">
        <f>U218/H217</f>
        <v>0</v>
      </c>
      <c r="W218" s="1514">
        <f>W217</f>
        <v>1015</v>
      </c>
      <c r="X218" s="1516"/>
      <c r="Y218" s="894"/>
      <c r="Z218" s="894"/>
      <c r="AA218" s="896"/>
      <c r="AB218" s="1517"/>
      <c r="AC218" s="1517"/>
      <c r="AD218" s="1516"/>
      <c r="AE218" s="898"/>
      <c r="AF218" s="1516"/>
      <c r="AG218" s="1510"/>
      <c r="AH218" s="1518"/>
      <c r="AI218" s="1519"/>
      <c r="AJ218" s="1463"/>
      <c r="AK218" s="1463"/>
    </row>
    <row r="219" spans="2:40">
      <c r="B219" s="1578" t="s">
        <v>325</v>
      </c>
      <c r="E219" s="1465"/>
      <c r="F219" s="1465"/>
      <c r="G219" s="1465"/>
      <c r="H219" s="1466"/>
      <c r="I219" s="1466"/>
      <c r="J219" s="1466"/>
      <c r="K219" s="1467"/>
      <c r="L219" s="1468"/>
      <c r="N219" s="845"/>
      <c r="R219" s="845"/>
      <c r="S219" s="1467"/>
      <c r="V219" s="1469"/>
      <c r="X219" s="1467"/>
      <c r="AA219" s="845"/>
      <c r="AB219" s="1467"/>
      <c r="AD219" s="1467"/>
      <c r="AE219" s="1469"/>
      <c r="AF219" s="1467"/>
      <c r="AG219" s="1470"/>
      <c r="AH219" s="1471"/>
      <c r="AI219" s="1471"/>
      <c r="AJ219" s="1471"/>
    </row>
    <row r="220" spans="2:40">
      <c r="B220" s="1472"/>
      <c r="E220" s="1465"/>
      <c r="F220" s="1465"/>
      <c r="G220" s="1465"/>
      <c r="H220" s="1466"/>
      <c r="I220" s="1466"/>
      <c r="J220" s="1466"/>
      <c r="K220" s="1467"/>
      <c r="L220" s="1468"/>
      <c r="N220" s="845"/>
      <c r="R220" s="845"/>
      <c r="S220" s="1467"/>
      <c r="V220" s="1469"/>
      <c r="X220" s="1467"/>
      <c r="AA220" s="845"/>
      <c r="AB220" s="1467"/>
      <c r="AD220" s="1467"/>
      <c r="AE220" s="1469"/>
      <c r="AF220" s="1467"/>
      <c r="AG220" s="1470"/>
      <c r="AH220" s="1471"/>
      <c r="AI220" s="1471"/>
      <c r="AJ220" s="1471"/>
    </row>
    <row r="221" spans="2:40">
      <c r="B221" s="1472"/>
      <c r="E221" s="1465"/>
      <c r="F221" s="1465"/>
      <c r="G221" s="1465"/>
      <c r="H221" s="1466"/>
      <c r="I221" s="1466"/>
      <c r="J221" s="1466"/>
      <c r="K221" s="1467"/>
      <c r="L221" s="1468"/>
      <c r="N221" s="845"/>
      <c r="R221" s="845"/>
      <c r="S221" s="1467"/>
      <c r="V221" s="1469"/>
      <c r="X221" s="1467"/>
      <c r="AA221" s="845"/>
      <c r="AB221" s="1467"/>
      <c r="AD221" s="1467"/>
      <c r="AE221" s="1469"/>
      <c r="AF221" s="1467"/>
      <c r="AG221" s="1470"/>
      <c r="AH221" s="1471"/>
      <c r="AI221" s="1471"/>
      <c r="AJ221" s="1471"/>
    </row>
    <row r="222" spans="2:40">
      <c r="B222" s="1472"/>
      <c r="E222" s="1465"/>
      <c r="F222" s="1465"/>
      <c r="G222" s="1465"/>
      <c r="H222" s="1466"/>
      <c r="I222" s="1466"/>
      <c r="J222" s="1466"/>
      <c r="K222" s="1467"/>
      <c r="L222" s="1468"/>
      <c r="N222" s="845"/>
      <c r="R222" s="845"/>
      <c r="S222" s="1467"/>
      <c r="V222" s="1469"/>
      <c r="X222" s="1467"/>
      <c r="AA222" s="845"/>
      <c r="AB222" s="1467"/>
      <c r="AD222" s="1467"/>
      <c r="AE222" s="1469"/>
      <c r="AF222" s="1467"/>
      <c r="AG222" s="1470"/>
      <c r="AH222" s="1471"/>
      <c r="AI222" s="1471"/>
      <c r="AJ222" s="1471"/>
    </row>
    <row r="223" spans="2:40">
      <c r="B223" s="1472"/>
      <c r="E223" s="1465"/>
      <c r="F223" s="1465"/>
      <c r="G223" s="1465"/>
      <c r="H223" s="1466"/>
      <c r="I223" s="1466"/>
      <c r="J223" s="1466"/>
      <c r="K223" s="1467"/>
      <c r="L223" s="1468"/>
      <c r="N223" s="845"/>
      <c r="R223" s="845"/>
      <c r="S223" s="1467"/>
      <c r="V223" s="1469"/>
      <c r="X223" s="1467"/>
      <c r="AA223" s="845"/>
      <c r="AB223" s="1467"/>
      <c r="AD223" s="1467"/>
      <c r="AE223" s="1469"/>
      <c r="AF223" s="1467"/>
      <c r="AG223" s="1470"/>
      <c r="AH223" s="1471"/>
      <c r="AI223" s="1471"/>
      <c r="AJ223" s="1471"/>
    </row>
    <row r="224" spans="2:40">
      <c r="B224" s="1472"/>
      <c r="E224" s="1465"/>
      <c r="F224" s="1465"/>
      <c r="G224" s="1465"/>
      <c r="H224" s="1466"/>
      <c r="I224" s="1466"/>
      <c r="J224" s="1466"/>
      <c r="K224" s="1467"/>
      <c r="L224" s="1468"/>
      <c r="N224" s="845"/>
      <c r="R224" s="845"/>
      <c r="S224" s="1467"/>
      <c r="V224" s="1469"/>
      <c r="X224" s="1467"/>
      <c r="AA224" s="845"/>
      <c r="AB224" s="1467"/>
      <c r="AD224" s="1467"/>
      <c r="AE224" s="1469"/>
      <c r="AF224" s="1467"/>
      <c r="AG224" s="1470"/>
      <c r="AH224" s="1471"/>
      <c r="AI224" s="1471"/>
      <c r="AJ224" s="1471"/>
    </row>
    <row r="225" spans="2:40">
      <c r="B225" s="1472"/>
      <c r="E225" s="1465"/>
      <c r="F225" s="1465"/>
      <c r="G225" s="1465"/>
      <c r="H225" s="1466"/>
      <c r="I225" s="1466"/>
      <c r="J225" s="1466"/>
      <c r="K225" s="1467"/>
      <c r="L225" s="1468"/>
      <c r="N225" s="845"/>
      <c r="Q225" s="1580"/>
      <c r="R225" s="845"/>
      <c r="S225" s="1467"/>
      <c r="V225" s="1469"/>
      <c r="X225" s="1467"/>
      <c r="AA225" s="845"/>
      <c r="AB225" s="1467"/>
      <c r="AD225" s="1467"/>
      <c r="AE225" s="1469"/>
      <c r="AF225" s="1467"/>
      <c r="AG225" s="1470"/>
      <c r="AH225" s="1471"/>
      <c r="AI225" s="1471"/>
      <c r="AJ225" s="1471"/>
    </row>
    <row r="226" spans="2:40">
      <c r="B226" s="1472"/>
      <c r="E226" s="1465"/>
      <c r="F226" s="1465"/>
      <c r="G226" s="1465"/>
      <c r="H226" s="1466"/>
      <c r="I226" s="1466"/>
      <c r="J226" s="1466"/>
      <c r="K226" s="1467"/>
      <c r="L226" s="1468"/>
      <c r="N226" s="845"/>
      <c r="R226" s="845"/>
      <c r="S226" s="1467"/>
      <c r="V226" s="1469"/>
      <c r="X226" s="1467"/>
      <c r="AA226" s="845"/>
      <c r="AB226" s="1467"/>
      <c r="AD226" s="1467"/>
      <c r="AE226" s="1469"/>
      <c r="AF226" s="1467"/>
      <c r="AG226" s="1470"/>
      <c r="AH226" s="1471"/>
      <c r="AI226" s="1471"/>
      <c r="AJ226" s="1471"/>
    </row>
    <row r="227" spans="2:40" s="1473" customFormat="1" ht="22.5">
      <c r="B227" s="850" t="s">
        <v>817</v>
      </c>
      <c r="C227" s="1474"/>
      <c r="D227" s="1474"/>
      <c r="E227" s="1474"/>
      <c r="F227" s="1474"/>
      <c r="G227" s="1474"/>
      <c r="H227" s="1475"/>
      <c r="I227" s="1476"/>
      <c r="J227" s="1476"/>
      <c r="K227" s="1476"/>
      <c r="L227" s="1477"/>
      <c r="M227" s="1476"/>
      <c r="N227" s="851"/>
      <c r="O227" s="851"/>
      <c r="P227" s="1476"/>
      <c r="Q227" s="1476"/>
      <c r="R227" s="851"/>
      <c r="S227" s="1476"/>
      <c r="T227" s="1476"/>
      <c r="U227" s="1476"/>
      <c r="V227" s="1478"/>
      <c r="W227" s="1476"/>
      <c r="X227" s="1476"/>
      <c r="Y227" s="1476"/>
      <c r="Z227" s="1476"/>
      <c r="AA227" s="851"/>
      <c r="AB227" s="1476"/>
      <c r="AC227" s="1476"/>
      <c r="AD227" s="1476"/>
      <c r="AE227" s="1478"/>
      <c r="AF227" s="1476"/>
      <c r="AG227" s="1479"/>
      <c r="AH227" s="1476"/>
      <c r="AI227" s="1476"/>
      <c r="AJ227" s="1476"/>
    </row>
    <row r="228" spans="2:40">
      <c r="B228" s="852" t="s">
        <v>238</v>
      </c>
      <c r="C228" s="853" t="s">
        <v>326</v>
      </c>
      <c r="E228" s="1465"/>
      <c r="F228" s="1465"/>
      <c r="G228" s="1465"/>
      <c r="H228" s="1466"/>
      <c r="I228" s="1466"/>
      <c r="J228" s="1466"/>
      <c r="K228" s="1467"/>
      <c r="L228" s="1468"/>
      <c r="N228" s="845"/>
      <c r="R228" s="845"/>
      <c r="S228" s="1467"/>
      <c r="V228" s="1469"/>
      <c r="X228" s="1467"/>
      <c r="AA228" s="845"/>
      <c r="AB228" s="1467"/>
      <c r="AD228" s="1467"/>
      <c r="AE228" s="1469"/>
      <c r="AF228" s="1467"/>
      <c r="AG228" s="1470"/>
      <c r="AH228" s="1471"/>
      <c r="AI228" s="1471"/>
      <c r="AJ228" s="1471"/>
    </row>
    <row r="229" spans="2:40" ht="33">
      <c r="B229" s="854" t="s">
        <v>82</v>
      </c>
      <c r="C229" s="912" t="s">
        <v>327</v>
      </c>
      <c r="E229" s="1465"/>
      <c r="F229" s="1465"/>
      <c r="G229" s="1465"/>
      <c r="H229" s="1466"/>
      <c r="I229" s="1466"/>
      <c r="J229" s="1466"/>
      <c r="K229" s="1467"/>
      <c r="L229" s="1468"/>
      <c r="N229" s="845"/>
      <c r="R229" s="845"/>
      <c r="S229" s="1467"/>
      <c r="V229" s="1469"/>
      <c r="X229" s="1467"/>
      <c r="AA229" s="845"/>
      <c r="AB229" s="1467"/>
      <c r="AD229" s="1467"/>
      <c r="AE229" s="1469"/>
      <c r="AF229" s="1467"/>
      <c r="AG229" s="1470"/>
      <c r="AH229" s="1471"/>
      <c r="AI229" s="1471"/>
      <c r="AJ229" s="1471"/>
    </row>
    <row r="230" spans="2:40">
      <c r="B230" s="854"/>
      <c r="C230" s="912"/>
      <c r="E230" s="1465"/>
      <c r="F230" s="1465"/>
      <c r="G230" s="1465"/>
      <c r="H230" s="1466"/>
      <c r="I230" s="1466"/>
      <c r="J230" s="1466"/>
      <c r="K230" s="1467"/>
      <c r="L230" s="1468"/>
      <c r="N230" s="845"/>
      <c r="R230" s="845"/>
      <c r="S230" s="1467"/>
      <c r="V230" s="1469"/>
      <c r="X230" s="1467"/>
      <c r="AA230" s="845"/>
      <c r="AB230" s="1467"/>
      <c r="AD230" s="1467"/>
      <c r="AE230" s="1469"/>
      <c r="AF230" s="1467"/>
      <c r="AG230" s="1470"/>
      <c r="AH230" s="1471"/>
      <c r="AI230" s="1471"/>
      <c r="AJ230" s="1471"/>
    </row>
    <row r="231" spans="2:40">
      <c r="B231" s="854"/>
      <c r="C231" s="912"/>
      <c r="E231" s="1465"/>
      <c r="F231" s="1465"/>
      <c r="G231" s="1465"/>
      <c r="H231" s="1466"/>
      <c r="I231" s="1466"/>
      <c r="J231" s="1466"/>
      <c r="K231" s="1467"/>
      <c r="L231" s="1468"/>
      <c r="N231" s="845"/>
      <c r="R231" s="845"/>
      <c r="S231" s="1467"/>
      <c r="V231" s="1469"/>
      <c r="X231" s="1467"/>
      <c r="AA231" s="845"/>
      <c r="AB231" s="1467"/>
      <c r="AD231" s="1467"/>
      <c r="AE231" s="1469"/>
      <c r="AF231" s="1467"/>
      <c r="AG231" s="1470"/>
      <c r="AH231" s="1471"/>
      <c r="AI231" s="1471"/>
      <c r="AJ231" s="1471"/>
    </row>
    <row r="232" spans="2:40" s="1480" customFormat="1">
      <c r="B232" s="2238" t="s">
        <v>32</v>
      </c>
      <c r="C232" s="2239" t="s">
        <v>31</v>
      </c>
      <c r="D232" s="2239" t="s">
        <v>30</v>
      </c>
      <c r="E232" s="2240" t="s">
        <v>242</v>
      </c>
      <c r="F232" s="2240"/>
      <c r="G232" s="2240"/>
      <c r="H232" s="2241" t="s">
        <v>29</v>
      </c>
      <c r="I232" s="2241"/>
      <c r="J232" s="2241"/>
      <c r="K232" s="2237" t="s">
        <v>243</v>
      </c>
      <c r="L232" s="2237"/>
      <c r="M232" s="2237"/>
      <c r="N232" s="2237"/>
      <c r="O232" s="2237"/>
      <c r="P232" s="2237"/>
      <c r="Q232" s="2237"/>
      <c r="R232" s="2237"/>
      <c r="S232" s="2237"/>
      <c r="T232" s="2237"/>
      <c r="U232" s="2237"/>
      <c r="V232" s="2237"/>
      <c r="W232" s="2237"/>
      <c r="X232" s="2237"/>
      <c r="Y232" s="2237" t="s">
        <v>27</v>
      </c>
      <c r="Z232" s="2237"/>
      <c r="AA232" s="2237"/>
      <c r="AB232" s="2237"/>
      <c r="AC232" s="2237"/>
      <c r="AD232" s="2237"/>
      <c r="AE232" s="2237"/>
      <c r="AF232" s="2237"/>
      <c r="AG232" s="1481"/>
      <c r="AH232" s="1531" t="s">
        <v>244</v>
      </c>
      <c r="AI232" s="1531" t="s">
        <v>245</v>
      </c>
      <c r="AJ232" s="1531" t="s">
        <v>246</v>
      </c>
      <c r="AK232" s="1463"/>
      <c r="AL232" s="911"/>
    </row>
    <row r="233" spans="2:40" s="1480" customFormat="1" ht="33">
      <c r="B233" s="2238"/>
      <c r="C233" s="2239"/>
      <c r="D233" s="2239"/>
      <c r="E233" s="1542" t="s">
        <v>247</v>
      </c>
      <c r="F233" s="1543" t="s">
        <v>248</v>
      </c>
      <c r="G233" s="1544" t="s">
        <v>249</v>
      </c>
      <c r="H233" s="1482" t="s">
        <v>26</v>
      </c>
      <c r="I233" s="1483" t="s">
        <v>25</v>
      </c>
      <c r="J233" s="1484" t="s">
        <v>250</v>
      </c>
      <c r="K233" s="1485" t="s">
        <v>23</v>
      </c>
      <c r="L233" s="1485" t="s">
        <v>22</v>
      </c>
      <c r="M233" s="1485" t="s">
        <v>251</v>
      </c>
      <c r="N233" s="1485" t="s">
        <v>20</v>
      </c>
      <c r="O233" s="1485" t="s">
        <v>19</v>
      </c>
      <c r="P233" s="1485" t="s">
        <v>18</v>
      </c>
      <c r="Q233" s="1485" t="s">
        <v>17</v>
      </c>
      <c r="R233" s="1486" t="s">
        <v>16</v>
      </c>
      <c r="S233" s="1487" t="s">
        <v>15</v>
      </c>
      <c r="T233" s="1486" t="s">
        <v>14</v>
      </c>
      <c r="U233" s="1486" t="s">
        <v>13</v>
      </c>
      <c r="V233" s="1486" t="s">
        <v>12</v>
      </c>
      <c r="W233" s="1488" t="s">
        <v>3</v>
      </c>
      <c r="X233" s="1489" t="s">
        <v>11</v>
      </c>
      <c r="Y233" s="1573" t="s">
        <v>10</v>
      </c>
      <c r="Z233" s="1574" t="s">
        <v>9</v>
      </c>
      <c r="AA233" s="1575" t="s">
        <v>8</v>
      </c>
      <c r="AB233" s="1575" t="s">
        <v>7</v>
      </c>
      <c r="AC233" s="1575" t="s">
        <v>6</v>
      </c>
      <c r="AD233" s="1575" t="s">
        <v>5</v>
      </c>
      <c r="AE233" s="1575" t="s">
        <v>4</v>
      </c>
      <c r="AF233" s="1576" t="s">
        <v>3</v>
      </c>
      <c r="AG233" s="1481"/>
      <c r="AH233" s="1532"/>
      <c r="AI233" s="1533"/>
      <c r="AJ233" s="1534"/>
      <c r="AK233" s="1463"/>
    </row>
    <row r="234" spans="2:40" s="1480" customFormat="1">
      <c r="B234" s="1582" t="s">
        <v>328</v>
      </c>
      <c r="C234" s="1583" t="s">
        <v>797</v>
      </c>
      <c r="D234" s="1549" t="s">
        <v>277</v>
      </c>
      <c r="E234" s="1549"/>
      <c r="F234" s="1549"/>
      <c r="G234" s="1581"/>
      <c r="H234" s="913">
        <f>I234+J234</f>
        <v>0</v>
      </c>
      <c r="I234" s="914">
        <f>AI234+AJ234</f>
        <v>0</v>
      </c>
      <c r="J234" s="915">
        <f>AH234</f>
        <v>0</v>
      </c>
      <c r="K234" s="1584"/>
      <c r="L234" s="916" t="e">
        <f>H234/K234</f>
        <v>#DIV/0!</v>
      </c>
      <c r="M234" s="1584"/>
      <c r="N234" s="917" t="e">
        <f t="shared" ref="N234:N242" si="125">M234/K234</f>
        <v>#DIV/0!</v>
      </c>
      <c r="O234" s="918" t="e">
        <f t="shared" ref="O234:O242" si="126">P234/M234</f>
        <v>#DIV/0!</v>
      </c>
      <c r="P234" s="1584"/>
      <c r="Q234" s="1584"/>
      <c r="R234" s="918" t="e">
        <f t="shared" ref="R234:R242" si="127">Q234/P234</f>
        <v>#DIV/0!</v>
      </c>
      <c r="S234" s="919" t="e">
        <f t="shared" ref="S234:S241" si="128">H234/P234</f>
        <v>#DIV/0!</v>
      </c>
      <c r="T234" s="920" t="e">
        <f t="shared" ref="T234:T241" si="129">H234/Q234</f>
        <v>#DIV/0!</v>
      </c>
      <c r="U234" s="920">
        <f>X234*Q234</f>
        <v>0</v>
      </c>
      <c r="V234" s="921" t="e">
        <f t="shared" ref="V234:V241" si="130">U234/H234</f>
        <v>#DIV/0!</v>
      </c>
      <c r="W234" s="1585"/>
      <c r="X234" s="2229">
        <v>1015</v>
      </c>
      <c r="Y234" s="1586"/>
      <c r="Z234" s="1584"/>
      <c r="AA234" s="918" t="e">
        <f>Z234/Y234</f>
        <v>#DIV/0!</v>
      </c>
      <c r="AB234" s="922" t="e">
        <f t="shared" ref="AB234:AB241" si="131">H234/Y234</f>
        <v>#DIV/0!</v>
      </c>
      <c r="AC234" s="922" t="e">
        <f t="shared" ref="AC234:AC241" si="132">H234/Z234</f>
        <v>#DIV/0!</v>
      </c>
      <c r="AD234" s="920">
        <f>Z234*AF234</f>
        <v>0</v>
      </c>
      <c r="AE234" s="923" t="e">
        <f t="shared" ref="AE234:AE241" si="133">AD234/H234</f>
        <v>#DIV/0!</v>
      </c>
      <c r="AF234" s="1587"/>
      <c r="AG234" s="1588"/>
      <c r="AH234" s="1589"/>
      <c r="AI234" s="1590"/>
      <c r="AJ234" s="1590"/>
      <c r="AK234" s="1463"/>
    </row>
    <row r="235" spans="2:40" s="1480" customFormat="1">
      <c r="B235" s="1582" t="s">
        <v>329</v>
      </c>
      <c r="C235" s="1583" t="s">
        <v>818</v>
      </c>
      <c r="D235" s="1549" t="s">
        <v>330</v>
      </c>
      <c r="E235" s="1549"/>
      <c r="F235" s="1549"/>
      <c r="G235" s="1581"/>
      <c r="H235" s="913">
        <f>I235+J235</f>
        <v>0</v>
      </c>
      <c r="I235" s="914">
        <f t="shared" ref="I235:I239" si="134">AI235+AJ235</f>
        <v>0</v>
      </c>
      <c r="J235" s="915">
        <f t="shared" ref="J235:J239" si="135">AH235</f>
        <v>0</v>
      </c>
      <c r="K235" s="1584"/>
      <c r="L235" s="916" t="e">
        <f>H235/K235</f>
        <v>#DIV/0!</v>
      </c>
      <c r="M235" s="1584"/>
      <c r="N235" s="917" t="e">
        <f t="shared" si="125"/>
        <v>#DIV/0!</v>
      </c>
      <c r="O235" s="918" t="e">
        <f t="shared" si="126"/>
        <v>#DIV/0!</v>
      </c>
      <c r="P235" s="1584"/>
      <c r="Q235" s="1584"/>
      <c r="R235" s="918" t="e">
        <f t="shared" si="127"/>
        <v>#DIV/0!</v>
      </c>
      <c r="S235" s="919" t="e">
        <f t="shared" si="128"/>
        <v>#DIV/0!</v>
      </c>
      <c r="T235" s="920" t="e">
        <f t="shared" si="129"/>
        <v>#DIV/0!</v>
      </c>
      <c r="U235" s="920">
        <f>X234*Q235</f>
        <v>0</v>
      </c>
      <c r="V235" s="921" t="e">
        <f t="shared" si="130"/>
        <v>#DIV/0!</v>
      </c>
      <c r="W235" s="1585"/>
      <c r="X235" s="2229"/>
      <c r="Y235" s="1586"/>
      <c r="Z235" s="1584"/>
      <c r="AA235" s="918" t="e">
        <f>Z235/Y235</f>
        <v>#DIV/0!</v>
      </c>
      <c r="AB235" s="922" t="e">
        <f t="shared" si="131"/>
        <v>#DIV/0!</v>
      </c>
      <c r="AC235" s="922" t="e">
        <f t="shared" si="132"/>
        <v>#DIV/0!</v>
      </c>
      <c r="AD235" s="920">
        <f>Z235*AF235</f>
        <v>0</v>
      </c>
      <c r="AE235" s="923" t="e">
        <f t="shared" si="133"/>
        <v>#DIV/0!</v>
      </c>
      <c r="AF235" s="1587"/>
      <c r="AG235" s="1588"/>
      <c r="AH235" s="1589"/>
      <c r="AI235" s="1590"/>
      <c r="AJ235" s="1590"/>
      <c r="AK235" s="1463"/>
    </row>
    <row r="236" spans="2:40" s="1480" customFormat="1">
      <c r="B236" s="1494" t="s">
        <v>331</v>
      </c>
      <c r="C236" s="1495" t="s">
        <v>804</v>
      </c>
      <c r="D236" s="1496" t="s">
        <v>281</v>
      </c>
      <c r="E236" s="1549"/>
      <c r="F236" s="1549"/>
      <c r="G236" s="1581"/>
      <c r="H236" s="862">
        <f t="shared" ref="H236:H239" si="136">I236+J236</f>
        <v>11756279.706</v>
      </c>
      <c r="I236" s="863">
        <f t="shared" si="134"/>
        <v>4485779.1059999997</v>
      </c>
      <c r="J236" s="864">
        <f t="shared" si="135"/>
        <v>7270500.5999999996</v>
      </c>
      <c r="K236" s="1497">
        <v>7038685</v>
      </c>
      <c r="L236" s="924">
        <f>H236/K236</f>
        <v>1.6702380779932615</v>
      </c>
      <c r="M236" s="1497">
        <v>399634</v>
      </c>
      <c r="N236" s="866">
        <f t="shared" si="125"/>
        <v>5.6776798507107505E-2</v>
      </c>
      <c r="O236" s="867">
        <f t="shared" si="126"/>
        <v>5.6549242556939598E-2</v>
      </c>
      <c r="P236" s="1497">
        <v>22599</v>
      </c>
      <c r="Q236" s="1497">
        <v>15987</v>
      </c>
      <c r="R236" s="868">
        <f t="shared" si="127"/>
        <v>0.70742068233107658</v>
      </c>
      <c r="S236" s="869">
        <f t="shared" si="128"/>
        <v>520.21238576928181</v>
      </c>
      <c r="T236" s="873">
        <f t="shared" si="129"/>
        <v>735.3649656595984</v>
      </c>
      <c r="U236" s="874">
        <f>X$212*Q236</f>
        <v>0</v>
      </c>
      <c r="V236" s="872">
        <f t="shared" si="130"/>
        <v>0</v>
      </c>
      <c r="W236" s="1498">
        <v>1300</v>
      </c>
      <c r="X236" s="2229"/>
      <c r="Y236" s="1499">
        <v>1567</v>
      </c>
      <c r="Z236" s="1497">
        <v>862</v>
      </c>
      <c r="AA236" s="867">
        <f t="shared" ref="AA236:AA241" si="137">Z236/Y236</f>
        <v>0.5500957243139758</v>
      </c>
      <c r="AB236" s="869">
        <f t="shared" si="131"/>
        <v>7502.4120650925333</v>
      </c>
      <c r="AC236" s="873">
        <f t="shared" si="132"/>
        <v>13638.37552900232</v>
      </c>
      <c r="AD236" s="874">
        <f t="shared" ref="AD236:AD241" si="138">Z236*AF236</f>
        <v>1120600</v>
      </c>
      <c r="AE236" s="903">
        <f t="shared" si="133"/>
        <v>9.5319270043233525E-2</v>
      </c>
      <c r="AF236" s="1500">
        <f>W236</f>
        <v>1300</v>
      </c>
      <c r="AG236" s="876" t="s">
        <v>282</v>
      </c>
      <c r="AH236" s="1567">
        <v>7270500.5999999996</v>
      </c>
      <c r="AI236" s="1534">
        <v>1325769.2860000001</v>
      </c>
      <c r="AJ236" s="1567">
        <v>3160009.82</v>
      </c>
      <c r="AK236" s="1463"/>
      <c r="AN236" s="1577"/>
    </row>
    <row r="237" spans="2:40" s="1480" customFormat="1">
      <c r="B237" s="1494" t="s">
        <v>332</v>
      </c>
      <c r="C237" s="1495" t="s">
        <v>805</v>
      </c>
      <c r="D237" s="1496" t="s">
        <v>284</v>
      </c>
      <c r="E237" s="1549"/>
      <c r="F237" s="1549"/>
      <c r="G237" s="1549"/>
      <c r="H237" s="862">
        <f t="shared" si="136"/>
        <v>731462.78</v>
      </c>
      <c r="I237" s="863">
        <f t="shared" si="134"/>
        <v>666181.78</v>
      </c>
      <c r="J237" s="864">
        <f t="shared" si="135"/>
        <v>65281</v>
      </c>
      <c r="K237" s="1497">
        <v>240810</v>
      </c>
      <c r="L237" s="924">
        <f>H237/K237</f>
        <v>3.0375099871267808</v>
      </c>
      <c r="M237" s="1497">
        <v>20120</v>
      </c>
      <c r="N237" s="866">
        <f t="shared" si="125"/>
        <v>8.355134753540136E-2</v>
      </c>
      <c r="O237" s="867">
        <f t="shared" si="126"/>
        <v>4.6570576540755471E-2</v>
      </c>
      <c r="P237" s="1497">
        <v>937</v>
      </c>
      <c r="Q237" s="1497">
        <v>695</v>
      </c>
      <c r="R237" s="868">
        <f t="shared" si="127"/>
        <v>0.74172892209178232</v>
      </c>
      <c r="S237" s="869">
        <f t="shared" si="128"/>
        <v>780.64330843116329</v>
      </c>
      <c r="T237" s="873">
        <f t="shared" si="129"/>
        <v>1052.4644316546762</v>
      </c>
      <c r="U237" s="874">
        <f>X$212*Q237</f>
        <v>0</v>
      </c>
      <c r="V237" s="872">
        <f t="shared" si="130"/>
        <v>0</v>
      </c>
      <c r="W237" s="1553">
        <v>990</v>
      </c>
      <c r="X237" s="2229"/>
      <c r="Y237" s="1499">
        <v>241</v>
      </c>
      <c r="Z237" s="1497">
        <v>163</v>
      </c>
      <c r="AA237" s="867">
        <f t="shared" si="137"/>
        <v>0.67634854771784236</v>
      </c>
      <c r="AB237" s="869">
        <f t="shared" si="131"/>
        <v>3035.1152697095436</v>
      </c>
      <c r="AC237" s="873">
        <f t="shared" si="132"/>
        <v>4487.5017177914115</v>
      </c>
      <c r="AD237" s="874">
        <f t="shared" si="138"/>
        <v>161370</v>
      </c>
      <c r="AE237" s="903">
        <f t="shared" si="133"/>
        <v>0.22061272892108058</v>
      </c>
      <c r="AF237" s="1500">
        <f t="shared" ref="AF237:AF240" si="139">W237</f>
        <v>990</v>
      </c>
      <c r="AG237" s="876" t="s">
        <v>282</v>
      </c>
      <c r="AH237" s="1567">
        <v>65281</v>
      </c>
      <c r="AI237" s="1534"/>
      <c r="AJ237" s="1567">
        <v>666181.78</v>
      </c>
      <c r="AK237" s="1463"/>
    </row>
    <row r="238" spans="2:40" s="1480" customFormat="1">
      <c r="B238" s="1494" t="s">
        <v>332</v>
      </c>
      <c r="C238" s="1495" t="s">
        <v>807</v>
      </c>
      <c r="D238" s="1496" t="s">
        <v>284</v>
      </c>
      <c r="E238" s="1555"/>
      <c r="F238" s="1555"/>
      <c r="G238" s="1556"/>
      <c r="H238" s="862">
        <f t="shared" si="136"/>
        <v>1093210.69</v>
      </c>
      <c r="I238" s="863">
        <f t="shared" si="134"/>
        <v>618951.18999999994</v>
      </c>
      <c r="J238" s="864">
        <f t="shared" si="135"/>
        <v>474259.5</v>
      </c>
      <c r="K238" s="1497">
        <v>165451</v>
      </c>
      <c r="L238" s="924">
        <f t="shared" ref="L238:L241" si="140">H238/K238</f>
        <v>6.6074589455488333</v>
      </c>
      <c r="M238" s="1497">
        <v>12922</v>
      </c>
      <c r="N238" s="866">
        <f t="shared" si="125"/>
        <v>7.8101673607291588E-2</v>
      </c>
      <c r="O238" s="867">
        <f t="shared" si="126"/>
        <v>4.4729917969354591E-2</v>
      </c>
      <c r="P238" s="1497">
        <v>578</v>
      </c>
      <c r="Q238" s="1497">
        <v>370</v>
      </c>
      <c r="R238" s="868">
        <f t="shared" si="127"/>
        <v>0.64013840830449831</v>
      </c>
      <c r="S238" s="869">
        <f t="shared" si="128"/>
        <v>1891.3679757785467</v>
      </c>
      <c r="T238" s="873">
        <f t="shared" si="129"/>
        <v>2954.6234864864864</v>
      </c>
      <c r="U238" s="874">
        <f>X$212*Q238</f>
        <v>0</v>
      </c>
      <c r="V238" s="872">
        <f t="shared" si="130"/>
        <v>0</v>
      </c>
      <c r="W238" s="1557">
        <v>1820</v>
      </c>
      <c r="X238" s="2229"/>
      <c r="Y238" s="1499">
        <f>16416-16263</f>
        <v>153</v>
      </c>
      <c r="Z238" s="1497">
        <f>9349-9271</f>
        <v>78</v>
      </c>
      <c r="AA238" s="867">
        <f t="shared" si="137"/>
        <v>0.50980392156862742</v>
      </c>
      <c r="AB238" s="869">
        <f t="shared" si="131"/>
        <v>7145.1679084967318</v>
      </c>
      <c r="AC238" s="873">
        <f t="shared" si="132"/>
        <v>14015.521666666666</v>
      </c>
      <c r="AD238" s="874">
        <f t="shared" si="138"/>
        <v>141960</v>
      </c>
      <c r="AE238" s="903">
        <f t="shared" si="133"/>
        <v>0.12985602985642228</v>
      </c>
      <c r="AF238" s="1500">
        <f t="shared" si="139"/>
        <v>1820</v>
      </c>
      <c r="AG238" s="876" t="s">
        <v>257</v>
      </c>
      <c r="AH238" s="1567">
        <v>474259.5</v>
      </c>
      <c r="AI238" s="1534">
        <v>0</v>
      </c>
      <c r="AJ238" s="1567">
        <v>618951.18999999994</v>
      </c>
      <c r="AK238" s="1463"/>
    </row>
    <row r="239" spans="2:40" s="1480" customFormat="1">
      <c r="B239" s="1494" t="s">
        <v>332</v>
      </c>
      <c r="C239" s="1495" t="s">
        <v>808</v>
      </c>
      <c r="D239" s="1496" t="s">
        <v>284</v>
      </c>
      <c r="E239" s="1558"/>
      <c r="F239" s="1558"/>
      <c r="G239" s="1559"/>
      <c r="H239" s="862">
        <f t="shared" si="136"/>
        <v>4398651.54428571</v>
      </c>
      <c r="I239" s="863">
        <f t="shared" si="134"/>
        <v>1975283.3442857098</v>
      </c>
      <c r="J239" s="864">
        <f t="shared" si="135"/>
        <v>2423368.2000000002</v>
      </c>
      <c r="K239" s="1497">
        <v>507385</v>
      </c>
      <c r="L239" s="924">
        <f t="shared" si="140"/>
        <v>8.6692581457585653</v>
      </c>
      <c r="M239" s="1497">
        <v>25242</v>
      </c>
      <c r="N239" s="866">
        <f t="shared" si="125"/>
        <v>4.9749204253180523E-2</v>
      </c>
      <c r="O239" s="867">
        <f t="shared" si="126"/>
        <v>4.7104032960938118E-2</v>
      </c>
      <c r="P239" s="1497">
        <v>1189</v>
      </c>
      <c r="Q239" s="1497">
        <v>824</v>
      </c>
      <c r="R239" s="868">
        <f t="shared" si="127"/>
        <v>0.6930193439865433</v>
      </c>
      <c r="S239" s="869">
        <f t="shared" si="128"/>
        <v>3699.4546209299497</v>
      </c>
      <c r="T239" s="873">
        <f t="shared" si="129"/>
        <v>5338.1693498612985</v>
      </c>
      <c r="U239" s="874">
        <f>X$212*Q239</f>
        <v>0</v>
      </c>
      <c r="V239" s="872">
        <f t="shared" si="130"/>
        <v>0</v>
      </c>
      <c r="W239" s="1557">
        <v>1400</v>
      </c>
      <c r="X239" s="2229"/>
      <c r="Y239" s="1499">
        <v>351</v>
      </c>
      <c r="Z239" s="1497">
        <f>6217-5986</f>
        <v>231</v>
      </c>
      <c r="AA239" s="867">
        <f t="shared" si="137"/>
        <v>0.65811965811965811</v>
      </c>
      <c r="AB239" s="869">
        <f t="shared" si="131"/>
        <v>12531.770781440769</v>
      </c>
      <c r="AC239" s="873">
        <f t="shared" si="132"/>
        <v>19041.781576994417</v>
      </c>
      <c r="AD239" s="874">
        <f t="shared" si="138"/>
        <v>323400</v>
      </c>
      <c r="AE239" s="903">
        <f t="shared" si="133"/>
        <v>7.3522532245167055E-2</v>
      </c>
      <c r="AF239" s="1500">
        <f t="shared" si="139"/>
        <v>1400</v>
      </c>
      <c r="AG239" s="876" t="s">
        <v>288</v>
      </c>
      <c r="AH239" s="1567">
        <v>2423368.2000000002</v>
      </c>
      <c r="AI239" s="1534">
        <v>1074285.7142857099</v>
      </c>
      <c r="AJ239" s="1567">
        <v>900997.63</v>
      </c>
      <c r="AK239" s="1463"/>
    </row>
    <row r="240" spans="2:40" s="1480" customFormat="1">
      <c r="B240" s="1591" t="s">
        <v>332</v>
      </c>
      <c r="C240" s="1592" t="s">
        <v>809</v>
      </c>
      <c r="D240" s="1593" t="s">
        <v>284</v>
      </c>
      <c r="E240" s="1594"/>
      <c r="F240" s="1594"/>
      <c r="G240" s="1595"/>
      <c r="H240" s="925"/>
      <c r="I240" s="926"/>
      <c r="J240" s="927"/>
      <c r="K240" s="1596">
        <v>90489</v>
      </c>
      <c r="L240" s="928">
        <f t="shared" si="140"/>
        <v>0</v>
      </c>
      <c r="M240" s="1596">
        <v>7064</v>
      </c>
      <c r="N240" s="929">
        <f t="shared" si="125"/>
        <v>7.8064737150371863E-2</v>
      </c>
      <c r="O240" s="930">
        <f t="shared" si="126"/>
        <v>4.8556058890147226E-2</v>
      </c>
      <c r="P240" s="1596">
        <v>343</v>
      </c>
      <c r="Q240" s="1596">
        <v>238</v>
      </c>
      <c r="R240" s="930">
        <f t="shared" si="127"/>
        <v>0.69387755102040816</v>
      </c>
      <c r="S240" s="931">
        <f t="shared" si="128"/>
        <v>0</v>
      </c>
      <c r="T240" s="931">
        <f t="shared" si="129"/>
        <v>0</v>
      </c>
      <c r="U240" s="932">
        <f>X$212*Q240</f>
        <v>0</v>
      </c>
      <c r="V240" s="933" t="e">
        <f t="shared" si="130"/>
        <v>#DIV/0!</v>
      </c>
      <c r="W240" s="1597">
        <v>930</v>
      </c>
      <c r="X240" s="2229"/>
      <c r="Y240" s="1598">
        <f>29474-29397</f>
        <v>77</v>
      </c>
      <c r="Z240" s="1599">
        <f>19330-19258</f>
        <v>72</v>
      </c>
      <c r="AA240" s="930">
        <f t="shared" si="137"/>
        <v>0.93506493506493504</v>
      </c>
      <c r="AB240" s="931">
        <f t="shared" si="131"/>
        <v>0</v>
      </c>
      <c r="AC240" s="931">
        <f t="shared" si="132"/>
        <v>0</v>
      </c>
      <c r="AD240" s="932">
        <f t="shared" si="138"/>
        <v>66960</v>
      </c>
      <c r="AE240" s="934" t="e">
        <f t="shared" si="133"/>
        <v>#DIV/0!</v>
      </c>
      <c r="AF240" s="1600">
        <f t="shared" si="139"/>
        <v>930</v>
      </c>
      <c r="AG240" s="876" t="s">
        <v>290</v>
      </c>
      <c r="AH240" s="1567">
        <v>1735567.68</v>
      </c>
      <c r="AI240" s="1534">
        <v>350000</v>
      </c>
      <c r="AJ240" s="1567">
        <v>5455846.3600000599</v>
      </c>
      <c r="AK240" s="1463"/>
    </row>
    <row r="241" spans="2:40" s="1480" customFormat="1">
      <c r="B241" s="1502"/>
      <c r="C241" s="1503" t="s">
        <v>0</v>
      </c>
      <c r="D241" s="1503"/>
      <c r="E241" s="1503"/>
      <c r="F241" s="1503"/>
      <c r="G241" s="1565"/>
      <c r="H241" s="882">
        <f>I241+J241</f>
        <v>17979604.72028571</v>
      </c>
      <c r="I241" s="883">
        <f>SUM(I234:I240)</f>
        <v>7746195.4202857092</v>
      </c>
      <c r="J241" s="884">
        <f>SUM(J234:J240)</f>
        <v>10233409.300000001</v>
      </c>
      <c r="K241" s="885">
        <f>SUM(K234:K240)-K240</f>
        <v>7952331</v>
      </c>
      <c r="L241" s="886">
        <f t="shared" si="140"/>
        <v>2.2609225798430308</v>
      </c>
      <c r="M241" s="883">
        <f>SUM(M234:M240)-M240</f>
        <v>457918</v>
      </c>
      <c r="N241" s="887">
        <f t="shared" si="125"/>
        <v>5.7582864697156094E-2</v>
      </c>
      <c r="O241" s="887">
        <f t="shared" si="126"/>
        <v>5.5256617997108654E-2</v>
      </c>
      <c r="P241" s="883">
        <f>SUM(P234:P240)-P240</f>
        <v>25303</v>
      </c>
      <c r="Q241" s="883">
        <f>SUM(Q234:Q240)-Q240</f>
        <v>17876</v>
      </c>
      <c r="R241" s="887">
        <f t="shared" si="127"/>
        <v>0.70647749278741656</v>
      </c>
      <c r="S241" s="1504">
        <f t="shared" si="128"/>
        <v>710.57205549878313</v>
      </c>
      <c r="T241" s="1504">
        <f t="shared" si="129"/>
        <v>1005.7957440303038</v>
      </c>
      <c r="U241" s="1505">
        <f>X234*Q241</f>
        <v>18144140</v>
      </c>
      <c r="V241" s="888">
        <f t="shared" si="130"/>
        <v>1.0091512178534521</v>
      </c>
      <c r="W241" s="1506">
        <f>X234</f>
        <v>1015</v>
      </c>
      <c r="X241" s="2229"/>
      <c r="Y241" s="1507">
        <f>SUM(Y234:Y240)-Y240</f>
        <v>2312</v>
      </c>
      <c r="Z241" s="1507">
        <f>SUM(Z234:Z240)-Z240</f>
        <v>1334</v>
      </c>
      <c r="AA241" s="889">
        <f t="shared" si="137"/>
        <v>0.57698961937716264</v>
      </c>
      <c r="AB241" s="1507">
        <f t="shared" si="131"/>
        <v>7776.6456402619851</v>
      </c>
      <c r="AC241" s="1507">
        <f t="shared" si="132"/>
        <v>13477.964557935315</v>
      </c>
      <c r="AD241" s="1508">
        <f t="shared" si="138"/>
        <v>1354010</v>
      </c>
      <c r="AE241" s="908">
        <f t="shared" si="133"/>
        <v>7.5308107217302814E-2</v>
      </c>
      <c r="AF241" s="1509">
        <v>1015</v>
      </c>
      <c r="AG241" s="1510"/>
      <c r="AH241" s="1518"/>
      <c r="AI241" s="1519"/>
      <c r="AJ241" s="1463"/>
      <c r="AK241" s="1463"/>
      <c r="AN241" s="1577"/>
    </row>
    <row r="242" spans="2:40" s="1480" customFormat="1">
      <c r="B242" s="1512"/>
      <c r="C242" s="1513" t="s">
        <v>260</v>
      </c>
      <c r="D242" s="1513"/>
      <c r="E242" s="1513"/>
      <c r="F242" s="1513"/>
      <c r="G242" s="1513"/>
      <c r="H242" s="893"/>
      <c r="I242" s="894"/>
      <c r="J242" s="894"/>
      <c r="K242" s="894">
        <v>7751036</v>
      </c>
      <c r="L242" s="895">
        <f>H241/K242</f>
        <v>2.3196389128221968</v>
      </c>
      <c r="M242" s="894">
        <v>442887</v>
      </c>
      <c r="N242" s="896">
        <f t="shared" si="125"/>
        <v>5.7139071473800408E-2</v>
      </c>
      <c r="O242" s="896">
        <f t="shared" si="126"/>
        <v>5.4903395222709178E-2</v>
      </c>
      <c r="P242" s="894">
        <v>24316</v>
      </c>
      <c r="Q242" s="894">
        <v>17217</v>
      </c>
      <c r="R242" s="896">
        <f t="shared" si="127"/>
        <v>0.70805231123540058</v>
      </c>
      <c r="S242" s="1514">
        <f>H241/P242</f>
        <v>739.4145714873215</v>
      </c>
      <c r="T242" s="1514">
        <f>H241/Q242</f>
        <v>1044.2937050755479</v>
      </c>
      <c r="U242" s="1515">
        <f>Q242*$X$212</f>
        <v>0</v>
      </c>
      <c r="V242" s="897">
        <f>U242/H241</f>
        <v>0</v>
      </c>
      <c r="W242" s="1514">
        <f>W241</f>
        <v>1015</v>
      </c>
      <c r="X242" s="1516"/>
      <c r="Y242" s="894"/>
      <c r="Z242" s="894"/>
      <c r="AA242" s="896"/>
      <c r="AB242" s="1517"/>
      <c r="AC242" s="1517"/>
      <c r="AD242" s="1516"/>
      <c r="AE242" s="898"/>
      <c r="AF242" s="1516"/>
      <c r="AG242" s="1510"/>
      <c r="AH242" s="1518"/>
      <c r="AI242" s="1519"/>
      <c r="AJ242" s="1463"/>
      <c r="AK242" s="1463"/>
    </row>
    <row r="243" spans="2:40">
      <c r="B243" s="1578" t="s">
        <v>333</v>
      </c>
      <c r="E243" s="1465"/>
      <c r="F243" s="1465"/>
      <c r="G243" s="1465"/>
      <c r="H243" s="1466"/>
      <c r="I243" s="1466"/>
      <c r="J243" s="1466"/>
      <c r="K243" s="1467"/>
      <c r="L243" s="1468"/>
      <c r="N243" s="845"/>
      <c r="R243" s="845"/>
      <c r="S243" s="1467"/>
      <c r="V243" s="1469"/>
      <c r="X243" s="1467"/>
      <c r="AA243" s="845"/>
      <c r="AB243" s="1467"/>
      <c r="AD243" s="1467"/>
      <c r="AE243" s="1469"/>
      <c r="AF243" s="1467"/>
      <c r="AG243" s="1470"/>
      <c r="AH243" s="1471"/>
      <c r="AI243" s="1471"/>
      <c r="AJ243" s="1471"/>
    </row>
    <row r="244" spans="2:40">
      <c r="B244" s="1472"/>
      <c r="E244" s="1465"/>
      <c r="F244" s="1465"/>
      <c r="G244" s="1465"/>
      <c r="H244" s="1466"/>
      <c r="I244" s="1466"/>
      <c r="J244" s="1466"/>
      <c r="K244" s="1467"/>
      <c r="L244" s="1468"/>
      <c r="N244" s="845"/>
      <c r="R244" s="845"/>
      <c r="S244" s="1467"/>
      <c r="V244" s="1469"/>
      <c r="X244" s="1467"/>
      <c r="AA244" s="845"/>
      <c r="AB244" s="1467"/>
      <c r="AD244" s="1467"/>
      <c r="AE244" s="1469"/>
      <c r="AF244" s="1467"/>
      <c r="AG244" s="1470"/>
      <c r="AH244" s="1471"/>
      <c r="AI244" s="1471"/>
      <c r="AJ244" s="1471"/>
    </row>
    <row r="245" spans="2:40">
      <c r="B245" s="1472"/>
      <c r="E245" s="1465"/>
      <c r="F245" s="1465"/>
      <c r="G245" s="1465"/>
      <c r="H245" s="1466"/>
      <c r="I245" s="1466"/>
      <c r="J245" s="1466"/>
      <c r="K245" s="1467"/>
      <c r="L245" s="1468"/>
      <c r="N245" s="845"/>
      <c r="R245" s="845"/>
      <c r="S245" s="1467"/>
      <c r="V245" s="1469"/>
      <c r="X245" s="1467"/>
      <c r="AA245" s="845"/>
      <c r="AB245" s="1467"/>
      <c r="AD245" s="1467"/>
      <c r="AE245" s="1469"/>
      <c r="AF245" s="1467"/>
      <c r="AG245" s="1470"/>
      <c r="AH245" s="1471"/>
      <c r="AI245" s="1471"/>
      <c r="AJ245" s="1471"/>
    </row>
    <row r="246" spans="2:40">
      <c r="B246" s="1472"/>
      <c r="E246" s="1465"/>
      <c r="F246" s="1465"/>
      <c r="G246" s="1465"/>
      <c r="H246" s="1466"/>
      <c r="I246" s="1466"/>
      <c r="J246" s="1466"/>
      <c r="K246" s="1467"/>
      <c r="L246" s="1468"/>
      <c r="N246" s="845"/>
      <c r="R246" s="845"/>
      <c r="S246" s="1467"/>
      <c r="V246" s="1469"/>
      <c r="X246" s="1467"/>
      <c r="AA246" s="845"/>
      <c r="AB246" s="1467"/>
      <c r="AD246" s="1467"/>
      <c r="AE246" s="1469"/>
      <c r="AF246" s="1467"/>
      <c r="AG246" s="1470"/>
      <c r="AH246" s="1471"/>
      <c r="AI246" s="1471"/>
      <c r="AJ246" s="1471"/>
    </row>
    <row r="247" spans="2:40">
      <c r="B247" s="1472"/>
      <c r="E247" s="1465"/>
      <c r="F247" s="1465"/>
      <c r="G247" s="1465"/>
      <c r="H247" s="1466"/>
      <c r="I247" s="1466"/>
      <c r="J247" s="1466"/>
      <c r="K247" s="1467"/>
      <c r="L247" s="1468"/>
      <c r="N247" s="845"/>
      <c r="R247" s="845"/>
      <c r="S247" s="1467"/>
      <c r="V247" s="1469"/>
      <c r="X247" s="1467"/>
      <c r="AA247" s="845"/>
      <c r="AB247" s="1467"/>
      <c r="AD247" s="1467"/>
      <c r="AE247" s="1469"/>
      <c r="AF247" s="1467"/>
      <c r="AG247" s="1470"/>
      <c r="AH247" s="1471"/>
      <c r="AI247" s="1471"/>
      <c r="AJ247" s="1471"/>
    </row>
    <row r="248" spans="2:40">
      <c r="B248" s="1472"/>
      <c r="E248" s="1465"/>
      <c r="F248" s="1465"/>
      <c r="G248" s="1465"/>
      <c r="H248" s="1466"/>
      <c r="I248" s="1466"/>
      <c r="J248" s="1466"/>
      <c r="K248" s="1467"/>
      <c r="L248" s="1468"/>
      <c r="N248" s="845"/>
      <c r="R248" s="845"/>
      <c r="S248" s="1467"/>
      <c r="V248" s="1469"/>
      <c r="X248" s="1467"/>
      <c r="AA248" s="845"/>
      <c r="AB248" s="1467"/>
      <c r="AD248" s="1467"/>
      <c r="AE248" s="1469"/>
      <c r="AF248" s="1467"/>
      <c r="AG248" s="1470"/>
      <c r="AH248" s="1471"/>
      <c r="AI248" s="1471"/>
      <c r="AJ248" s="1471"/>
    </row>
    <row r="249" spans="2:40">
      <c r="B249" s="1472"/>
      <c r="E249" s="1465"/>
      <c r="F249" s="1465"/>
      <c r="G249" s="1465"/>
      <c r="H249" s="1466"/>
      <c r="I249" s="1466"/>
      <c r="J249" s="1466"/>
      <c r="K249" s="1467"/>
      <c r="L249" s="1468"/>
      <c r="N249" s="845"/>
      <c r="Q249" s="1580"/>
      <c r="R249" s="845"/>
      <c r="S249" s="1467"/>
      <c r="V249" s="1469"/>
      <c r="X249" s="1467"/>
      <c r="AA249" s="845"/>
      <c r="AB249" s="1467"/>
      <c r="AD249" s="1467"/>
      <c r="AE249" s="1469"/>
      <c r="AF249" s="1467"/>
      <c r="AG249" s="1470"/>
      <c r="AH249" s="1471"/>
      <c r="AI249" s="1471"/>
      <c r="AJ249" s="1471"/>
    </row>
    <row r="250" spans="2:40">
      <c r="B250" s="1472"/>
      <c r="E250" s="1465"/>
      <c r="F250" s="1465"/>
      <c r="G250" s="1465"/>
      <c r="H250" s="1466"/>
      <c r="I250" s="1466"/>
      <c r="J250" s="1466"/>
      <c r="K250" s="1467"/>
      <c r="L250" s="1468"/>
      <c r="N250" s="845"/>
      <c r="R250" s="845"/>
      <c r="S250" s="1467"/>
      <c r="V250" s="1469"/>
      <c r="X250" s="1467"/>
      <c r="AA250" s="845"/>
      <c r="AB250" s="1467"/>
      <c r="AD250" s="1467"/>
      <c r="AE250" s="1469"/>
      <c r="AF250" s="1467"/>
      <c r="AG250" s="1470"/>
      <c r="AH250" s="1471"/>
      <c r="AI250" s="1471"/>
      <c r="AJ250" s="1471"/>
    </row>
    <row r="251" spans="2:40" s="1473" customFormat="1" ht="22.5">
      <c r="B251" s="850" t="s">
        <v>819</v>
      </c>
      <c r="C251" s="1474"/>
      <c r="D251" s="1474"/>
      <c r="E251" s="1474"/>
      <c r="F251" s="1474"/>
      <c r="G251" s="1474"/>
      <c r="H251" s="1475"/>
      <c r="I251" s="1476"/>
      <c r="J251" s="1476"/>
      <c r="K251" s="1476"/>
      <c r="L251" s="1477"/>
      <c r="M251" s="1476"/>
      <c r="N251" s="851"/>
      <c r="O251" s="851"/>
      <c r="P251" s="1476"/>
      <c r="Q251" s="1476"/>
      <c r="R251" s="851"/>
      <c r="S251" s="1476"/>
      <c r="T251" s="1476"/>
      <c r="U251" s="1476"/>
      <c r="V251" s="1478"/>
      <c r="W251" s="1476"/>
      <c r="X251" s="1476"/>
      <c r="Y251" s="1476"/>
      <c r="Z251" s="1476"/>
      <c r="AA251" s="851"/>
      <c r="AB251" s="1476"/>
      <c r="AC251" s="1476"/>
      <c r="AD251" s="1476"/>
      <c r="AE251" s="1478"/>
      <c r="AF251" s="1476"/>
      <c r="AG251" s="1479"/>
      <c r="AH251" s="1476"/>
      <c r="AI251" s="1476"/>
      <c r="AJ251" s="1476"/>
    </row>
    <row r="252" spans="2:40">
      <c r="B252" s="852" t="s">
        <v>238</v>
      </c>
      <c r="C252" s="853" t="s">
        <v>334</v>
      </c>
      <c r="E252" s="1465"/>
      <c r="F252" s="1465"/>
      <c r="G252" s="1465"/>
      <c r="H252" s="1466"/>
      <c r="I252" s="1466"/>
      <c r="J252" s="1466"/>
      <c r="K252" s="1467"/>
      <c r="L252" s="1468"/>
      <c r="N252" s="845"/>
      <c r="R252" s="845"/>
      <c r="S252" s="1467"/>
      <c r="V252" s="1469"/>
      <c r="X252" s="1467"/>
      <c r="AA252" s="845"/>
      <c r="AB252" s="1467"/>
      <c r="AD252" s="1467"/>
      <c r="AE252" s="1469"/>
      <c r="AF252" s="1467"/>
      <c r="AG252" s="1470"/>
      <c r="AH252" s="1471"/>
      <c r="AI252" s="1471"/>
      <c r="AJ252" s="1471"/>
    </row>
    <row r="253" spans="2:40" ht="33">
      <c r="B253" s="854" t="s">
        <v>82</v>
      </c>
      <c r="C253" s="912" t="s">
        <v>335</v>
      </c>
      <c r="E253" s="1465"/>
      <c r="F253" s="1465"/>
      <c r="G253" s="1465"/>
      <c r="H253" s="1466"/>
      <c r="I253" s="1466"/>
      <c r="J253" s="1466"/>
      <c r="K253" s="1467"/>
      <c r="L253" s="1468"/>
      <c r="N253" s="845"/>
      <c r="R253" s="845"/>
      <c r="S253" s="1467"/>
      <c r="V253" s="1469"/>
      <c r="X253" s="1467"/>
      <c r="AA253" s="845"/>
      <c r="AB253" s="1467"/>
      <c r="AD253" s="1467"/>
      <c r="AE253" s="1469"/>
      <c r="AF253" s="1467"/>
      <c r="AG253" s="1470"/>
      <c r="AH253" s="1471"/>
      <c r="AI253" s="1471"/>
      <c r="AJ253" s="1471"/>
    </row>
    <row r="254" spans="2:40">
      <c r="B254" s="1472"/>
      <c r="E254" s="1465"/>
      <c r="F254" s="1465"/>
      <c r="G254" s="1465"/>
      <c r="H254" s="1466"/>
      <c r="I254" s="1466"/>
      <c r="J254" s="1466"/>
      <c r="K254" s="1467"/>
      <c r="L254" s="1468"/>
      <c r="N254" s="845"/>
      <c r="R254" s="845"/>
      <c r="S254" s="1467"/>
      <c r="V254" s="1469"/>
      <c r="X254" s="1467"/>
      <c r="AA254" s="845"/>
      <c r="AB254" s="1467"/>
      <c r="AD254" s="1467"/>
      <c r="AE254" s="1469"/>
      <c r="AF254" s="1467"/>
      <c r="AG254" s="1470"/>
      <c r="AH254" s="1471"/>
      <c r="AI254" s="1471"/>
      <c r="AJ254" s="1471"/>
    </row>
    <row r="255" spans="2:40">
      <c r="B255" s="1472"/>
      <c r="E255" s="1465"/>
      <c r="F255" s="1465"/>
      <c r="G255" s="1465"/>
      <c r="H255" s="1466"/>
      <c r="I255" s="1466"/>
      <c r="J255" s="1466"/>
      <c r="K255" s="1467"/>
      <c r="L255" s="1468"/>
      <c r="N255" s="845"/>
      <c r="R255" s="845"/>
      <c r="S255" s="1467"/>
      <c r="V255" s="1469"/>
      <c r="X255" s="1467"/>
      <c r="AA255" s="845"/>
      <c r="AB255" s="1467"/>
      <c r="AD255" s="1467"/>
      <c r="AE255" s="1469"/>
      <c r="AF255" s="1467"/>
      <c r="AG255" s="1470"/>
      <c r="AH255" s="1471"/>
      <c r="AI255" s="1471"/>
      <c r="AJ255" s="1471"/>
    </row>
    <row r="256" spans="2:40" s="1480" customFormat="1">
      <c r="B256" s="2238" t="s">
        <v>32</v>
      </c>
      <c r="C256" s="2239" t="s">
        <v>31</v>
      </c>
      <c r="D256" s="2239" t="s">
        <v>30</v>
      </c>
      <c r="E256" s="2240" t="s">
        <v>242</v>
      </c>
      <c r="F256" s="2240"/>
      <c r="G256" s="2240"/>
      <c r="H256" s="2241" t="s">
        <v>29</v>
      </c>
      <c r="I256" s="2241"/>
      <c r="J256" s="2241"/>
      <c r="K256" s="2237" t="s">
        <v>243</v>
      </c>
      <c r="L256" s="2237"/>
      <c r="M256" s="2237"/>
      <c r="N256" s="2237"/>
      <c r="O256" s="2237"/>
      <c r="P256" s="2237"/>
      <c r="Q256" s="2237"/>
      <c r="R256" s="2237"/>
      <c r="S256" s="2237"/>
      <c r="T256" s="2237"/>
      <c r="U256" s="2237"/>
      <c r="V256" s="2237"/>
      <c r="W256" s="2237"/>
      <c r="X256" s="2237"/>
      <c r="Y256" s="2237" t="s">
        <v>27</v>
      </c>
      <c r="Z256" s="2237"/>
      <c r="AA256" s="2237"/>
      <c r="AB256" s="2237"/>
      <c r="AC256" s="2237"/>
      <c r="AD256" s="2237"/>
      <c r="AE256" s="2237"/>
      <c r="AF256" s="2237"/>
      <c r="AG256" s="1481"/>
      <c r="AH256" s="1531" t="s">
        <v>244</v>
      </c>
      <c r="AI256" s="1531" t="s">
        <v>245</v>
      </c>
      <c r="AJ256" s="1531" t="s">
        <v>246</v>
      </c>
      <c r="AK256" s="1463"/>
      <c r="AL256" s="911"/>
    </row>
    <row r="257" spans="2:40" s="1480" customFormat="1" ht="33">
      <c r="B257" s="2238"/>
      <c r="C257" s="2239"/>
      <c r="D257" s="2239"/>
      <c r="E257" s="1542" t="s">
        <v>247</v>
      </c>
      <c r="F257" s="1543" t="s">
        <v>248</v>
      </c>
      <c r="G257" s="1544" t="s">
        <v>249</v>
      </c>
      <c r="H257" s="1482" t="s">
        <v>26</v>
      </c>
      <c r="I257" s="1483" t="s">
        <v>25</v>
      </c>
      <c r="J257" s="1484" t="s">
        <v>250</v>
      </c>
      <c r="K257" s="1485" t="s">
        <v>23</v>
      </c>
      <c r="L257" s="1485" t="s">
        <v>22</v>
      </c>
      <c r="M257" s="1485" t="s">
        <v>251</v>
      </c>
      <c r="N257" s="1485" t="s">
        <v>20</v>
      </c>
      <c r="O257" s="1485" t="s">
        <v>19</v>
      </c>
      <c r="P257" s="1485" t="s">
        <v>18</v>
      </c>
      <c r="Q257" s="1485" t="s">
        <v>17</v>
      </c>
      <c r="R257" s="1486" t="s">
        <v>16</v>
      </c>
      <c r="S257" s="1487" t="s">
        <v>15</v>
      </c>
      <c r="T257" s="1486" t="s">
        <v>14</v>
      </c>
      <c r="U257" s="1486" t="s">
        <v>13</v>
      </c>
      <c r="V257" s="1486" t="s">
        <v>12</v>
      </c>
      <c r="W257" s="1488" t="s">
        <v>3</v>
      </c>
      <c r="X257" s="1489" t="s">
        <v>11</v>
      </c>
      <c r="Y257" s="1573" t="s">
        <v>10</v>
      </c>
      <c r="Z257" s="1574" t="s">
        <v>9</v>
      </c>
      <c r="AA257" s="1575" t="s">
        <v>8</v>
      </c>
      <c r="AB257" s="1575" t="s">
        <v>7</v>
      </c>
      <c r="AC257" s="1575" t="s">
        <v>6</v>
      </c>
      <c r="AD257" s="1575" t="s">
        <v>5</v>
      </c>
      <c r="AE257" s="1575" t="s">
        <v>4</v>
      </c>
      <c r="AF257" s="1576" t="s">
        <v>3</v>
      </c>
      <c r="AG257" s="1481"/>
      <c r="AH257" s="1532"/>
      <c r="AI257" s="1533"/>
      <c r="AJ257" s="1534"/>
      <c r="AK257" s="1463"/>
    </row>
    <row r="258" spans="2:40" s="1480" customFormat="1">
      <c r="B258" s="1494" t="s">
        <v>336</v>
      </c>
      <c r="C258" s="1601" t="s">
        <v>820</v>
      </c>
      <c r="D258" s="1496" t="s">
        <v>337</v>
      </c>
      <c r="E258" s="1558"/>
      <c r="F258" s="1558"/>
      <c r="G258" s="1559"/>
      <c r="H258" s="862">
        <f>I258+J258</f>
        <v>4836872.96</v>
      </c>
      <c r="I258" s="863">
        <f>AI258+AJ258</f>
        <v>1861950.46</v>
      </c>
      <c r="J258" s="864">
        <f>AH258</f>
        <v>2974922.5</v>
      </c>
      <c r="K258" s="1497">
        <v>4084767</v>
      </c>
      <c r="L258" s="924">
        <f t="shared" ref="L258:L261" si="141">H258/K258</f>
        <v>1.1841245681822243</v>
      </c>
      <c r="M258" s="1497">
        <v>244032</v>
      </c>
      <c r="N258" s="866">
        <f>M258/K258</f>
        <v>5.9741963250290651E-2</v>
      </c>
      <c r="O258" s="867">
        <f>P258/M258</f>
        <v>4.8219086021505375E-2</v>
      </c>
      <c r="P258" s="1602">
        <v>11767</v>
      </c>
      <c r="Q258" s="1602">
        <v>8271</v>
      </c>
      <c r="R258" s="868">
        <f>Q258/P258</f>
        <v>0.70289793490269392</v>
      </c>
      <c r="S258" s="869">
        <f>H258/P258</f>
        <v>411.05404606101808</v>
      </c>
      <c r="T258" s="873">
        <f>H258/Q258</f>
        <v>584.7990521097812</v>
      </c>
      <c r="U258" s="869">
        <f>X258*Q258</f>
        <v>8395065</v>
      </c>
      <c r="V258" s="872">
        <f>U258/H258</f>
        <v>1.7356389281723041</v>
      </c>
      <c r="W258" s="1603">
        <v>360</v>
      </c>
      <c r="X258" s="2229">
        <v>1015</v>
      </c>
      <c r="Y258" s="1604">
        <v>1688</v>
      </c>
      <c r="Z258" s="1602">
        <v>1368</v>
      </c>
      <c r="AA258" s="867">
        <f t="shared" ref="AA258:AA261" si="142">Z258/Y258</f>
        <v>0.81042654028436023</v>
      </c>
      <c r="AB258" s="869">
        <f>H258/Y258</f>
        <v>2865.4460663507107</v>
      </c>
      <c r="AC258" s="873">
        <f>H258/Z258</f>
        <v>3535.7258479532165</v>
      </c>
      <c r="AD258" s="874">
        <f t="shared" ref="AD258:AD261" si="143">Z258*AF258</f>
        <v>492480</v>
      </c>
      <c r="AE258" s="903">
        <f>AD258/H258</f>
        <v>0.10181784886076478</v>
      </c>
      <c r="AF258" s="1500">
        <f t="shared" ref="AF258:AF260" si="144">W258</f>
        <v>360</v>
      </c>
      <c r="AG258" s="876"/>
      <c r="AH258" s="1567">
        <v>2974922.5</v>
      </c>
      <c r="AI258" s="1534">
        <v>530000</v>
      </c>
      <c r="AJ258" s="1567">
        <v>1331950.46</v>
      </c>
      <c r="AK258" s="1463"/>
    </row>
    <row r="259" spans="2:40" s="1480" customFormat="1">
      <c r="B259" s="1494" t="s">
        <v>338</v>
      </c>
      <c r="C259" s="1601" t="s">
        <v>810</v>
      </c>
      <c r="D259" s="1496" t="s">
        <v>339</v>
      </c>
      <c r="E259" s="1558"/>
      <c r="F259" s="1558"/>
      <c r="G259" s="1559"/>
      <c r="H259" s="862">
        <f>I259+J259</f>
        <v>7494875</v>
      </c>
      <c r="I259" s="863">
        <f>AI259+AJ259</f>
        <v>5008208</v>
      </c>
      <c r="J259" s="864">
        <f>AH259</f>
        <v>2486667</v>
      </c>
      <c r="K259" s="1497">
        <v>7909723</v>
      </c>
      <c r="L259" s="924">
        <f t="shared" si="141"/>
        <v>0.94755214563139567</v>
      </c>
      <c r="M259" s="1497">
        <v>912039</v>
      </c>
      <c r="N259" s="866">
        <f>M259/K259</f>
        <v>0.11530606065471573</v>
      </c>
      <c r="O259" s="867">
        <f>P259/M259</f>
        <v>4.5848916548524792E-2</v>
      </c>
      <c r="P259" s="1602">
        <v>41816</v>
      </c>
      <c r="Q259" s="1602">
        <v>32171</v>
      </c>
      <c r="R259" s="868">
        <f>Q259/P259</f>
        <v>0.76934666156495124</v>
      </c>
      <c r="S259" s="869">
        <f>H259/P259</f>
        <v>179.234623110771</v>
      </c>
      <c r="T259" s="873">
        <f>H259/Q259</f>
        <v>232.96991078922011</v>
      </c>
      <c r="U259" s="869">
        <f>X258*Q259</f>
        <v>32653565</v>
      </c>
      <c r="V259" s="872">
        <f>U259/H259</f>
        <v>4.3567858036324818</v>
      </c>
      <c r="W259" s="935">
        <v>1650</v>
      </c>
      <c r="X259" s="2229"/>
      <c r="Y259" s="1605">
        <v>3053</v>
      </c>
      <c r="Z259" s="1564">
        <v>2383</v>
      </c>
      <c r="AA259" s="867">
        <f t="shared" si="142"/>
        <v>0.78054372748116607</v>
      </c>
      <c r="AB259" s="869">
        <f>H259/Y259</f>
        <v>2454.9213887979035</v>
      </c>
      <c r="AC259" s="873">
        <f>H259/Z259</f>
        <v>3145.1426772975242</v>
      </c>
      <c r="AD259" s="874">
        <f t="shared" si="143"/>
        <v>3931950</v>
      </c>
      <c r="AE259" s="903">
        <f>AD259/H259</f>
        <v>0.52461848930102239</v>
      </c>
      <c r="AF259" s="1500">
        <f t="shared" si="144"/>
        <v>1650</v>
      </c>
      <c r="AG259" s="876" t="s">
        <v>292</v>
      </c>
      <c r="AH259" s="1567">
        <v>2486667</v>
      </c>
      <c r="AI259" s="1534">
        <v>1165976</v>
      </c>
      <c r="AJ259" s="1567">
        <v>3842232</v>
      </c>
      <c r="AK259" s="1463"/>
    </row>
    <row r="260" spans="2:40" s="1480" customFormat="1">
      <c r="B260" s="1494" t="s">
        <v>340</v>
      </c>
      <c r="C260" s="1601" t="s">
        <v>821</v>
      </c>
      <c r="D260" s="1561" t="s">
        <v>341</v>
      </c>
      <c r="E260" s="1561"/>
      <c r="F260" s="1561"/>
      <c r="G260" s="1562"/>
      <c r="H260" s="862">
        <f>I260+J260</f>
        <v>13778664.716000002</v>
      </c>
      <c r="I260" s="863">
        <f>AI260+AJ260</f>
        <v>9256877.4400000013</v>
      </c>
      <c r="J260" s="936">
        <f>AH260</f>
        <v>4521787.2759999996</v>
      </c>
      <c r="K260" s="1606">
        <v>15297998</v>
      </c>
      <c r="L260" s="865">
        <f t="shared" si="141"/>
        <v>0.90068417553721747</v>
      </c>
      <c r="M260" s="1606">
        <v>1928371</v>
      </c>
      <c r="N260" s="866">
        <f>M260/K260</f>
        <v>0.12605381436185309</v>
      </c>
      <c r="O260" s="867">
        <f>P260/M260</f>
        <v>7.8486453073604606E-2</v>
      </c>
      <c r="P260" s="1606">
        <v>151351</v>
      </c>
      <c r="Q260" s="1606">
        <v>115254</v>
      </c>
      <c r="R260" s="868">
        <f>Q260/P260</f>
        <v>0.7615014106282747</v>
      </c>
      <c r="S260" s="869">
        <f>H260/P260</f>
        <v>91.037817497076347</v>
      </c>
      <c r="T260" s="873">
        <f>H260/Q260</f>
        <v>119.55042528675796</v>
      </c>
      <c r="U260" s="869">
        <f>X258*Q260</f>
        <v>116982810</v>
      </c>
      <c r="V260" s="872">
        <f>U260/H260</f>
        <v>8.4901412735704156</v>
      </c>
      <c r="W260" s="1498">
        <v>490</v>
      </c>
      <c r="X260" s="2229"/>
      <c r="Y260" s="1606">
        <v>58503</v>
      </c>
      <c r="Z260" s="1606">
        <v>47448</v>
      </c>
      <c r="AA260" s="867">
        <f t="shared" si="142"/>
        <v>0.81103533152146046</v>
      </c>
      <c r="AB260" s="869">
        <f>H260/Y260</f>
        <v>235.52065220586982</v>
      </c>
      <c r="AC260" s="873">
        <f>H260/Z260</f>
        <v>290.39505808464008</v>
      </c>
      <c r="AD260" s="874">
        <f t="shared" si="143"/>
        <v>23249520</v>
      </c>
      <c r="AE260" s="903">
        <f>AD260/H260</f>
        <v>1.6873565384751901</v>
      </c>
      <c r="AF260" s="1500">
        <f t="shared" si="144"/>
        <v>490</v>
      </c>
      <c r="AG260" s="876"/>
      <c r="AH260" s="1567">
        <v>4521787.2759999996</v>
      </c>
      <c r="AI260" s="1534">
        <v>2899007</v>
      </c>
      <c r="AJ260" s="1567">
        <v>6357870.4400000004</v>
      </c>
      <c r="AK260" s="1463"/>
    </row>
    <row r="261" spans="2:40" s="1480" customFormat="1">
      <c r="B261" s="1502"/>
      <c r="C261" s="1503" t="s">
        <v>0</v>
      </c>
      <c r="D261" s="1503"/>
      <c r="E261" s="1503"/>
      <c r="F261" s="1503"/>
      <c r="G261" s="1565"/>
      <c r="H261" s="882">
        <f>I261+J261</f>
        <v>26110412.676000003</v>
      </c>
      <c r="I261" s="883">
        <f>SUM(I258:I260)</f>
        <v>16127035.900000002</v>
      </c>
      <c r="J261" s="884">
        <f>SUM(J258:J260)</f>
        <v>9983376.7760000005</v>
      </c>
      <c r="K261" s="885">
        <f>SUM(K258:K260)</f>
        <v>27292488</v>
      </c>
      <c r="L261" s="886">
        <f t="shared" si="141"/>
        <v>0.95668861981362796</v>
      </c>
      <c r="M261" s="883">
        <f>SUM(M258:M260)</f>
        <v>3084442</v>
      </c>
      <c r="N261" s="887">
        <f>M261/K261</f>
        <v>0.11301432101023549</v>
      </c>
      <c r="O261" s="887">
        <f>P261/M261</f>
        <v>6.6441190983652795E-2</v>
      </c>
      <c r="P261" s="938">
        <f>SUM(P258:P260)</f>
        <v>204934</v>
      </c>
      <c r="Q261" s="938">
        <f>SUM(Q258:Q260)</f>
        <v>155696</v>
      </c>
      <c r="R261" s="887">
        <f>Q261/P261</f>
        <v>0.75973728127104334</v>
      </c>
      <c r="S261" s="1504">
        <f>H261/P261</f>
        <v>127.40888615847055</v>
      </c>
      <c r="T261" s="1504">
        <f>H261/Q261</f>
        <v>167.70124265234818</v>
      </c>
      <c r="U261" s="1505">
        <f>X258*Q261</f>
        <v>158031440</v>
      </c>
      <c r="V261" s="888">
        <f>U261/H261</f>
        <v>6.0524298087888244</v>
      </c>
      <c r="W261" s="1506">
        <f>X258</f>
        <v>1015</v>
      </c>
      <c r="X261" s="2229"/>
      <c r="Y261" s="1507">
        <f>SUM(Y258:Y260)</f>
        <v>63244</v>
      </c>
      <c r="Z261" s="1507">
        <f>SUM(Z258:Z260)</f>
        <v>51199</v>
      </c>
      <c r="AA261" s="889">
        <f t="shared" si="142"/>
        <v>0.80954715071785466</v>
      </c>
      <c r="AB261" s="1507">
        <f>H261/Y261</f>
        <v>412.85201245968</v>
      </c>
      <c r="AC261" s="1507">
        <f>H261/Z261</f>
        <v>509.97895810465053</v>
      </c>
      <c r="AD261" s="1508">
        <f t="shared" si="143"/>
        <v>51966985</v>
      </c>
      <c r="AE261" s="908">
        <f>AD261/H261</f>
        <v>1.9902781945597769</v>
      </c>
      <c r="AF261" s="1509">
        <v>1015</v>
      </c>
      <c r="AG261" s="1510"/>
      <c r="AH261" s="1518"/>
      <c r="AI261" s="1519"/>
      <c r="AJ261" s="1463"/>
      <c r="AK261" s="1463"/>
      <c r="AN261" s="1577"/>
    </row>
    <row r="262" spans="2:40" s="1480" customFormat="1">
      <c r="B262" s="1512"/>
      <c r="C262" s="1513" t="s">
        <v>260</v>
      </c>
      <c r="D262" s="1513"/>
      <c r="E262" s="1513"/>
      <c r="F262" s="1513"/>
      <c r="G262" s="1513"/>
      <c r="H262" s="893"/>
      <c r="I262" s="894"/>
      <c r="J262" s="894"/>
      <c r="K262" s="894">
        <v>24341634</v>
      </c>
      <c r="L262" s="895">
        <f>H261/K262</f>
        <v>1.0726647469927451</v>
      </c>
      <c r="M262" s="894">
        <v>2730054</v>
      </c>
      <c r="N262" s="896">
        <f>M262/K262</f>
        <v>0.11215574106487675</v>
      </c>
      <c r="O262" s="896">
        <f>P262/M262</f>
        <v>6.7720638492864971E-2</v>
      </c>
      <c r="P262" s="939">
        <v>184881</v>
      </c>
      <c r="Q262" s="939">
        <v>141243</v>
      </c>
      <c r="R262" s="896">
        <f>Q262/P262</f>
        <v>0.76396709234588733</v>
      </c>
      <c r="S262" s="1514">
        <f>H261/P262</f>
        <v>141.22820990799488</v>
      </c>
      <c r="T262" s="1514">
        <f>H261/Q262</f>
        <v>184.86164040695823</v>
      </c>
      <c r="U262" s="1515">
        <f>Q262*X258</f>
        <v>143361645</v>
      </c>
      <c r="V262" s="897">
        <f>U262/H261</f>
        <v>5.4905928442783374</v>
      </c>
      <c r="W262" s="1514">
        <f>W261</f>
        <v>1015</v>
      </c>
      <c r="X262" s="1516"/>
      <c r="Y262" s="939"/>
      <c r="Z262" s="939"/>
      <c r="AA262" s="896"/>
      <c r="AB262" s="1517"/>
      <c r="AC262" s="1517"/>
      <c r="AD262" s="1516"/>
      <c r="AE262" s="898"/>
      <c r="AF262" s="1516"/>
      <c r="AG262" s="1510"/>
      <c r="AH262" s="1518"/>
      <c r="AI262" s="1519"/>
      <c r="AJ262" s="1463"/>
      <c r="AK262" s="1463"/>
    </row>
    <row r="263" spans="2:40">
      <c r="B263" s="1472"/>
      <c r="E263" s="1465"/>
      <c r="F263" s="1465"/>
      <c r="G263" s="1465"/>
      <c r="H263" s="1466"/>
      <c r="I263" s="1466"/>
      <c r="J263" s="1466"/>
      <c r="K263" s="1467"/>
      <c r="L263" s="1468"/>
      <c r="N263" s="845"/>
      <c r="R263" s="845"/>
      <c r="S263" s="1467"/>
      <c r="V263" s="1469"/>
      <c r="X263" s="1467"/>
      <c r="AA263" s="845"/>
      <c r="AB263" s="1467"/>
      <c r="AD263" s="1467"/>
      <c r="AE263" s="1469"/>
      <c r="AF263" s="1467"/>
      <c r="AG263" s="1470"/>
      <c r="AH263" s="1471"/>
      <c r="AI263" s="1471"/>
      <c r="AJ263" s="1471"/>
    </row>
    <row r="264" spans="2:40">
      <c r="B264" s="1472"/>
      <c r="E264" s="1465"/>
      <c r="F264" s="1465"/>
      <c r="G264" s="1465"/>
      <c r="H264" s="1466"/>
      <c r="I264" s="1466"/>
      <c r="J264" s="1466"/>
      <c r="K264" s="1467"/>
      <c r="L264" s="1468"/>
      <c r="N264" s="845"/>
      <c r="Q264" s="1580"/>
      <c r="R264" s="845"/>
      <c r="S264" s="1467"/>
      <c r="V264" s="1469"/>
      <c r="X264" s="1467"/>
      <c r="AA264" s="845"/>
      <c r="AB264" s="1467"/>
      <c r="AD264" s="1467"/>
      <c r="AE264" s="1469"/>
      <c r="AF264" s="1467"/>
      <c r="AG264" s="1470"/>
      <c r="AH264" s="1471"/>
      <c r="AI264" s="1471"/>
      <c r="AJ264" s="1471"/>
    </row>
    <row r="265" spans="2:40">
      <c r="B265" s="1472"/>
      <c r="E265" s="1465"/>
      <c r="F265" s="1465"/>
      <c r="G265" s="1465"/>
      <c r="H265" s="1466"/>
      <c r="I265" s="1466"/>
      <c r="J265" s="1466"/>
      <c r="K265" s="1467"/>
      <c r="L265" s="1468"/>
      <c r="N265" s="845"/>
      <c r="R265" s="845"/>
      <c r="S265" s="1467"/>
      <c r="V265" s="1469"/>
      <c r="X265" s="1467"/>
      <c r="AA265" s="845"/>
      <c r="AB265" s="1467"/>
      <c r="AD265" s="1467"/>
      <c r="AE265" s="1469"/>
      <c r="AF265" s="1467"/>
      <c r="AG265" s="1470"/>
      <c r="AH265" s="1471"/>
      <c r="AI265" s="1471"/>
      <c r="AJ265" s="1471"/>
    </row>
    <row r="266" spans="2:40">
      <c r="B266" s="1472"/>
      <c r="E266" s="1465"/>
      <c r="F266" s="1465"/>
      <c r="G266" s="1465"/>
      <c r="H266" s="1466"/>
      <c r="I266" s="1466"/>
      <c r="J266" s="1466"/>
      <c r="K266" s="1467"/>
      <c r="L266" s="1468"/>
      <c r="N266" s="845"/>
      <c r="P266" s="1580"/>
      <c r="Q266" s="1580"/>
      <c r="R266" s="845"/>
      <c r="S266" s="1467"/>
      <c r="V266" s="1469"/>
      <c r="X266" s="1467"/>
      <c r="AA266" s="845"/>
      <c r="AB266" s="1467"/>
      <c r="AD266" s="1467"/>
      <c r="AE266" s="1469"/>
      <c r="AF266" s="1467"/>
      <c r="AG266" s="1470"/>
      <c r="AH266" s="1471"/>
      <c r="AI266" s="1471"/>
      <c r="AJ266" s="1471"/>
    </row>
    <row r="267" spans="2:40">
      <c r="B267" s="1472"/>
      <c r="E267" s="1465"/>
      <c r="F267" s="1465"/>
      <c r="G267" s="1465"/>
      <c r="H267" s="1466"/>
      <c r="I267" s="1466"/>
      <c r="J267" s="1466"/>
      <c r="K267" s="1467"/>
      <c r="L267" s="1468"/>
      <c r="N267" s="845"/>
      <c r="R267" s="845"/>
      <c r="S267" s="1467"/>
      <c r="V267" s="1469"/>
      <c r="X267" s="1467"/>
      <c r="AA267" s="845"/>
      <c r="AB267" s="1467"/>
      <c r="AD267" s="1467"/>
      <c r="AE267" s="1469"/>
      <c r="AF267" s="1467"/>
      <c r="AG267" s="1470"/>
      <c r="AH267" s="1471"/>
      <c r="AI267" s="1471"/>
      <c r="AJ267" s="1471"/>
    </row>
    <row r="268" spans="2:40">
      <c r="B268" s="1472"/>
      <c r="E268" s="1465"/>
      <c r="F268" s="1465"/>
      <c r="G268" s="1465"/>
      <c r="H268" s="1466"/>
      <c r="I268" s="1466"/>
      <c r="J268" s="1466"/>
      <c r="K268" s="1467"/>
      <c r="L268" s="1468"/>
      <c r="N268" s="845"/>
      <c r="R268" s="845"/>
      <c r="S268" s="1467"/>
      <c r="V268" s="1469"/>
      <c r="X268" s="1467"/>
      <c r="AA268" s="845"/>
      <c r="AB268" s="1467"/>
      <c r="AD268" s="1467"/>
      <c r="AE268" s="1469"/>
      <c r="AF268" s="1467"/>
      <c r="AG268" s="1470"/>
      <c r="AH268" s="1471"/>
      <c r="AI268" s="1471"/>
      <c r="AJ268" s="1471"/>
    </row>
    <row r="269" spans="2:40">
      <c r="B269" s="1472"/>
      <c r="E269" s="1465"/>
      <c r="F269" s="1465"/>
      <c r="G269" s="1465"/>
      <c r="H269" s="1466"/>
      <c r="I269" s="1466"/>
      <c r="J269" s="1466"/>
      <c r="K269" s="1467"/>
      <c r="L269" s="1468"/>
      <c r="N269" s="845"/>
      <c r="R269" s="845"/>
      <c r="S269" s="1467"/>
      <c r="V269" s="1469"/>
      <c r="X269" s="1467"/>
      <c r="AA269" s="845"/>
      <c r="AB269" s="1467"/>
      <c r="AD269" s="1467"/>
      <c r="AE269" s="1469"/>
      <c r="AF269" s="1467"/>
      <c r="AG269" s="1470"/>
      <c r="AH269" s="1471"/>
      <c r="AI269" s="1471"/>
      <c r="AJ269" s="1471"/>
    </row>
    <row r="270" spans="2:40" s="1473" customFormat="1" ht="22.5">
      <c r="B270" s="850" t="s">
        <v>822</v>
      </c>
      <c r="C270" s="1474"/>
      <c r="D270" s="1474"/>
      <c r="E270" s="1474"/>
      <c r="F270" s="1474"/>
      <c r="G270" s="1474"/>
      <c r="H270" s="1475"/>
      <c r="I270" s="1476"/>
      <c r="J270" s="1476"/>
      <c r="K270" s="1476"/>
      <c r="L270" s="1477"/>
      <c r="M270" s="1476"/>
      <c r="N270" s="851"/>
      <c r="O270" s="851"/>
      <c r="P270" s="1476"/>
      <c r="Q270" s="1476"/>
      <c r="R270" s="851"/>
      <c r="S270" s="1476"/>
      <c r="T270" s="1476"/>
      <c r="U270" s="1476"/>
      <c r="V270" s="1478"/>
      <c r="W270" s="1476"/>
      <c r="X270" s="1476"/>
      <c r="Y270" s="1476"/>
      <c r="Z270" s="1476"/>
      <c r="AA270" s="851"/>
      <c r="AB270" s="1476"/>
      <c r="AC270" s="1476"/>
      <c r="AD270" s="1476"/>
      <c r="AE270" s="1478"/>
      <c r="AF270" s="1476"/>
      <c r="AG270" s="1479"/>
      <c r="AH270" s="1476"/>
      <c r="AI270" s="1476"/>
      <c r="AJ270" s="1476"/>
    </row>
    <row r="271" spans="2:40" s="950" customFormat="1">
      <c r="B271" s="852" t="s">
        <v>238</v>
      </c>
      <c r="C271" s="853" t="s">
        <v>342</v>
      </c>
      <c r="D271" s="940"/>
      <c r="E271" s="940"/>
      <c r="F271" s="940"/>
      <c r="G271" s="940"/>
      <c r="H271" s="941"/>
      <c r="I271" s="942"/>
      <c r="J271" s="942"/>
      <c r="K271" s="943"/>
      <c r="L271" s="944"/>
      <c r="M271" s="945"/>
      <c r="N271" s="946"/>
      <c r="O271" s="845"/>
      <c r="P271" s="942"/>
      <c r="Q271" s="942"/>
      <c r="R271" s="845"/>
      <c r="S271" s="1467"/>
      <c r="T271" s="1467"/>
      <c r="U271" s="1467"/>
      <c r="V271" s="947"/>
      <c r="W271" s="942"/>
      <c r="X271" s="942"/>
      <c r="Y271" s="942"/>
      <c r="Z271" s="942"/>
      <c r="AA271" s="845"/>
      <c r="AB271" s="942"/>
      <c r="AC271" s="942"/>
      <c r="AD271" s="942"/>
      <c r="AE271" s="947"/>
      <c r="AF271" s="1519"/>
      <c r="AG271" s="948"/>
      <c r="AH271" s="949"/>
      <c r="AI271" s="949"/>
      <c r="AJ271" s="949"/>
    </row>
    <row r="272" spans="2:40" s="950" customFormat="1" ht="49.5">
      <c r="B272" s="854" t="s">
        <v>82</v>
      </c>
      <c r="C272" s="912" t="s">
        <v>343</v>
      </c>
      <c r="D272" s="940"/>
      <c r="E272" s="940"/>
      <c r="F272" s="940"/>
      <c r="G272" s="940"/>
      <c r="H272" s="941"/>
      <c r="I272" s="942"/>
      <c r="J272" s="942"/>
      <c r="K272" s="1467"/>
      <c r="L272" s="1468"/>
      <c r="M272" s="1467"/>
      <c r="N272" s="845"/>
      <c r="O272" s="845"/>
      <c r="P272" s="942"/>
      <c r="Q272" s="942"/>
      <c r="R272" s="845"/>
      <c r="S272" s="1467"/>
      <c r="T272" s="1467"/>
      <c r="U272" s="1467"/>
      <c r="V272" s="947"/>
      <c r="W272" s="942"/>
      <c r="X272" s="942"/>
      <c r="Y272" s="942"/>
      <c r="Z272" s="942"/>
      <c r="AA272" s="845"/>
      <c r="AB272" s="942"/>
      <c r="AC272" s="942"/>
      <c r="AD272" s="942"/>
      <c r="AE272" s="947"/>
      <c r="AF272" s="1519"/>
      <c r="AG272" s="948"/>
      <c r="AH272" s="949"/>
      <c r="AI272" s="949"/>
      <c r="AJ272" s="949"/>
    </row>
    <row r="273" spans="2:40" s="1480" customFormat="1">
      <c r="B273" s="1463"/>
      <c r="C273" s="1607"/>
      <c r="D273" s="1608"/>
      <c r="E273" s="1608"/>
      <c r="F273" s="1608"/>
      <c r="G273" s="1608"/>
      <c r="H273" s="1609"/>
      <c r="I273" s="1609"/>
      <c r="J273" s="1609"/>
      <c r="K273" s="1610"/>
      <c r="L273" s="1611"/>
      <c r="M273" s="952"/>
      <c r="N273" s="953"/>
      <c r="O273" s="953"/>
      <c r="P273" s="952"/>
      <c r="Q273" s="1610"/>
      <c r="R273" s="954"/>
      <c r="S273" s="1610"/>
      <c r="T273" s="1610"/>
      <c r="U273" s="1610"/>
      <c r="V273" s="1612"/>
      <c r="W273" s="1610"/>
      <c r="X273" s="1610"/>
      <c r="Y273" s="952"/>
      <c r="Z273" s="1610"/>
      <c r="AA273" s="954"/>
      <c r="AB273" s="1610"/>
      <c r="AC273" s="1610"/>
      <c r="AD273" s="1610"/>
      <c r="AE273" s="1612"/>
      <c r="AF273" s="1610"/>
      <c r="AG273" s="1470"/>
      <c r="AH273" s="1613"/>
      <c r="AI273" s="1613"/>
      <c r="AJ273" s="1613"/>
    </row>
    <row r="274" spans="2:40" s="1480" customFormat="1">
      <c r="B274" s="1463"/>
      <c r="C274" s="1607"/>
      <c r="D274" s="1608"/>
      <c r="E274" s="1608"/>
      <c r="F274" s="1608"/>
      <c r="G274" s="1608"/>
      <c r="H274" s="1609"/>
      <c r="I274" s="1609"/>
      <c r="J274" s="1609"/>
      <c r="K274" s="1610"/>
      <c r="L274" s="1611"/>
      <c r="M274" s="952"/>
      <c r="N274" s="953"/>
      <c r="O274" s="953"/>
      <c r="P274" s="952"/>
      <c r="Q274" s="1610"/>
      <c r="R274" s="954"/>
      <c r="S274" s="1610"/>
      <c r="T274" s="1610"/>
      <c r="U274" s="1610"/>
      <c r="V274" s="1612"/>
      <c r="W274" s="1610"/>
      <c r="X274" s="1610"/>
      <c r="Y274" s="952"/>
      <c r="Z274" s="1610"/>
      <c r="AA274" s="954"/>
      <c r="AB274" s="1610"/>
      <c r="AC274" s="1610"/>
      <c r="AD274" s="1610"/>
      <c r="AE274" s="1612"/>
      <c r="AF274" s="1610"/>
      <c r="AG274" s="1470"/>
      <c r="AH274" s="1613"/>
      <c r="AI274" s="1613"/>
      <c r="AJ274" s="1613"/>
    </row>
    <row r="275" spans="2:40" s="1480" customFormat="1">
      <c r="B275" s="2238" t="s">
        <v>32</v>
      </c>
      <c r="C275" s="2239" t="s">
        <v>31</v>
      </c>
      <c r="D275" s="2239" t="s">
        <v>30</v>
      </c>
      <c r="E275" s="2240" t="s">
        <v>242</v>
      </c>
      <c r="F275" s="2240"/>
      <c r="G275" s="2240"/>
      <c r="H275" s="2241" t="s">
        <v>29</v>
      </c>
      <c r="I275" s="2241"/>
      <c r="J275" s="2241"/>
      <c r="K275" s="2237" t="s">
        <v>243</v>
      </c>
      <c r="L275" s="2237"/>
      <c r="M275" s="2237"/>
      <c r="N275" s="2237"/>
      <c r="O275" s="2237"/>
      <c r="P275" s="2237"/>
      <c r="Q275" s="2237"/>
      <c r="R275" s="2237"/>
      <c r="S275" s="2237"/>
      <c r="T275" s="2237"/>
      <c r="U275" s="2237"/>
      <c r="V275" s="2237"/>
      <c r="W275" s="2237"/>
      <c r="X275" s="2237"/>
      <c r="Y275" s="2237" t="s">
        <v>27</v>
      </c>
      <c r="Z275" s="2237"/>
      <c r="AA275" s="2237"/>
      <c r="AB275" s="2237"/>
      <c r="AC275" s="2237"/>
      <c r="AD275" s="2237"/>
      <c r="AE275" s="2237"/>
      <c r="AF275" s="2237"/>
      <c r="AG275" s="1481"/>
      <c r="AH275" s="1531" t="s">
        <v>244</v>
      </c>
      <c r="AI275" s="1531" t="s">
        <v>245</v>
      </c>
      <c r="AJ275" s="1531" t="s">
        <v>246</v>
      </c>
      <c r="AK275" s="1463"/>
      <c r="AL275" s="911"/>
    </row>
    <row r="276" spans="2:40" s="1480" customFormat="1" ht="33">
      <c r="B276" s="2238"/>
      <c r="C276" s="2239"/>
      <c r="D276" s="2239"/>
      <c r="E276" s="1542" t="s">
        <v>247</v>
      </c>
      <c r="F276" s="1543" t="s">
        <v>248</v>
      </c>
      <c r="G276" s="1544" t="s">
        <v>249</v>
      </c>
      <c r="H276" s="1482" t="s">
        <v>26</v>
      </c>
      <c r="I276" s="1483" t="s">
        <v>25</v>
      </c>
      <c r="J276" s="1484" t="s">
        <v>250</v>
      </c>
      <c r="K276" s="1485" t="s">
        <v>23</v>
      </c>
      <c r="L276" s="1485" t="s">
        <v>22</v>
      </c>
      <c r="M276" s="1485" t="s">
        <v>251</v>
      </c>
      <c r="N276" s="1485" t="s">
        <v>20</v>
      </c>
      <c r="O276" s="1485" t="s">
        <v>19</v>
      </c>
      <c r="P276" s="1485" t="s">
        <v>18</v>
      </c>
      <c r="Q276" s="1485" t="s">
        <v>17</v>
      </c>
      <c r="R276" s="1486" t="s">
        <v>16</v>
      </c>
      <c r="S276" s="1487" t="s">
        <v>15</v>
      </c>
      <c r="T276" s="1486" t="s">
        <v>14</v>
      </c>
      <c r="U276" s="1486" t="s">
        <v>13</v>
      </c>
      <c r="V276" s="1486" t="s">
        <v>12</v>
      </c>
      <c r="W276" s="1488" t="s">
        <v>3</v>
      </c>
      <c r="X276" s="1489" t="s">
        <v>11</v>
      </c>
      <c r="Y276" s="1573" t="s">
        <v>10</v>
      </c>
      <c r="Z276" s="1574" t="s">
        <v>9</v>
      </c>
      <c r="AA276" s="1575" t="s">
        <v>8</v>
      </c>
      <c r="AB276" s="1575" t="s">
        <v>7</v>
      </c>
      <c r="AC276" s="1575" t="s">
        <v>6</v>
      </c>
      <c r="AD276" s="1575" t="s">
        <v>5</v>
      </c>
      <c r="AE276" s="1575" t="s">
        <v>4</v>
      </c>
      <c r="AF276" s="1576" t="s">
        <v>3</v>
      </c>
      <c r="AG276" s="1481"/>
      <c r="AH276" s="1532"/>
      <c r="AI276" s="1533"/>
      <c r="AJ276" s="1534"/>
      <c r="AK276" s="1463"/>
    </row>
    <row r="277" spans="2:40" s="1480" customFormat="1">
      <c r="B277" s="1494" t="s">
        <v>344</v>
      </c>
      <c r="C277" s="1583" t="s">
        <v>806</v>
      </c>
      <c r="D277" s="1549" t="s">
        <v>345</v>
      </c>
      <c r="E277" s="1549"/>
      <c r="F277" s="1549"/>
      <c r="G277" s="1581"/>
      <c r="H277" s="913">
        <f>I277+J277</f>
        <v>8698107.0999999996</v>
      </c>
      <c r="I277" s="914">
        <f>AI277+AJ277</f>
        <v>5328047.0999999996</v>
      </c>
      <c r="J277" s="915">
        <f>AH277</f>
        <v>3370060</v>
      </c>
      <c r="K277" s="1584">
        <v>9531100</v>
      </c>
      <c r="L277" s="916">
        <f>H277/K277</f>
        <v>0.91260264817282366</v>
      </c>
      <c r="M277" s="1584">
        <v>932502</v>
      </c>
      <c r="N277" s="917">
        <f t="shared" ref="N277:N284" si="145">M277/K277</f>
        <v>9.7837815152500757E-2</v>
      </c>
      <c r="O277" s="918">
        <f t="shared" ref="O277:O284" si="146">P277/M277</f>
        <v>4.4292666396425963E-2</v>
      </c>
      <c r="P277" s="1584">
        <v>41303</v>
      </c>
      <c r="Q277" s="1584">
        <v>31220</v>
      </c>
      <c r="R277" s="918">
        <f t="shared" ref="R277:R284" si="147">Q277/P277</f>
        <v>0.75587729704864048</v>
      </c>
      <c r="S277" s="919">
        <f t="shared" ref="S277:S283" si="148">H277/P277</f>
        <v>210.59262281190229</v>
      </c>
      <c r="T277" s="920">
        <f t="shared" ref="T277:T283" si="149">H277/Q277</f>
        <v>278.60688981422163</v>
      </c>
      <c r="U277" s="920">
        <f>X277*Q277</f>
        <v>31688300</v>
      </c>
      <c r="V277" s="921">
        <f t="shared" ref="V277:V283" si="150">U277/H277</f>
        <v>3.6431259854227367</v>
      </c>
      <c r="W277" s="1585">
        <v>720</v>
      </c>
      <c r="X277" s="2229">
        <v>1015</v>
      </c>
      <c r="Y277" s="1586">
        <v>3317</v>
      </c>
      <c r="Z277" s="1584">
        <v>2586</v>
      </c>
      <c r="AA277" s="918">
        <f>Z277/Y277</f>
        <v>0.77962013867952973</v>
      </c>
      <c r="AB277" s="922">
        <f t="shared" ref="AB277:AB283" si="151">H277/Y277</f>
        <v>2622.2813084112149</v>
      </c>
      <c r="AC277" s="922">
        <f t="shared" ref="AC277:AC283" si="152">H277/Z277</f>
        <v>3363.5371616395978</v>
      </c>
      <c r="AD277" s="920">
        <f>Z277*AF277</f>
        <v>1861920</v>
      </c>
      <c r="AE277" s="923">
        <f t="shared" ref="AE277:AE283" si="153">AD277/H277</f>
        <v>0.21406036722633595</v>
      </c>
      <c r="AF277" s="1587">
        <v>720</v>
      </c>
      <c r="AG277" s="1588" t="s">
        <v>282</v>
      </c>
      <c r="AH277" s="1567">
        <v>3370060</v>
      </c>
      <c r="AI277" s="1534">
        <v>2443430</v>
      </c>
      <c r="AJ277" s="1534">
        <v>2884617.1</v>
      </c>
      <c r="AK277" s="1463"/>
    </row>
    <row r="278" spans="2:40" s="1480" customFormat="1">
      <c r="B278" s="1494" t="s">
        <v>344</v>
      </c>
      <c r="C278" s="1583" t="s">
        <v>823</v>
      </c>
      <c r="D278" s="1549" t="s">
        <v>346</v>
      </c>
      <c r="E278" s="1549"/>
      <c r="F278" s="1549"/>
      <c r="G278" s="1581"/>
      <c r="H278" s="913">
        <f>I278+J278</f>
        <v>4699962.8254393628</v>
      </c>
      <c r="I278" s="914">
        <f t="shared" ref="I278:I282" si="154">AI278+AJ278</f>
        <v>1854693.8254393628</v>
      </c>
      <c r="J278" s="915">
        <f t="shared" ref="J278:J282" si="155">AH278</f>
        <v>2845269</v>
      </c>
      <c r="K278" s="1584">
        <v>8594352</v>
      </c>
      <c r="L278" s="916">
        <f>H278/K278</f>
        <v>0.54686645664959532</v>
      </c>
      <c r="M278" s="1584">
        <v>838690</v>
      </c>
      <c r="N278" s="917">
        <f t="shared" si="145"/>
        <v>9.7586182181041689E-2</v>
      </c>
      <c r="O278" s="918">
        <f t="shared" si="146"/>
        <v>3.9850242640308099E-2</v>
      </c>
      <c r="P278" s="1584">
        <v>33422</v>
      </c>
      <c r="Q278" s="1584">
        <v>25586</v>
      </c>
      <c r="R278" s="918">
        <f t="shared" si="147"/>
        <v>0.76554365388067735</v>
      </c>
      <c r="S278" s="919">
        <f t="shared" si="148"/>
        <v>140.62482273470656</v>
      </c>
      <c r="T278" s="920">
        <f t="shared" si="149"/>
        <v>183.69275484403045</v>
      </c>
      <c r="U278" s="920">
        <f>X277*Q278</f>
        <v>25969790</v>
      </c>
      <c r="V278" s="921">
        <f t="shared" si="150"/>
        <v>5.5255309381244491</v>
      </c>
      <c r="W278" s="1585">
        <v>990</v>
      </c>
      <c r="X278" s="2229"/>
      <c r="Y278" s="1586">
        <v>5928</v>
      </c>
      <c r="Z278" s="1584">
        <v>4665</v>
      </c>
      <c r="AA278" s="918">
        <f>Z278/Y278</f>
        <v>0.78694331983805665</v>
      </c>
      <c r="AB278" s="922">
        <f t="shared" si="151"/>
        <v>792.84123236156597</v>
      </c>
      <c r="AC278" s="922">
        <f t="shared" si="152"/>
        <v>1007.4947107051153</v>
      </c>
      <c r="AD278" s="920">
        <f>Z278*AF278</f>
        <v>4618350</v>
      </c>
      <c r="AE278" s="923">
        <f t="shared" si="153"/>
        <v>0.98263543171073198</v>
      </c>
      <c r="AF278" s="1587">
        <v>990</v>
      </c>
      <c r="AG278" s="1588" t="s">
        <v>282</v>
      </c>
      <c r="AH278" s="1567">
        <v>2845269</v>
      </c>
      <c r="AI278" s="1534">
        <v>526309.14543936297</v>
      </c>
      <c r="AJ278" s="1534">
        <v>1328384.68</v>
      </c>
      <c r="AK278" s="1463"/>
    </row>
    <row r="279" spans="2:40" s="1480" customFormat="1">
      <c r="B279" s="1494" t="s">
        <v>344</v>
      </c>
      <c r="C279" s="1583" t="s">
        <v>807</v>
      </c>
      <c r="D279" s="1549" t="s">
        <v>345</v>
      </c>
      <c r="E279" s="1549"/>
      <c r="F279" s="1549"/>
      <c r="G279" s="1581"/>
      <c r="H279" s="913">
        <f t="shared" ref="H279:H283" si="156">I279+J279</f>
        <v>11457859.640000004</v>
      </c>
      <c r="I279" s="914">
        <f t="shared" si="154"/>
        <v>5970901.6400000053</v>
      </c>
      <c r="J279" s="915">
        <f t="shared" si="155"/>
        <v>5486958</v>
      </c>
      <c r="K279" s="1584">
        <v>10633265</v>
      </c>
      <c r="L279" s="916">
        <f>H279/K279</f>
        <v>1.077548583619425</v>
      </c>
      <c r="M279" s="1584">
        <v>1391926</v>
      </c>
      <c r="N279" s="917">
        <f t="shared" si="145"/>
        <v>0.13090297288744332</v>
      </c>
      <c r="O279" s="918">
        <f t="shared" si="146"/>
        <v>6.0030490126630295E-2</v>
      </c>
      <c r="P279" s="1584">
        <v>83558</v>
      </c>
      <c r="Q279" s="1584">
        <v>60908</v>
      </c>
      <c r="R279" s="918">
        <f t="shared" si="147"/>
        <v>0.72893080255630816</v>
      </c>
      <c r="S279" s="919">
        <f t="shared" si="148"/>
        <v>137.12462768376463</v>
      </c>
      <c r="T279" s="920">
        <f t="shared" si="149"/>
        <v>188.11748276088534</v>
      </c>
      <c r="U279" s="920">
        <f>X277*Q279</f>
        <v>61821620</v>
      </c>
      <c r="V279" s="921">
        <f t="shared" si="150"/>
        <v>5.3955644371988463</v>
      </c>
      <c r="W279" s="1585">
        <v>1820</v>
      </c>
      <c r="X279" s="2229"/>
      <c r="Y279" s="1586">
        <v>4755</v>
      </c>
      <c r="Z279" s="1584">
        <v>3726</v>
      </c>
      <c r="AA279" s="918">
        <f t="shared" ref="AA279:AA283" si="157">Z279/Y279</f>
        <v>0.783596214511041</v>
      </c>
      <c r="AB279" s="922">
        <f t="shared" si="151"/>
        <v>2409.6445089379608</v>
      </c>
      <c r="AC279" s="922">
        <f t="shared" si="152"/>
        <v>3075.1099409554495</v>
      </c>
      <c r="AD279" s="920">
        <f t="shared" ref="AD279:AD283" si="158">Z279*AF279</f>
        <v>6781320</v>
      </c>
      <c r="AE279" s="923">
        <f t="shared" si="153"/>
        <v>0.59184875823806105</v>
      </c>
      <c r="AF279" s="1587">
        <v>1820</v>
      </c>
      <c r="AG279" s="1614" t="s">
        <v>257</v>
      </c>
      <c r="AH279" s="1567">
        <v>5486958</v>
      </c>
      <c r="AI279" s="1567">
        <f>863.16301886793*1060</f>
        <v>914952.80000000575</v>
      </c>
      <c r="AJ279" s="1534">
        <v>5055948.84</v>
      </c>
      <c r="AK279" s="1463"/>
      <c r="AN279" s="1577"/>
    </row>
    <row r="280" spans="2:40" s="1480" customFormat="1">
      <c r="B280" s="1494" t="s">
        <v>347</v>
      </c>
      <c r="C280" s="1615" t="s">
        <v>797</v>
      </c>
      <c r="D280" s="1549" t="s">
        <v>348</v>
      </c>
      <c r="E280" s="1549"/>
      <c r="F280" s="1549"/>
      <c r="G280" s="1549"/>
      <c r="H280" s="913">
        <f t="shared" si="156"/>
        <v>11165644.001</v>
      </c>
      <c r="I280" s="914">
        <f t="shared" si="154"/>
        <v>6660215.9249999998</v>
      </c>
      <c r="J280" s="915">
        <f t="shared" si="155"/>
        <v>4505428.0760000004</v>
      </c>
      <c r="K280" s="1584">
        <v>13472946</v>
      </c>
      <c r="L280" s="916">
        <f>H280/K280</f>
        <v>0.82874554689078395</v>
      </c>
      <c r="M280" s="1584">
        <v>1517257</v>
      </c>
      <c r="N280" s="917">
        <f t="shared" si="145"/>
        <v>0.11261508804384728</v>
      </c>
      <c r="O280" s="918">
        <f t="shared" si="146"/>
        <v>7.1281266126964643E-2</v>
      </c>
      <c r="P280" s="1584">
        <v>108152</v>
      </c>
      <c r="Q280" s="1584">
        <v>81634</v>
      </c>
      <c r="R280" s="918">
        <f t="shared" si="147"/>
        <v>0.75480804793253942</v>
      </c>
      <c r="S280" s="919">
        <f t="shared" si="148"/>
        <v>103.24029145092092</v>
      </c>
      <c r="T280" s="920">
        <f t="shared" si="149"/>
        <v>136.77688219369381</v>
      </c>
      <c r="U280" s="920">
        <f>X277*Q280</f>
        <v>82858510</v>
      </c>
      <c r="V280" s="921">
        <f t="shared" si="150"/>
        <v>7.4208446904253043</v>
      </c>
      <c r="W280" s="1616">
        <v>490</v>
      </c>
      <c r="X280" s="2229"/>
      <c r="Y280" s="1586">
        <v>42090</v>
      </c>
      <c r="Z280" s="1584">
        <v>33823</v>
      </c>
      <c r="AA280" s="918">
        <f t="shared" si="157"/>
        <v>0.80358755048705155</v>
      </c>
      <c r="AB280" s="922">
        <f t="shared" si="151"/>
        <v>265.28020909954859</v>
      </c>
      <c r="AC280" s="922">
        <f t="shared" si="152"/>
        <v>330.11985929692815</v>
      </c>
      <c r="AD280" s="920">
        <f t="shared" si="158"/>
        <v>16573270</v>
      </c>
      <c r="AE280" s="923">
        <f t="shared" si="153"/>
        <v>1.4843093688564395</v>
      </c>
      <c r="AF280" s="1617">
        <v>490</v>
      </c>
      <c r="AG280" s="876" t="s">
        <v>349</v>
      </c>
      <c r="AH280" s="1567">
        <v>4505428.0760000004</v>
      </c>
      <c r="AI280" s="1534">
        <v>2306641</v>
      </c>
      <c r="AJ280" s="1534">
        <v>4353574.9249999998</v>
      </c>
      <c r="AK280" s="1463"/>
    </row>
    <row r="281" spans="2:40" s="1480" customFormat="1">
      <c r="B281" s="1618" t="s">
        <v>350</v>
      </c>
      <c r="C281" s="1619" t="s">
        <v>809</v>
      </c>
      <c r="D281" s="1620" t="s">
        <v>351</v>
      </c>
      <c r="E281" s="1558"/>
      <c r="F281" s="1558"/>
      <c r="G281" s="1559"/>
      <c r="H281" s="955">
        <f t="shared" si="156"/>
        <v>10350763.300000001</v>
      </c>
      <c r="I281" s="956">
        <f t="shared" si="154"/>
        <v>6578119.4199999999</v>
      </c>
      <c r="J281" s="957">
        <f t="shared" si="155"/>
        <v>3772643.88</v>
      </c>
      <c r="K281" s="1606">
        <v>8222551</v>
      </c>
      <c r="L281" s="924">
        <f t="shared" ref="L281:L283" si="159">H281/K281</f>
        <v>1.2588262815274724</v>
      </c>
      <c r="M281" s="1606">
        <v>724618</v>
      </c>
      <c r="N281" s="958">
        <f t="shared" si="145"/>
        <v>8.8125692379408774E-2</v>
      </c>
      <c r="O281" s="959">
        <f t="shared" si="146"/>
        <v>4.8062565379275703E-2</v>
      </c>
      <c r="P281" s="1606">
        <v>34827</v>
      </c>
      <c r="Q281" s="1606">
        <v>25470</v>
      </c>
      <c r="R281" s="868">
        <f t="shared" si="147"/>
        <v>0.73132914118356451</v>
      </c>
      <c r="S281" s="960">
        <f t="shared" si="148"/>
        <v>297.20513681913462</v>
      </c>
      <c r="T281" s="870">
        <f t="shared" si="149"/>
        <v>406.39039261876718</v>
      </c>
      <c r="U281" s="961">
        <f>X277*Q281</f>
        <v>25852050</v>
      </c>
      <c r="V281" s="962">
        <f t="shared" si="150"/>
        <v>2.4975984138290555</v>
      </c>
      <c r="W281" s="1621">
        <v>930</v>
      </c>
      <c r="X281" s="2229"/>
      <c r="Y281" s="1622">
        <v>4360</v>
      </c>
      <c r="Z281" s="1606">
        <v>3138</v>
      </c>
      <c r="AA281" s="959">
        <f t="shared" si="157"/>
        <v>0.71972477064220186</v>
      </c>
      <c r="AB281" s="963">
        <f t="shared" si="151"/>
        <v>2374.028279816514</v>
      </c>
      <c r="AC281" s="873">
        <f t="shared" si="152"/>
        <v>3298.5224028043344</v>
      </c>
      <c r="AD281" s="961">
        <f t="shared" si="158"/>
        <v>2918340</v>
      </c>
      <c r="AE281" s="964">
        <f t="shared" si="153"/>
        <v>0.28194442433052253</v>
      </c>
      <c r="AF281" s="1623">
        <v>930</v>
      </c>
      <c r="AG281" s="965" t="s">
        <v>290</v>
      </c>
      <c r="AH281" s="1567">
        <v>3772643.88</v>
      </c>
      <c r="AI281" s="1534">
        <v>1873984</v>
      </c>
      <c r="AJ281" s="1534">
        <v>4704135.42</v>
      </c>
      <c r="AK281" s="1463"/>
    </row>
    <row r="282" spans="2:40" s="1480" customFormat="1">
      <c r="B282" s="1618" t="s">
        <v>350</v>
      </c>
      <c r="C282" s="1619" t="s">
        <v>810</v>
      </c>
      <c r="D282" s="1620" t="s">
        <v>351</v>
      </c>
      <c r="E282" s="1558"/>
      <c r="F282" s="1558"/>
      <c r="G282" s="1559"/>
      <c r="H282" s="955">
        <f t="shared" si="156"/>
        <v>3815985.75</v>
      </c>
      <c r="I282" s="956">
        <f t="shared" si="154"/>
        <v>2444116.79</v>
      </c>
      <c r="J282" s="864">
        <f t="shared" si="155"/>
        <v>1371868.96</v>
      </c>
      <c r="K282" s="1606">
        <v>4816092</v>
      </c>
      <c r="L282" s="924">
        <f t="shared" si="159"/>
        <v>0.79234070902300036</v>
      </c>
      <c r="M282" s="1606">
        <v>469542</v>
      </c>
      <c r="N282" s="958">
        <f t="shared" si="145"/>
        <v>9.7494400023919806E-2</v>
      </c>
      <c r="O282" s="959">
        <f t="shared" si="146"/>
        <v>4.4975742319110966E-2</v>
      </c>
      <c r="P282" s="1606">
        <v>21118</v>
      </c>
      <c r="Q282" s="1606">
        <v>16160</v>
      </c>
      <c r="R282" s="868">
        <f t="shared" si="147"/>
        <v>0.7652239795435174</v>
      </c>
      <c r="S282" s="960">
        <f t="shared" si="148"/>
        <v>180.69825504309119</v>
      </c>
      <c r="T282" s="870">
        <f t="shared" si="149"/>
        <v>236.13773205445545</v>
      </c>
      <c r="U282" s="961">
        <f>X277*Q282</f>
        <v>16402400</v>
      </c>
      <c r="V282" s="962">
        <f t="shared" si="150"/>
        <v>4.298338902339979</v>
      </c>
      <c r="W282" s="1621">
        <v>1650</v>
      </c>
      <c r="X282" s="2229"/>
      <c r="Y282" s="1624">
        <v>1353</v>
      </c>
      <c r="Z282" s="1625">
        <v>1058</v>
      </c>
      <c r="AA282" s="959">
        <f t="shared" si="157"/>
        <v>0.78196600147819662</v>
      </c>
      <c r="AB282" s="963">
        <f t="shared" si="151"/>
        <v>2820.3885809312637</v>
      </c>
      <c r="AC282" s="873">
        <f t="shared" si="152"/>
        <v>3606.7918241965972</v>
      </c>
      <c r="AD282" s="961">
        <f t="shared" si="158"/>
        <v>1745700</v>
      </c>
      <c r="AE282" s="964">
        <f t="shared" si="153"/>
        <v>0.45747026177967254</v>
      </c>
      <c r="AF282" s="1623">
        <v>1650</v>
      </c>
      <c r="AG282" s="965" t="s">
        <v>292</v>
      </c>
      <c r="AH282" s="1567">
        <v>1371868.96</v>
      </c>
      <c r="AI282" s="1534">
        <v>0</v>
      </c>
      <c r="AJ282" s="1534">
        <v>2444116.79</v>
      </c>
      <c r="AK282" s="1463"/>
    </row>
    <row r="283" spans="2:40" s="1480" customFormat="1">
      <c r="B283" s="1502"/>
      <c r="C283" s="1503" t="s">
        <v>0</v>
      </c>
      <c r="D283" s="1503"/>
      <c r="E283" s="1503"/>
      <c r="F283" s="1503"/>
      <c r="G283" s="1565"/>
      <c r="H283" s="882">
        <f t="shared" si="156"/>
        <v>50188322.616439365</v>
      </c>
      <c r="I283" s="883">
        <f>SUM(I277:I282)</f>
        <v>28836094.700439364</v>
      </c>
      <c r="J283" s="884">
        <f>SUM(J277:J282)</f>
        <v>21352227.916000001</v>
      </c>
      <c r="K283" s="885">
        <f>SUM(K277:K282)</f>
        <v>55270306</v>
      </c>
      <c r="L283" s="886">
        <f t="shared" si="159"/>
        <v>0.90805219382066327</v>
      </c>
      <c r="M283" s="883">
        <f>SUM(M277:M282)</f>
        <v>5874535</v>
      </c>
      <c r="N283" s="887">
        <f t="shared" si="145"/>
        <v>0.10628736160787675</v>
      </c>
      <c r="O283" s="887">
        <f t="shared" si="146"/>
        <v>5.4877534987875634E-2</v>
      </c>
      <c r="P283" s="883">
        <f>SUM(P277:P282)</f>
        <v>322380</v>
      </c>
      <c r="Q283" s="883">
        <f>SUM(Q277:Q282)</f>
        <v>240978</v>
      </c>
      <c r="R283" s="887">
        <f t="shared" si="147"/>
        <v>0.74749674297412994</v>
      </c>
      <c r="S283" s="1626">
        <f t="shared" si="148"/>
        <v>155.68063346497723</v>
      </c>
      <c r="T283" s="1626">
        <f t="shared" si="149"/>
        <v>208.26931344952388</v>
      </c>
      <c r="U283" s="1627">
        <f>X277*Q283</f>
        <v>244592670</v>
      </c>
      <c r="V283" s="888">
        <f t="shared" si="150"/>
        <v>4.8734976036015754</v>
      </c>
      <c r="W283" s="1628">
        <f>X277</f>
        <v>1015</v>
      </c>
      <c r="X283" s="2229"/>
      <c r="Y283" s="1507">
        <f>SUM(Y277:Y282)</f>
        <v>61803</v>
      </c>
      <c r="Z283" s="1507">
        <f>SUM(Z277:Z282)</f>
        <v>48996</v>
      </c>
      <c r="AA283" s="889">
        <f t="shared" si="157"/>
        <v>0.79277704965778362</v>
      </c>
      <c r="AB283" s="1507">
        <f t="shared" si="151"/>
        <v>812.0693593585969</v>
      </c>
      <c r="AC283" s="1507">
        <f t="shared" si="152"/>
        <v>1024.3351011600816</v>
      </c>
      <c r="AD283" s="1508">
        <f t="shared" si="158"/>
        <v>49730940</v>
      </c>
      <c r="AE283" s="908">
        <f t="shared" si="153"/>
        <v>0.99088667258447993</v>
      </c>
      <c r="AF283" s="1509">
        <v>1015</v>
      </c>
      <c r="AG283" s="1510"/>
      <c r="AH283" s="1518"/>
      <c r="AI283" s="1519"/>
      <c r="AJ283" s="1463"/>
      <c r="AK283" s="1463"/>
      <c r="AN283" s="1577"/>
    </row>
    <row r="284" spans="2:40" s="1480" customFormat="1">
      <c r="B284" s="1512"/>
      <c r="C284" s="1513" t="s">
        <v>260</v>
      </c>
      <c r="D284" s="1513"/>
      <c r="E284" s="1513"/>
      <c r="F284" s="1513"/>
      <c r="G284" s="1513"/>
      <c r="H284" s="893"/>
      <c r="I284" s="894"/>
      <c r="J284" s="894"/>
      <c r="K284" s="894">
        <v>39420895</v>
      </c>
      <c r="L284" s="895">
        <f>H283/K284</f>
        <v>1.2731401105033096</v>
      </c>
      <c r="M284" s="894">
        <v>3937430.0707684001</v>
      </c>
      <c r="N284" s="896">
        <f t="shared" si="145"/>
        <v>9.9881803058210636E-2</v>
      </c>
      <c r="O284" s="896">
        <f t="shared" si="146"/>
        <v>5.566117900786742E-2</v>
      </c>
      <c r="P284" s="894">
        <v>219162</v>
      </c>
      <c r="Q284" s="894">
        <v>187939</v>
      </c>
      <c r="R284" s="896">
        <f t="shared" si="147"/>
        <v>0.8575346091019429</v>
      </c>
      <c r="S284" s="1629">
        <f>H283/P284</f>
        <v>229.00102488770574</v>
      </c>
      <c r="T284" s="1629">
        <f>H283/Q284</f>
        <v>267.04581069623316</v>
      </c>
      <c r="U284" s="1515">
        <f>Q284*$X$255</f>
        <v>0</v>
      </c>
      <c r="V284" s="897">
        <f>U284/H283</f>
        <v>0</v>
      </c>
      <c r="W284" s="1516">
        <f>W283</f>
        <v>1015</v>
      </c>
      <c r="X284" s="1516"/>
      <c r="Y284" s="894"/>
      <c r="Z284" s="894"/>
      <c r="AA284" s="896"/>
      <c r="AB284" s="1517"/>
      <c r="AC284" s="1517"/>
      <c r="AD284" s="1516"/>
      <c r="AE284" s="898"/>
      <c r="AF284" s="1516"/>
      <c r="AG284" s="1510"/>
      <c r="AH284" s="1518"/>
      <c r="AI284" s="1519"/>
      <c r="AJ284" s="1463"/>
      <c r="AK284" s="1463"/>
    </row>
    <row r="285" spans="2:40" s="1480" customFormat="1">
      <c r="B285" s="1463"/>
      <c r="C285" s="1465"/>
      <c r="D285" s="1465"/>
      <c r="E285" s="1465"/>
      <c r="F285" s="1465"/>
      <c r="G285" s="1465"/>
      <c r="H285" s="1465"/>
      <c r="I285" s="1465"/>
      <c r="J285" s="1465"/>
      <c r="K285" s="966"/>
      <c r="L285" s="1630"/>
      <c r="N285" s="967">
        <v>9.8619719777827797E-2</v>
      </c>
      <c r="O285" s="1631">
        <v>5.1944872326087299E-2</v>
      </c>
      <c r="P285" s="1463"/>
      <c r="Q285" s="1632"/>
      <c r="R285" s="891"/>
      <c r="S285" s="1463"/>
      <c r="T285" s="1463"/>
      <c r="U285" s="1463"/>
      <c r="V285" s="1463"/>
      <c r="W285" s="1463"/>
      <c r="X285" s="1463"/>
      <c r="Y285" s="1511"/>
      <c r="Z285" s="1511"/>
      <c r="AA285" s="1463"/>
      <c r="AB285" s="1463"/>
      <c r="AC285" s="1463"/>
      <c r="AD285" s="1463"/>
      <c r="AE285" s="1463"/>
      <c r="AF285" s="1463"/>
      <c r="AG285" s="1633"/>
      <c r="AH285" s="1463"/>
      <c r="AI285" s="1463"/>
      <c r="AJ285" s="1463"/>
      <c r="AK285" s="1463"/>
    </row>
    <row r="286" spans="2:40" s="1480" customFormat="1">
      <c r="B286" s="1472"/>
      <c r="C286" s="1465"/>
      <c r="D286" s="1465"/>
      <c r="E286" s="1465"/>
      <c r="F286" s="1465"/>
      <c r="G286" s="1465"/>
      <c r="H286" s="1466"/>
      <c r="I286" s="1466"/>
      <c r="J286" s="1466"/>
      <c r="K286" s="1467"/>
      <c r="L286" s="1468"/>
      <c r="M286" s="1634"/>
      <c r="N286" s="968">
        <v>5.1321679348466397E-2</v>
      </c>
      <c r="O286" s="968">
        <v>6.5706596103176501E-2</v>
      </c>
      <c r="P286" s="1467"/>
      <c r="Q286" s="1463"/>
      <c r="R286" s="845"/>
      <c r="S286" s="1467"/>
      <c r="T286" s="1467"/>
      <c r="U286" s="1467"/>
      <c r="V286" s="1469"/>
      <c r="W286" s="1467"/>
      <c r="X286" s="1467"/>
      <c r="Y286" s="1467"/>
      <c r="Z286" s="1467"/>
      <c r="AA286" s="845"/>
      <c r="AB286" s="1467"/>
      <c r="AC286" s="1467"/>
      <c r="AD286" s="1467"/>
      <c r="AE286" s="1469"/>
      <c r="AF286" s="1467"/>
      <c r="AG286" s="1470"/>
      <c r="AH286" s="1471"/>
      <c r="AI286" s="1471"/>
      <c r="AJ286" s="1471"/>
      <c r="AK286" s="1463"/>
    </row>
    <row r="287" spans="2:40">
      <c r="B287" s="1472"/>
      <c r="E287" s="1465"/>
      <c r="F287" s="1465"/>
      <c r="G287" s="1465"/>
      <c r="H287" s="1466"/>
      <c r="I287" s="1466"/>
      <c r="J287" s="1466"/>
      <c r="K287" s="1467"/>
      <c r="L287" s="1468"/>
      <c r="N287" s="845"/>
      <c r="R287" s="845"/>
      <c r="S287" s="1467"/>
      <c r="V287" s="1469"/>
      <c r="X287" s="1467"/>
      <c r="AA287" s="845"/>
      <c r="AB287" s="1467"/>
      <c r="AD287" s="1467"/>
      <c r="AE287" s="1469"/>
      <c r="AF287" s="1467"/>
      <c r="AG287" s="1470"/>
      <c r="AH287" s="1471"/>
      <c r="AI287" s="1471"/>
      <c r="AJ287" s="1471"/>
    </row>
    <row r="288" spans="2:40">
      <c r="B288" s="1472"/>
      <c r="E288" s="1465"/>
      <c r="F288" s="1465"/>
      <c r="G288" s="1465"/>
      <c r="H288" s="1466"/>
      <c r="I288" s="1466"/>
      <c r="J288" s="1466"/>
      <c r="K288" s="1467"/>
      <c r="L288" s="1468"/>
      <c r="N288" s="845"/>
      <c r="R288" s="845"/>
      <c r="S288" s="1467"/>
      <c r="V288" s="1469"/>
      <c r="X288" s="1467"/>
      <c r="AA288" s="845"/>
      <c r="AB288" s="1467"/>
      <c r="AD288" s="1467"/>
      <c r="AE288" s="1469"/>
      <c r="AF288" s="1467"/>
      <c r="AG288" s="1470"/>
      <c r="AH288" s="1471"/>
      <c r="AI288" s="1471"/>
      <c r="AJ288" s="1471"/>
    </row>
    <row r="289" spans="2:37">
      <c r="B289" s="1472"/>
      <c r="E289" s="1465"/>
      <c r="F289" s="1465"/>
      <c r="G289" s="1465"/>
      <c r="H289" s="1466"/>
      <c r="I289" s="1466"/>
      <c r="J289" s="1466"/>
      <c r="K289" s="1467"/>
      <c r="L289" s="1468"/>
      <c r="N289" s="845"/>
      <c r="R289" s="845"/>
      <c r="S289" s="1467"/>
      <c r="V289" s="1469"/>
      <c r="X289" s="1467"/>
      <c r="AA289" s="845"/>
      <c r="AB289" s="1467"/>
      <c r="AD289" s="1467"/>
      <c r="AE289" s="1469"/>
      <c r="AF289" s="1467"/>
      <c r="AG289" s="1470"/>
      <c r="AH289" s="1471"/>
      <c r="AI289" s="1471"/>
      <c r="AJ289" s="1471"/>
    </row>
    <row r="290" spans="2:37">
      <c r="B290" s="1472"/>
      <c r="E290" s="1465"/>
      <c r="F290" s="1465"/>
      <c r="G290" s="1465"/>
      <c r="H290" s="1466"/>
      <c r="I290" s="1466"/>
      <c r="J290" s="1466"/>
      <c r="K290" s="1467"/>
      <c r="L290" s="1468"/>
      <c r="N290" s="845"/>
      <c r="R290" s="845"/>
      <c r="S290" s="1467"/>
      <c r="V290" s="1469"/>
      <c r="X290" s="1467"/>
      <c r="AA290" s="845"/>
      <c r="AB290" s="1467"/>
      <c r="AD290" s="1467"/>
      <c r="AE290" s="1469"/>
      <c r="AF290" s="1467"/>
      <c r="AG290" s="1470"/>
      <c r="AH290" s="1471"/>
      <c r="AI290" s="1471"/>
      <c r="AJ290" s="1471"/>
    </row>
    <row r="291" spans="2:37">
      <c r="B291" s="1472"/>
      <c r="E291" s="1465"/>
      <c r="F291" s="1465"/>
      <c r="G291" s="1465"/>
      <c r="H291" s="1466"/>
      <c r="I291" s="1466"/>
      <c r="J291" s="1466"/>
      <c r="K291" s="1467"/>
      <c r="L291" s="1468"/>
      <c r="N291" s="845"/>
      <c r="R291" s="845"/>
      <c r="S291" s="1467"/>
      <c r="V291" s="1469"/>
      <c r="X291" s="1467"/>
      <c r="AA291" s="845"/>
      <c r="AB291" s="1467"/>
      <c r="AD291" s="1467"/>
      <c r="AE291" s="1469"/>
      <c r="AF291" s="1467"/>
      <c r="AG291" s="1470"/>
      <c r="AH291" s="1471"/>
      <c r="AI291" s="1471"/>
      <c r="AJ291" s="1471"/>
    </row>
    <row r="292" spans="2:37">
      <c r="B292" s="1472"/>
      <c r="E292" s="1465"/>
      <c r="F292" s="1465"/>
      <c r="G292" s="1465"/>
      <c r="H292" s="1466"/>
      <c r="I292" s="1466"/>
      <c r="J292" s="1466"/>
      <c r="K292" s="1467"/>
      <c r="L292" s="1468"/>
      <c r="N292" s="845"/>
      <c r="R292" s="845"/>
      <c r="S292" s="1467"/>
      <c r="V292" s="1469"/>
      <c r="X292" s="1467"/>
      <c r="AA292" s="845"/>
      <c r="AB292" s="1467"/>
      <c r="AD292" s="1467"/>
      <c r="AE292" s="1469"/>
      <c r="AF292" s="1467"/>
      <c r="AG292" s="1470"/>
      <c r="AH292" s="1471"/>
      <c r="AI292" s="1471"/>
      <c r="AJ292" s="1471"/>
    </row>
    <row r="293" spans="2:37">
      <c r="B293" s="1472"/>
      <c r="E293" s="1465"/>
      <c r="F293" s="1465"/>
      <c r="G293" s="1465"/>
      <c r="H293" s="1466"/>
      <c r="I293" s="1466"/>
      <c r="J293" s="1466"/>
      <c r="K293" s="1467"/>
      <c r="L293" s="1468"/>
      <c r="N293" s="845"/>
      <c r="R293" s="845"/>
      <c r="S293" s="1467"/>
      <c r="V293" s="1469"/>
      <c r="X293" s="1467"/>
      <c r="AA293" s="845"/>
      <c r="AB293" s="1467"/>
      <c r="AD293" s="1467"/>
      <c r="AE293" s="1469"/>
      <c r="AF293" s="1467"/>
      <c r="AG293" s="1470"/>
      <c r="AH293" s="1471"/>
      <c r="AI293" s="1471"/>
      <c r="AJ293" s="1471"/>
    </row>
    <row r="294" spans="2:37">
      <c r="E294" s="1465"/>
      <c r="F294" s="1465"/>
      <c r="G294" s="1465"/>
      <c r="H294" s="1466"/>
      <c r="I294" s="1466"/>
      <c r="J294" s="1466"/>
      <c r="K294" s="1467"/>
      <c r="L294" s="1468"/>
      <c r="N294" s="845"/>
      <c r="R294" s="845"/>
      <c r="S294" s="1467"/>
      <c r="V294" s="1469"/>
      <c r="X294" s="1467"/>
      <c r="AA294" s="845"/>
      <c r="AB294" s="1467"/>
      <c r="AD294" s="1467"/>
      <c r="AE294" s="1469"/>
      <c r="AF294" s="1467"/>
      <c r="AG294" s="1470"/>
      <c r="AH294" s="1471"/>
      <c r="AI294" s="1471"/>
      <c r="AJ294" s="1471"/>
    </row>
    <row r="295" spans="2:37" s="1473" customFormat="1" ht="22.5">
      <c r="B295" s="850" t="s">
        <v>822</v>
      </c>
      <c r="C295" s="1474"/>
      <c r="D295" s="1474"/>
      <c r="E295" s="1474"/>
      <c r="F295" s="1474"/>
      <c r="G295" s="1474"/>
      <c r="H295" s="1475"/>
      <c r="I295" s="1476"/>
      <c r="J295" s="1476"/>
      <c r="K295" s="1476"/>
      <c r="L295" s="1477"/>
      <c r="M295" s="1476"/>
      <c r="N295" s="851"/>
      <c r="O295" s="851"/>
      <c r="P295" s="1476"/>
      <c r="Q295" s="1476"/>
      <c r="R295" s="851"/>
      <c r="S295" s="1476"/>
      <c r="T295" s="1476"/>
      <c r="U295" s="1476"/>
      <c r="V295" s="1478"/>
      <c r="W295" s="1476"/>
      <c r="X295" s="1476"/>
      <c r="Y295" s="1476"/>
      <c r="Z295" s="1476"/>
      <c r="AA295" s="851"/>
      <c r="AB295" s="1476"/>
      <c r="AC295" s="1476"/>
      <c r="AD295" s="1476"/>
      <c r="AE295" s="1478"/>
      <c r="AF295" s="1476"/>
      <c r="AG295" s="1479"/>
      <c r="AH295" s="1476"/>
      <c r="AI295" s="1476"/>
      <c r="AJ295" s="1476"/>
    </row>
    <row r="296" spans="2:37" s="950" customFormat="1">
      <c r="B296" s="852" t="s">
        <v>238</v>
      </c>
      <c r="C296" s="853" t="s">
        <v>352</v>
      </c>
      <c r="D296" s="940"/>
      <c r="E296" s="940"/>
      <c r="F296" s="940"/>
      <c r="G296" s="940"/>
      <c r="H296" s="941"/>
      <c r="I296" s="942"/>
      <c r="J296" s="942"/>
      <c r="K296" s="943"/>
      <c r="L296" s="944"/>
      <c r="M296" s="945"/>
      <c r="N296" s="946"/>
      <c r="O296" s="845"/>
      <c r="P296" s="942"/>
      <c r="Q296" s="942"/>
      <c r="R296" s="845"/>
      <c r="S296" s="1467"/>
      <c r="T296" s="1467"/>
      <c r="U296" s="1467"/>
      <c r="V296" s="947"/>
      <c r="W296" s="942"/>
      <c r="X296" s="942"/>
      <c r="Y296" s="942"/>
      <c r="Z296" s="942"/>
      <c r="AA296" s="845"/>
      <c r="AB296" s="942"/>
      <c r="AC296" s="942"/>
      <c r="AD296" s="942"/>
      <c r="AE296" s="947"/>
      <c r="AF296" s="1519"/>
      <c r="AG296" s="948"/>
      <c r="AH296" s="949"/>
      <c r="AI296" s="949"/>
      <c r="AJ296" s="949"/>
    </row>
    <row r="297" spans="2:37" s="950" customFormat="1">
      <c r="B297" s="854" t="s">
        <v>82</v>
      </c>
      <c r="C297" s="855" t="s">
        <v>353</v>
      </c>
      <c r="D297" s="940"/>
      <c r="E297" s="940"/>
      <c r="F297" s="940"/>
      <c r="G297" s="940"/>
      <c r="H297" s="941"/>
      <c r="I297" s="942"/>
      <c r="J297" s="942"/>
      <c r="K297" s="1467"/>
      <c r="L297" s="1468"/>
      <c r="M297" s="1467"/>
      <c r="N297" s="845"/>
      <c r="O297" s="845"/>
      <c r="P297" s="942"/>
      <c r="Q297" s="942"/>
      <c r="R297" s="845"/>
      <c r="S297" s="1467"/>
      <c r="T297" s="1467"/>
      <c r="U297" s="1467"/>
      <c r="V297" s="947"/>
      <c r="W297" s="942"/>
      <c r="X297" s="942"/>
      <c r="Y297" s="942"/>
      <c r="Z297" s="942"/>
      <c r="AA297" s="845"/>
      <c r="AB297" s="942"/>
      <c r="AC297" s="942"/>
      <c r="AD297" s="942"/>
      <c r="AE297" s="947"/>
      <c r="AF297" s="1519"/>
      <c r="AG297" s="948"/>
      <c r="AH297" s="949"/>
      <c r="AI297" s="949"/>
      <c r="AJ297" s="949"/>
    </row>
    <row r="298" spans="2:37" s="1571" customFormat="1">
      <c r="B298" s="1571" t="s">
        <v>263</v>
      </c>
      <c r="C298" s="1572"/>
      <c r="D298" s="1635"/>
      <c r="E298" s="1636"/>
      <c r="F298" s="1636"/>
      <c r="G298" s="1636"/>
      <c r="H298" s="1637"/>
      <c r="I298" s="1638"/>
      <c r="J298" s="1638"/>
      <c r="K298" s="1467"/>
      <c r="L298" s="1468"/>
      <c r="M298" s="1467"/>
      <c r="N298" s="845"/>
      <c r="O298" s="845"/>
      <c r="P298" s="1638"/>
      <c r="Q298" s="1638"/>
      <c r="R298" s="845"/>
      <c r="S298" s="1467"/>
      <c r="T298" s="1467"/>
      <c r="U298" s="1467"/>
      <c r="V298" s="1639"/>
      <c r="W298" s="1638"/>
      <c r="X298" s="1638"/>
      <c r="Y298" s="1638"/>
      <c r="Z298" s="1638"/>
      <c r="AA298" s="969"/>
      <c r="AB298" s="1638"/>
      <c r="AC298" s="1638"/>
      <c r="AD298" s="1638"/>
      <c r="AE298" s="1639"/>
      <c r="AF298" s="1519"/>
      <c r="AG298" s="1640"/>
      <c r="AH298" s="1641"/>
      <c r="AI298" s="1641"/>
      <c r="AJ298" s="1641"/>
    </row>
    <row r="299" spans="2:37" s="1480" customFormat="1">
      <c r="B299" s="1463"/>
      <c r="C299" s="1607"/>
      <c r="D299" s="1608"/>
      <c r="E299" s="1608"/>
      <c r="F299" s="1608"/>
      <c r="G299" s="1608"/>
      <c r="H299" s="1609"/>
      <c r="I299" s="1609"/>
      <c r="J299" s="1609"/>
      <c r="K299" s="1610"/>
      <c r="L299" s="1611"/>
      <c r="M299" s="952"/>
      <c r="N299" s="953"/>
      <c r="O299" s="953"/>
      <c r="P299" s="952"/>
      <c r="Q299" s="1610"/>
      <c r="R299" s="954"/>
      <c r="S299" s="1610"/>
      <c r="T299" s="1610"/>
      <c r="U299" s="1610"/>
      <c r="V299" s="1612"/>
      <c r="W299" s="1610"/>
      <c r="X299" s="1610"/>
      <c r="Y299" s="952"/>
      <c r="Z299" s="1610"/>
      <c r="AA299" s="954"/>
      <c r="AB299" s="1610"/>
      <c r="AC299" s="1610"/>
      <c r="AD299" s="1610"/>
      <c r="AE299" s="1612"/>
      <c r="AF299" s="1610"/>
      <c r="AG299" s="1470"/>
      <c r="AH299" s="1613"/>
      <c r="AI299" s="1613"/>
      <c r="AJ299" s="1613"/>
    </row>
    <row r="300" spans="2:37" s="1480" customFormat="1">
      <c r="B300" s="1463"/>
      <c r="C300" s="1607"/>
      <c r="D300" s="1608"/>
      <c r="E300" s="1608"/>
      <c r="F300" s="1608"/>
      <c r="G300" s="1608"/>
      <c r="H300" s="1609"/>
      <c r="I300" s="1609"/>
      <c r="J300" s="1609"/>
      <c r="K300" s="1610"/>
      <c r="L300" s="1611"/>
      <c r="M300" s="952"/>
      <c r="N300" s="953"/>
      <c r="O300" s="953"/>
      <c r="P300" s="952"/>
      <c r="Q300" s="1610"/>
      <c r="R300" s="954"/>
      <c r="S300" s="1610"/>
      <c r="T300" s="1610"/>
      <c r="U300" s="1610"/>
      <c r="V300" s="1612"/>
      <c r="W300" s="1610"/>
      <c r="X300" s="1610"/>
      <c r="Y300" s="952"/>
      <c r="Z300" s="1610"/>
      <c r="AA300" s="954"/>
      <c r="AB300" s="1610"/>
      <c r="AC300" s="1610"/>
      <c r="AD300" s="1610"/>
      <c r="AE300" s="1612"/>
      <c r="AF300" s="1610"/>
      <c r="AG300" s="1470"/>
      <c r="AH300" s="1613"/>
      <c r="AI300" s="1613"/>
      <c r="AJ300" s="1613"/>
    </row>
    <row r="301" spans="2:37" s="1480" customFormat="1">
      <c r="B301" s="2238" t="s">
        <v>32</v>
      </c>
      <c r="C301" s="2239" t="s">
        <v>31</v>
      </c>
      <c r="D301" s="2239" t="s">
        <v>30</v>
      </c>
      <c r="E301" s="2240" t="s">
        <v>242</v>
      </c>
      <c r="F301" s="2240"/>
      <c r="G301" s="2240"/>
      <c r="H301" s="2241" t="s">
        <v>29</v>
      </c>
      <c r="I301" s="2241"/>
      <c r="J301" s="2241"/>
      <c r="K301" s="2237" t="s">
        <v>243</v>
      </c>
      <c r="L301" s="2237"/>
      <c r="M301" s="2237"/>
      <c r="N301" s="2237"/>
      <c r="O301" s="2237"/>
      <c r="P301" s="2237"/>
      <c r="Q301" s="2237"/>
      <c r="R301" s="2237"/>
      <c r="S301" s="2237"/>
      <c r="T301" s="2237"/>
      <c r="U301" s="2237"/>
      <c r="V301" s="2237"/>
      <c r="W301" s="2237"/>
      <c r="X301" s="2237"/>
      <c r="Y301" s="2237" t="s">
        <v>27</v>
      </c>
      <c r="Z301" s="2237"/>
      <c r="AA301" s="2237"/>
      <c r="AB301" s="2237"/>
      <c r="AC301" s="2237"/>
      <c r="AD301" s="2237"/>
      <c r="AE301" s="2237"/>
      <c r="AF301" s="2237"/>
      <c r="AG301" s="1481"/>
      <c r="AH301" s="1642" t="s">
        <v>244</v>
      </c>
      <c r="AI301" s="1642" t="s">
        <v>245</v>
      </c>
      <c r="AJ301" s="1642" t="s">
        <v>246</v>
      </c>
      <c r="AK301" s="1463"/>
    </row>
    <row r="302" spans="2:37" s="1480" customFormat="1" ht="33">
      <c r="B302" s="2238"/>
      <c r="C302" s="2239"/>
      <c r="D302" s="2239"/>
      <c r="E302" s="1542" t="s">
        <v>247</v>
      </c>
      <c r="F302" s="1543" t="s">
        <v>248</v>
      </c>
      <c r="G302" s="1544" t="s">
        <v>249</v>
      </c>
      <c r="H302" s="1482" t="s">
        <v>26</v>
      </c>
      <c r="I302" s="1483" t="s">
        <v>25</v>
      </c>
      <c r="J302" s="1484" t="s">
        <v>250</v>
      </c>
      <c r="K302" s="1485" t="s">
        <v>23</v>
      </c>
      <c r="L302" s="1485" t="s">
        <v>22</v>
      </c>
      <c r="M302" s="1485" t="s">
        <v>251</v>
      </c>
      <c r="N302" s="1485" t="s">
        <v>20</v>
      </c>
      <c r="O302" s="1485" t="s">
        <v>19</v>
      </c>
      <c r="P302" s="1485" t="s">
        <v>18</v>
      </c>
      <c r="Q302" s="1485" t="s">
        <v>17</v>
      </c>
      <c r="R302" s="1486" t="s">
        <v>16</v>
      </c>
      <c r="S302" s="1487" t="s">
        <v>15</v>
      </c>
      <c r="T302" s="1486" t="s">
        <v>14</v>
      </c>
      <c r="U302" s="1486" t="s">
        <v>13</v>
      </c>
      <c r="V302" s="1486" t="s">
        <v>12</v>
      </c>
      <c r="W302" s="1643" t="s">
        <v>3</v>
      </c>
      <c r="X302" s="1489" t="s">
        <v>11</v>
      </c>
      <c r="Y302" s="1573" t="s">
        <v>10</v>
      </c>
      <c r="Z302" s="1574" t="s">
        <v>9</v>
      </c>
      <c r="AA302" s="1575" t="s">
        <v>8</v>
      </c>
      <c r="AB302" s="1575" t="s">
        <v>7</v>
      </c>
      <c r="AC302" s="1575" t="s">
        <v>6</v>
      </c>
      <c r="AD302" s="1575" t="s">
        <v>5</v>
      </c>
      <c r="AE302" s="1575" t="s">
        <v>4</v>
      </c>
      <c r="AF302" s="1576" t="s">
        <v>3</v>
      </c>
      <c r="AG302" s="1481"/>
      <c r="AH302" s="1644"/>
      <c r="AI302" s="1645"/>
      <c r="AJ302" s="1534"/>
      <c r="AK302" s="1463"/>
    </row>
    <row r="303" spans="2:37" s="1480" customFormat="1">
      <c r="B303" s="1494" t="s">
        <v>344</v>
      </c>
      <c r="C303" s="1583" t="s">
        <v>806</v>
      </c>
      <c r="D303" s="1549" t="s">
        <v>345</v>
      </c>
      <c r="E303" s="1549"/>
      <c r="F303" s="1549"/>
      <c r="G303" s="1581"/>
      <c r="H303" s="913">
        <f>I303+J303</f>
        <v>8698107.0999999996</v>
      </c>
      <c r="I303" s="914">
        <f>AI303+AJ303</f>
        <v>5328047.0999999996</v>
      </c>
      <c r="J303" s="915">
        <f>AH303</f>
        <v>3370060</v>
      </c>
      <c r="K303" s="1584">
        <v>9531100</v>
      </c>
      <c r="L303" s="916">
        <f>H303/K303</f>
        <v>0.91260264817282366</v>
      </c>
      <c r="M303" s="1584">
        <v>932502</v>
      </c>
      <c r="N303" s="917">
        <f t="shared" ref="N303:N308" si="160">M303/K303</f>
        <v>9.7837815152500757E-2</v>
      </c>
      <c r="O303" s="918">
        <f t="shared" ref="O303:O308" si="161">P303/M303</f>
        <v>4.4292666396425963E-2</v>
      </c>
      <c r="P303" s="1584">
        <v>41303</v>
      </c>
      <c r="Q303" s="1584">
        <v>31220</v>
      </c>
      <c r="R303" s="918">
        <f t="shared" ref="R303:R308" si="162">Q303/P303</f>
        <v>0.75587729704864048</v>
      </c>
      <c r="S303" s="919">
        <f>H303/P303</f>
        <v>210.59262281190229</v>
      </c>
      <c r="T303" s="920">
        <f>H303/Q303</f>
        <v>278.60688981422163</v>
      </c>
      <c r="U303" s="920">
        <f>X303*Q303</f>
        <v>31688300</v>
      </c>
      <c r="V303" s="921">
        <f>U303/H303</f>
        <v>3.6431259854227367</v>
      </c>
      <c r="W303" s="1585">
        <v>720</v>
      </c>
      <c r="X303" s="2229">
        <v>1015</v>
      </c>
      <c r="Y303" s="1586">
        <v>3317</v>
      </c>
      <c r="Z303" s="1584">
        <v>2586</v>
      </c>
      <c r="AA303" s="918">
        <f>Z303/Y303</f>
        <v>0.77962013867952973</v>
      </c>
      <c r="AB303" s="922">
        <f>H303/Y303</f>
        <v>2622.2813084112149</v>
      </c>
      <c r="AC303" s="922">
        <f>H303/Z303</f>
        <v>3363.5371616395978</v>
      </c>
      <c r="AD303" s="920">
        <f>Z303*AF303</f>
        <v>1861920</v>
      </c>
      <c r="AE303" s="923">
        <f>AD303/H303</f>
        <v>0.21406036722633595</v>
      </c>
      <c r="AF303" s="1587">
        <v>720</v>
      </c>
      <c r="AG303" s="1588" t="s">
        <v>282</v>
      </c>
      <c r="AH303" s="1567">
        <v>3370060</v>
      </c>
      <c r="AI303" s="1534">
        <v>2443430</v>
      </c>
      <c r="AJ303" s="1534">
        <v>2884617.1</v>
      </c>
      <c r="AK303" s="1463"/>
    </row>
    <row r="304" spans="2:37" s="1480" customFormat="1">
      <c r="B304" s="1494" t="s">
        <v>344</v>
      </c>
      <c r="C304" s="1583" t="s">
        <v>823</v>
      </c>
      <c r="D304" s="1549" t="s">
        <v>346</v>
      </c>
      <c r="E304" s="1549"/>
      <c r="F304" s="1549"/>
      <c r="G304" s="1581"/>
      <c r="H304" s="913">
        <f>I304+J304</f>
        <v>4699962.8254393628</v>
      </c>
      <c r="I304" s="914">
        <f t="shared" ref="I304:I306" si="163">AI304+AJ304</f>
        <v>1854693.8254393628</v>
      </c>
      <c r="J304" s="915">
        <f t="shared" ref="J304:J306" si="164">AH304</f>
        <v>2845269</v>
      </c>
      <c r="K304" s="1584">
        <v>8594352</v>
      </c>
      <c r="L304" s="916">
        <f>H304/K304</f>
        <v>0.54686645664959532</v>
      </c>
      <c r="M304" s="1584">
        <v>838690</v>
      </c>
      <c r="N304" s="917">
        <f t="shared" si="160"/>
        <v>9.7586182181041689E-2</v>
      </c>
      <c r="O304" s="918">
        <f t="shared" si="161"/>
        <v>3.9850242640308099E-2</v>
      </c>
      <c r="P304" s="1584">
        <v>33422</v>
      </c>
      <c r="Q304" s="1584">
        <v>25586</v>
      </c>
      <c r="R304" s="918">
        <f t="shared" si="162"/>
        <v>0.76554365388067735</v>
      </c>
      <c r="S304" s="919">
        <f>H304/P304</f>
        <v>140.62482273470656</v>
      </c>
      <c r="T304" s="920">
        <f>H304/Q304</f>
        <v>183.69275484403045</v>
      </c>
      <c r="U304" s="920">
        <f>X303*Q304</f>
        <v>25969790</v>
      </c>
      <c r="V304" s="921">
        <f>U304/H304</f>
        <v>5.5255309381244491</v>
      </c>
      <c r="W304" s="1585">
        <v>990</v>
      </c>
      <c r="X304" s="2229"/>
      <c r="Y304" s="1586">
        <v>5928</v>
      </c>
      <c r="Z304" s="1584">
        <v>4665</v>
      </c>
      <c r="AA304" s="918">
        <f>Z304/Y304</f>
        <v>0.78694331983805665</v>
      </c>
      <c r="AB304" s="922">
        <f>H304/Y304</f>
        <v>792.84123236156597</v>
      </c>
      <c r="AC304" s="922">
        <f>H304/Z304</f>
        <v>1007.4947107051153</v>
      </c>
      <c r="AD304" s="920">
        <f>Z304*AF304</f>
        <v>4618350</v>
      </c>
      <c r="AE304" s="923">
        <f>AD304/H304</f>
        <v>0.98263543171073198</v>
      </c>
      <c r="AF304" s="1587">
        <v>990</v>
      </c>
      <c r="AG304" s="1588" t="s">
        <v>282</v>
      </c>
      <c r="AH304" s="1567">
        <v>2845269</v>
      </c>
      <c r="AI304" s="1534">
        <v>526309.14543936297</v>
      </c>
      <c r="AJ304" s="1534">
        <v>1328384.68</v>
      </c>
      <c r="AK304" s="1463"/>
    </row>
    <row r="305" spans="2:37" s="1480" customFormat="1">
      <c r="B305" s="1494" t="s">
        <v>344</v>
      </c>
      <c r="C305" s="1583" t="s">
        <v>807</v>
      </c>
      <c r="D305" s="1549" t="s">
        <v>345</v>
      </c>
      <c r="E305" s="1549"/>
      <c r="F305" s="1549"/>
      <c r="G305" s="1581"/>
      <c r="H305" s="913">
        <f t="shared" ref="H305:H307" si="165">I305+J305</f>
        <v>11457859.640000004</v>
      </c>
      <c r="I305" s="914">
        <f t="shared" si="163"/>
        <v>5970901.6400000053</v>
      </c>
      <c r="J305" s="915">
        <f t="shared" si="164"/>
        <v>5486958</v>
      </c>
      <c r="K305" s="1584">
        <v>10633265</v>
      </c>
      <c r="L305" s="916">
        <f>H305/K305</f>
        <v>1.077548583619425</v>
      </c>
      <c r="M305" s="1584">
        <v>1391926</v>
      </c>
      <c r="N305" s="917">
        <f t="shared" si="160"/>
        <v>0.13090297288744332</v>
      </c>
      <c r="O305" s="918">
        <f t="shared" si="161"/>
        <v>6.0030490126630295E-2</v>
      </c>
      <c r="P305" s="1584">
        <v>83558</v>
      </c>
      <c r="Q305" s="1584">
        <v>60908</v>
      </c>
      <c r="R305" s="918">
        <f t="shared" si="162"/>
        <v>0.72893080255630816</v>
      </c>
      <c r="S305" s="919">
        <f>H305/P305</f>
        <v>137.12462768376463</v>
      </c>
      <c r="T305" s="920">
        <f>H305/Q305</f>
        <v>188.11748276088534</v>
      </c>
      <c r="U305" s="920">
        <f>X303*Q305</f>
        <v>61821620</v>
      </c>
      <c r="V305" s="921">
        <f>U305/H305</f>
        <v>5.3955644371988463</v>
      </c>
      <c r="W305" s="1585">
        <v>1820</v>
      </c>
      <c r="X305" s="2229"/>
      <c r="Y305" s="1586">
        <v>4755</v>
      </c>
      <c r="Z305" s="1584">
        <v>3726</v>
      </c>
      <c r="AA305" s="918">
        <f t="shared" ref="AA305:AA307" si="166">Z305/Y305</f>
        <v>0.783596214511041</v>
      </c>
      <c r="AB305" s="922">
        <f>H305/Y305</f>
        <v>2409.6445089379608</v>
      </c>
      <c r="AC305" s="922">
        <f>H305/Z305</f>
        <v>3075.1099409554495</v>
      </c>
      <c r="AD305" s="920">
        <f t="shared" ref="AD305:AD307" si="167">Z305*AF305</f>
        <v>6781320</v>
      </c>
      <c r="AE305" s="923">
        <f>AD305/H305</f>
        <v>0.59184875823806105</v>
      </c>
      <c r="AF305" s="1587">
        <v>1820</v>
      </c>
      <c r="AG305" s="1614" t="s">
        <v>257</v>
      </c>
      <c r="AH305" s="1567">
        <v>5486958</v>
      </c>
      <c r="AI305" s="1567">
        <f>863.16301886793*1060</f>
        <v>914952.80000000575</v>
      </c>
      <c r="AJ305" s="1534">
        <v>5055948.84</v>
      </c>
      <c r="AK305" s="1463"/>
    </row>
    <row r="306" spans="2:37" s="1480" customFormat="1">
      <c r="B306" s="1618" t="s">
        <v>347</v>
      </c>
      <c r="C306" s="1619" t="s">
        <v>797</v>
      </c>
      <c r="D306" s="1620" t="s">
        <v>348</v>
      </c>
      <c r="E306" s="1620"/>
      <c r="F306" s="1620"/>
      <c r="G306" s="1620"/>
      <c r="H306" s="955">
        <f t="shared" si="165"/>
        <v>11165644.001</v>
      </c>
      <c r="I306" s="956">
        <f t="shared" si="163"/>
        <v>6660215.9249999998</v>
      </c>
      <c r="J306" s="957">
        <f t="shared" si="164"/>
        <v>4505428.0760000004</v>
      </c>
      <c r="K306" s="1606">
        <v>13472946</v>
      </c>
      <c r="L306" s="924">
        <f>H306/K306</f>
        <v>0.82874554689078395</v>
      </c>
      <c r="M306" s="1606">
        <v>1517257</v>
      </c>
      <c r="N306" s="958">
        <f t="shared" si="160"/>
        <v>0.11261508804384728</v>
      </c>
      <c r="O306" s="959">
        <f t="shared" si="161"/>
        <v>7.1281266126964643E-2</v>
      </c>
      <c r="P306" s="1606">
        <v>108152</v>
      </c>
      <c r="Q306" s="1606">
        <v>81634</v>
      </c>
      <c r="R306" s="868">
        <f t="shared" si="162"/>
        <v>0.75480804793253942</v>
      </c>
      <c r="S306" s="960">
        <f>H306/P306</f>
        <v>103.24029145092092</v>
      </c>
      <c r="T306" s="870">
        <f>H306/Q306</f>
        <v>136.77688219369381</v>
      </c>
      <c r="U306" s="961">
        <f>X303*Q306</f>
        <v>82858510</v>
      </c>
      <c r="V306" s="962">
        <f>U306/H306</f>
        <v>7.4208446904253043</v>
      </c>
      <c r="W306" s="1646">
        <v>490</v>
      </c>
      <c r="X306" s="2229"/>
      <c r="Y306" s="1622">
        <v>42090</v>
      </c>
      <c r="Z306" s="1606">
        <v>33823</v>
      </c>
      <c r="AA306" s="959">
        <f t="shared" si="166"/>
        <v>0.80358755048705155</v>
      </c>
      <c r="AB306" s="963">
        <f>H306/Y306</f>
        <v>265.28020909954859</v>
      </c>
      <c r="AC306" s="873">
        <f>H306/Z306</f>
        <v>330.11985929692815</v>
      </c>
      <c r="AD306" s="961">
        <f t="shared" si="167"/>
        <v>16573270</v>
      </c>
      <c r="AE306" s="964">
        <f>AD306/H306</f>
        <v>1.4843093688564395</v>
      </c>
      <c r="AF306" s="1647">
        <v>490</v>
      </c>
      <c r="AG306" s="876" t="s">
        <v>349</v>
      </c>
      <c r="AH306" s="1567">
        <v>4505428.0760000004</v>
      </c>
      <c r="AI306" s="1534">
        <v>2306641</v>
      </c>
      <c r="AJ306" s="1534">
        <v>4353574.9249999998</v>
      </c>
      <c r="AK306" s="1463"/>
    </row>
    <row r="307" spans="2:37" s="1480" customFormat="1">
      <c r="B307" s="1502"/>
      <c r="C307" s="1503" t="s">
        <v>0</v>
      </c>
      <c r="D307" s="1503"/>
      <c r="E307" s="1503"/>
      <c r="F307" s="1503"/>
      <c r="G307" s="1565"/>
      <c r="H307" s="882">
        <f t="shared" si="165"/>
        <v>36021573.566439368</v>
      </c>
      <c r="I307" s="883">
        <f>SUM(I303:I306)</f>
        <v>19813858.490439367</v>
      </c>
      <c r="J307" s="884">
        <f>SUM(J303:J306)</f>
        <v>16207715.076000001</v>
      </c>
      <c r="K307" s="885">
        <f>SUM(K303:K306)</f>
        <v>42231663</v>
      </c>
      <c r="L307" s="886">
        <f>H307/K307</f>
        <v>0.85295181405570908</v>
      </c>
      <c r="M307" s="883">
        <f>SUM(M303:M306)</f>
        <v>4680375</v>
      </c>
      <c r="N307" s="887">
        <f t="shared" si="160"/>
        <v>0.11082620639400348</v>
      </c>
      <c r="O307" s="887">
        <f t="shared" si="161"/>
        <v>5.6925994177816949E-2</v>
      </c>
      <c r="P307" s="883">
        <f>SUM(P303:P306)</f>
        <v>266435</v>
      </c>
      <c r="Q307" s="883">
        <f>SUM(Q303:Q306)</f>
        <v>199348</v>
      </c>
      <c r="R307" s="887">
        <f t="shared" si="162"/>
        <v>0.74820500309644</v>
      </c>
      <c r="S307" s="1626">
        <f>H307/P307</f>
        <v>135.19835444457135</v>
      </c>
      <c r="T307" s="1626">
        <f>H307/Q307</f>
        <v>180.69693985612781</v>
      </c>
      <c r="U307" s="1627">
        <f>Q307*$X$281</f>
        <v>0</v>
      </c>
      <c r="V307" s="888">
        <f>U307/H307</f>
        <v>0</v>
      </c>
      <c r="W307" s="1628">
        <f>X303</f>
        <v>1015</v>
      </c>
      <c r="X307" s="2229"/>
      <c r="Y307" s="970">
        <f>SUM(Y303:Y306)</f>
        <v>56090</v>
      </c>
      <c r="Z307" s="883">
        <f>SUM(Z303:Z306)</f>
        <v>44800</v>
      </c>
      <c r="AA307" s="889">
        <f t="shared" si="166"/>
        <v>0.79871634872526298</v>
      </c>
      <c r="AB307" s="1507">
        <f>H307/Y307</f>
        <v>642.21026148046656</v>
      </c>
      <c r="AC307" s="1507">
        <f>H307/Z307</f>
        <v>804.05298139373588</v>
      </c>
      <c r="AD307" s="1508">
        <f t="shared" si="167"/>
        <v>45472000</v>
      </c>
      <c r="AE307" s="908">
        <f>AD307/H307</f>
        <v>1.2623546252395097</v>
      </c>
      <c r="AF307" s="1509">
        <v>1015</v>
      </c>
      <c r="AG307" s="1510"/>
      <c r="AH307" s="1518"/>
      <c r="AI307" s="1519"/>
      <c r="AJ307" s="1463"/>
      <c r="AK307" s="1463"/>
    </row>
    <row r="308" spans="2:37" s="1480" customFormat="1">
      <c r="B308" s="1512"/>
      <c r="C308" s="1513" t="s">
        <v>260</v>
      </c>
      <c r="D308" s="1513"/>
      <c r="E308" s="1513"/>
      <c r="F308" s="1513"/>
      <c r="G308" s="1513"/>
      <c r="H308" s="893"/>
      <c r="I308" s="894"/>
      <c r="J308" s="894"/>
      <c r="K308" s="894">
        <v>34639561</v>
      </c>
      <c r="L308" s="895">
        <f>H307/K308</f>
        <v>1.0398969422978359</v>
      </c>
      <c r="M308" s="894">
        <v>3732848</v>
      </c>
      <c r="N308" s="896">
        <f t="shared" si="160"/>
        <v>0.10776256662144189</v>
      </c>
      <c r="O308" s="896">
        <f t="shared" si="161"/>
        <v>5.7530603978517204E-2</v>
      </c>
      <c r="P308" s="894">
        <v>214753</v>
      </c>
      <c r="Q308" s="894">
        <v>162792</v>
      </c>
      <c r="R308" s="896">
        <f t="shared" si="162"/>
        <v>0.75804296098308288</v>
      </c>
      <c r="S308" s="1629">
        <f>H307/P308</f>
        <v>167.73490273215913</v>
      </c>
      <c r="T308" s="1629">
        <f>H307/Q308</f>
        <v>221.27361029067379</v>
      </c>
      <c r="U308" s="1648">
        <f>Q308*$X$281</f>
        <v>0</v>
      </c>
      <c r="V308" s="897">
        <f>U308/H307</f>
        <v>0</v>
      </c>
      <c r="W308" s="1516">
        <f>W307</f>
        <v>1015</v>
      </c>
      <c r="X308" s="1516"/>
      <c r="Y308" s="894"/>
      <c r="Z308" s="894"/>
      <c r="AA308" s="896"/>
      <c r="AB308" s="1517"/>
      <c r="AC308" s="1517"/>
      <c r="AD308" s="1516"/>
      <c r="AE308" s="898"/>
      <c r="AF308" s="1516"/>
      <c r="AG308" s="1510"/>
      <c r="AH308" s="1518"/>
      <c r="AI308" s="1519"/>
      <c r="AJ308" s="1463"/>
      <c r="AK308" s="1463"/>
    </row>
    <row r="309" spans="2:37" s="1480" customFormat="1">
      <c r="B309" s="1463"/>
      <c r="C309" s="1465"/>
      <c r="D309" s="1465"/>
      <c r="E309" s="1465"/>
      <c r="F309" s="1465"/>
      <c r="G309" s="1465"/>
      <c r="H309" s="1465"/>
      <c r="I309" s="1465"/>
      <c r="J309" s="1465"/>
      <c r="K309" s="966"/>
      <c r="L309" s="1630"/>
      <c r="M309" s="1649"/>
      <c r="N309" s="967">
        <v>9.8619719777827797E-2</v>
      </c>
      <c r="O309" s="1631">
        <v>5.1944872326087299E-2</v>
      </c>
      <c r="P309" s="1463"/>
      <c r="Q309" s="1463"/>
      <c r="R309" s="891"/>
      <c r="S309" s="1463"/>
      <c r="T309" s="1463"/>
      <c r="U309" s="1463"/>
      <c r="V309" s="1463"/>
      <c r="W309" s="1463"/>
      <c r="X309" s="1463"/>
      <c r="Y309" s="1511"/>
      <c r="Z309" s="1511"/>
      <c r="AA309" s="1463"/>
      <c r="AB309" s="1463"/>
      <c r="AC309" s="1463"/>
      <c r="AD309" s="1463"/>
      <c r="AE309" s="1463"/>
      <c r="AF309" s="1463"/>
      <c r="AG309" s="1633"/>
      <c r="AH309" s="1463"/>
      <c r="AI309" s="1463"/>
      <c r="AJ309" s="1463"/>
      <c r="AK309" s="1463"/>
    </row>
    <row r="310" spans="2:37" s="1480" customFormat="1">
      <c r="B310" s="1472"/>
      <c r="C310" s="1465"/>
      <c r="D310" s="1465"/>
      <c r="E310" s="1465"/>
      <c r="F310" s="1465"/>
      <c r="G310" s="1465"/>
      <c r="H310" s="1466"/>
      <c r="I310" s="1466"/>
      <c r="J310" s="1466"/>
      <c r="K310" s="1467"/>
      <c r="L310" s="1468"/>
      <c r="M310" s="1467"/>
      <c r="N310" s="968">
        <v>5.1321679348466397E-2</v>
      </c>
      <c r="O310" s="968">
        <v>6.5706596103176501E-2</v>
      </c>
      <c r="P310" s="1467"/>
      <c r="Q310" s="1467"/>
      <c r="R310" s="845"/>
      <c r="S310" s="1467"/>
      <c r="T310" s="1467"/>
      <c r="U310" s="1467"/>
      <c r="V310" s="1469"/>
      <c r="W310" s="1467"/>
      <c r="X310" s="1467"/>
      <c r="Y310" s="1467"/>
      <c r="Z310" s="1467"/>
      <c r="AA310" s="845"/>
      <c r="AB310" s="1467"/>
      <c r="AC310" s="1467"/>
      <c r="AD310" s="1467"/>
      <c r="AE310" s="1469"/>
      <c r="AF310" s="1467"/>
      <c r="AG310" s="1470"/>
      <c r="AH310" s="1471"/>
      <c r="AI310" s="1471"/>
      <c r="AJ310" s="1471"/>
      <c r="AK310" s="1463"/>
    </row>
    <row r="311" spans="2:37" s="1480" customFormat="1">
      <c r="B311" s="1472"/>
      <c r="C311" s="1465"/>
      <c r="D311" s="1465"/>
      <c r="E311" s="1465"/>
      <c r="F311" s="1465"/>
      <c r="G311" s="1465"/>
      <c r="H311" s="1466"/>
      <c r="I311" s="1466"/>
      <c r="J311" s="1466"/>
      <c r="K311" s="1467"/>
      <c r="L311" s="1468"/>
      <c r="M311" s="1467"/>
      <c r="N311" s="845"/>
      <c r="O311" s="845"/>
      <c r="P311" s="1467"/>
      <c r="Q311" s="1467"/>
      <c r="R311" s="845"/>
      <c r="S311" s="1467"/>
      <c r="T311" s="1467"/>
      <c r="U311" s="1467"/>
      <c r="V311" s="1469"/>
      <c r="W311" s="1467"/>
      <c r="X311" s="1467"/>
      <c r="Y311" s="1467"/>
      <c r="Z311" s="1467"/>
      <c r="AA311" s="845"/>
      <c r="AB311" s="1467"/>
      <c r="AC311" s="1467"/>
      <c r="AD311" s="1467"/>
      <c r="AE311" s="1469"/>
      <c r="AF311" s="1467"/>
      <c r="AG311" s="1470"/>
      <c r="AH311" s="1471"/>
      <c r="AI311" s="1471"/>
      <c r="AJ311" s="1471"/>
      <c r="AK311" s="1463"/>
    </row>
    <row r="312" spans="2:37" s="1480" customFormat="1">
      <c r="B312" s="1472"/>
      <c r="C312" s="1465"/>
      <c r="D312" s="1465"/>
      <c r="E312" s="1465"/>
      <c r="F312" s="1465"/>
      <c r="G312" s="1465"/>
      <c r="H312" s="1466"/>
      <c r="I312" s="1466"/>
      <c r="J312" s="1466"/>
      <c r="K312" s="1467"/>
      <c r="L312" s="1468"/>
      <c r="M312" s="1467"/>
      <c r="N312" s="845"/>
      <c r="O312" s="845"/>
      <c r="P312" s="1467"/>
      <c r="Q312" s="1467"/>
      <c r="R312" s="845"/>
      <c r="S312" s="1467"/>
      <c r="T312" s="1467"/>
      <c r="U312" s="1467"/>
      <c r="V312" s="1469"/>
      <c r="W312" s="1467"/>
      <c r="X312" s="1467"/>
      <c r="Y312" s="1467"/>
      <c r="Z312" s="1467"/>
      <c r="AA312" s="845"/>
      <c r="AB312" s="1467"/>
      <c r="AC312" s="1467"/>
      <c r="AD312" s="1467"/>
      <c r="AE312" s="1469"/>
      <c r="AF312" s="1467"/>
      <c r="AG312" s="1470"/>
      <c r="AH312" s="1471"/>
      <c r="AI312" s="1471"/>
      <c r="AJ312" s="1471"/>
      <c r="AK312" s="1463"/>
    </row>
    <row r="313" spans="2:37" s="1480" customFormat="1">
      <c r="B313" s="1472"/>
      <c r="C313" s="1465"/>
      <c r="D313" s="1465"/>
      <c r="E313" s="1465"/>
      <c r="F313" s="1465"/>
      <c r="G313" s="1465"/>
      <c r="I313" s="1466"/>
      <c r="J313" s="1466"/>
      <c r="K313" s="1467"/>
      <c r="L313" s="1468"/>
      <c r="M313" s="1467"/>
      <c r="N313" s="845"/>
      <c r="O313" s="845"/>
      <c r="P313" s="1467"/>
      <c r="Q313" s="1467"/>
      <c r="R313" s="845"/>
      <c r="S313" s="1467"/>
      <c r="T313" s="1467"/>
      <c r="U313" s="1467"/>
      <c r="V313" s="1469"/>
      <c r="W313" s="1467"/>
      <c r="X313" s="1467"/>
      <c r="Y313" s="1467"/>
      <c r="Z313" s="1467"/>
      <c r="AA313" s="845"/>
      <c r="AB313" s="1467"/>
      <c r="AC313" s="1467"/>
      <c r="AD313" s="1467"/>
      <c r="AE313" s="1469"/>
      <c r="AF313" s="1467"/>
      <c r="AG313" s="1470"/>
      <c r="AH313" s="1471"/>
      <c r="AI313" s="1471"/>
      <c r="AJ313" s="1471"/>
      <c r="AK313" s="1463"/>
    </row>
    <row r="314" spans="2:37" s="1480" customFormat="1">
      <c r="B314" s="1472"/>
      <c r="C314" s="1465"/>
      <c r="D314" s="1465"/>
      <c r="E314" s="1465"/>
      <c r="F314" s="1465"/>
      <c r="G314" s="1465"/>
      <c r="H314" s="1466"/>
      <c r="I314" s="1466"/>
      <c r="J314" s="1466"/>
      <c r="K314" s="1467"/>
      <c r="L314" s="1468"/>
      <c r="M314" s="1467"/>
      <c r="N314" s="845"/>
      <c r="O314" s="845"/>
      <c r="P314" s="1467"/>
      <c r="Q314" s="1467"/>
      <c r="R314" s="845"/>
      <c r="S314" s="1467"/>
      <c r="T314" s="1467"/>
      <c r="U314" s="1467"/>
      <c r="V314" s="1469"/>
      <c r="W314" s="1467"/>
      <c r="X314" s="1467"/>
      <c r="Y314" s="1467"/>
      <c r="Z314" s="1467"/>
      <c r="AA314" s="845"/>
      <c r="AB314" s="1467"/>
      <c r="AC314" s="1467"/>
      <c r="AD314" s="1467"/>
      <c r="AE314" s="1469"/>
      <c r="AF314" s="1467"/>
      <c r="AG314" s="1470"/>
      <c r="AH314" s="1471"/>
      <c r="AI314" s="1471"/>
      <c r="AJ314" s="1471"/>
      <c r="AK314" s="1463"/>
    </row>
    <row r="315" spans="2:37" s="1480" customFormat="1">
      <c r="B315" s="1472"/>
      <c r="C315" s="1465"/>
      <c r="D315" s="1465"/>
      <c r="E315" s="1465"/>
      <c r="F315" s="1465"/>
      <c r="G315" s="1465"/>
      <c r="H315" s="1466"/>
      <c r="I315" s="1466"/>
      <c r="J315" s="1466"/>
      <c r="K315" s="1467"/>
      <c r="L315" s="1468"/>
      <c r="M315" s="1467"/>
      <c r="N315" s="845"/>
      <c r="O315" s="845"/>
      <c r="P315" s="1467"/>
      <c r="Q315" s="1467"/>
      <c r="R315" s="845"/>
      <c r="S315" s="1467"/>
      <c r="T315" s="1467"/>
      <c r="U315" s="1467"/>
      <c r="V315" s="1469"/>
      <c r="W315" s="1467"/>
      <c r="X315" s="1467"/>
      <c r="Y315" s="1467"/>
      <c r="Z315" s="1467"/>
      <c r="AA315" s="845"/>
      <c r="AB315" s="1467"/>
      <c r="AC315" s="1467"/>
      <c r="AD315" s="1467"/>
      <c r="AE315" s="1469"/>
      <c r="AF315" s="1467"/>
      <c r="AG315" s="1470"/>
      <c r="AH315" s="1471"/>
      <c r="AI315" s="1471"/>
      <c r="AJ315" s="1471"/>
      <c r="AK315" s="1463"/>
    </row>
    <row r="316" spans="2:37" s="1473" customFormat="1" ht="22.5">
      <c r="B316" s="850" t="s">
        <v>822</v>
      </c>
      <c r="C316" s="1474"/>
      <c r="D316" s="1474"/>
      <c r="E316" s="1474"/>
      <c r="F316" s="1474"/>
      <c r="G316" s="1474"/>
      <c r="H316" s="1475"/>
      <c r="I316" s="1476"/>
      <c r="J316" s="1476"/>
      <c r="K316" s="1476"/>
      <c r="L316" s="1477"/>
      <c r="M316" s="1476"/>
      <c r="N316" s="851"/>
      <c r="O316" s="851"/>
      <c r="P316" s="1476"/>
      <c r="Q316" s="1476"/>
      <c r="R316" s="851"/>
      <c r="S316" s="1476"/>
      <c r="T316" s="1476"/>
      <c r="U316" s="1476"/>
      <c r="V316" s="1478"/>
      <c r="W316" s="1476"/>
      <c r="X316" s="1476"/>
      <c r="Y316" s="1476"/>
      <c r="Z316" s="1476"/>
      <c r="AA316" s="851"/>
      <c r="AB316" s="1476"/>
      <c r="AC316" s="1476"/>
      <c r="AD316" s="1476"/>
      <c r="AE316" s="1478"/>
      <c r="AF316" s="1476"/>
      <c r="AG316" s="1479"/>
      <c r="AH316" s="1476"/>
      <c r="AI316" s="1476"/>
      <c r="AJ316" s="1476"/>
    </row>
    <row r="317" spans="2:37" s="950" customFormat="1">
      <c r="B317" s="852" t="s">
        <v>238</v>
      </c>
      <c r="C317" s="853" t="s">
        <v>354</v>
      </c>
      <c r="D317" s="940"/>
      <c r="E317" s="940"/>
      <c r="F317" s="940"/>
      <c r="G317" s="940"/>
      <c r="H317" s="941"/>
      <c r="I317" s="942"/>
      <c r="J317" s="942"/>
      <c r="K317" s="943"/>
      <c r="L317" s="944"/>
      <c r="M317" s="945"/>
      <c r="N317" s="946"/>
      <c r="O317" s="845"/>
      <c r="P317" s="942"/>
      <c r="Q317" s="942"/>
      <c r="R317" s="845"/>
      <c r="S317" s="1467"/>
      <c r="T317" s="1467"/>
      <c r="U317" s="1467"/>
      <c r="V317" s="947"/>
      <c r="W317" s="942"/>
      <c r="X317" s="942"/>
      <c r="Y317" s="942"/>
      <c r="Z317" s="942"/>
      <c r="AA317" s="845"/>
      <c r="AB317" s="942"/>
      <c r="AC317" s="942"/>
      <c r="AD317" s="942"/>
      <c r="AE317" s="947"/>
      <c r="AF317" s="1519"/>
      <c r="AG317" s="948"/>
      <c r="AH317" s="949"/>
      <c r="AI317" s="949"/>
      <c r="AJ317" s="949"/>
    </row>
    <row r="318" spans="2:37" s="950" customFormat="1">
      <c r="B318" s="854" t="s">
        <v>82</v>
      </c>
      <c r="C318" s="855" t="s">
        <v>355</v>
      </c>
      <c r="D318" s="940"/>
      <c r="E318" s="940"/>
      <c r="F318" s="940"/>
      <c r="G318" s="940"/>
      <c r="H318" s="941"/>
      <c r="I318" s="942"/>
      <c r="J318" s="942"/>
      <c r="K318" s="1467"/>
      <c r="L318" s="1468"/>
      <c r="M318" s="1467"/>
      <c r="N318" s="845"/>
      <c r="O318" s="845"/>
      <c r="P318" s="942"/>
      <c r="Q318" s="942"/>
      <c r="R318" s="845"/>
      <c r="S318" s="1467"/>
      <c r="T318" s="1467"/>
      <c r="U318" s="1467"/>
      <c r="V318" s="947"/>
      <c r="W318" s="942"/>
      <c r="X318" s="942"/>
      <c r="Y318" s="942"/>
      <c r="Z318" s="942"/>
      <c r="AA318" s="845"/>
      <c r="AB318" s="942"/>
      <c r="AC318" s="942"/>
      <c r="AD318" s="942"/>
      <c r="AE318" s="947"/>
      <c r="AF318" s="1519"/>
      <c r="AG318" s="948"/>
      <c r="AH318" s="949"/>
      <c r="AI318" s="949"/>
      <c r="AJ318" s="949"/>
    </row>
    <row r="319" spans="2:37" s="1480" customFormat="1">
      <c r="B319" s="1463"/>
      <c r="C319" s="1607"/>
      <c r="D319" s="1608"/>
      <c r="E319" s="1608"/>
      <c r="F319" s="1608"/>
      <c r="G319" s="1608"/>
      <c r="H319" s="1609"/>
      <c r="I319" s="1609"/>
      <c r="J319" s="1609"/>
      <c r="K319" s="1610"/>
      <c r="L319" s="1611"/>
      <c r="M319" s="952"/>
      <c r="N319" s="953"/>
      <c r="O319" s="953"/>
      <c r="P319" s="952"/>
      <c r="Q319" s="1610"/>
      <c r="R319" s="954"/>
      <c r="S319" s="1610"/>
      <c r="T319" s="1610"/>
      <c r="U319" s="1610"/>
      <c r="V319" s="1612"/>
      <c r="W319" s="1610"/>
      <c r="X319" s="1610"/>
      <c r="Y319" s="952"/>
      <c r="Z319" s="1610"/>
      <c r="AA319" s="954"/>
      <c r="AB319" s="1610"/>
      <c r="AC319" s="1610"/>
      <c r="AD319" s="1610"/>
      <c r="AE319" s="1612"/>
      <c r="AF319" s="1610"/>
      <c r="AG319" s="1470"/>
      <c r="AH319" s="1613"/>
      <c r="AI319" s="1613"/>
      <c r="AJ319" s="1613"/>
    </row>
    <row r="320" spans="2:37">
      <c r="B320" s="1472"/>
      <c r="E320" s="1465"/>
      <c r="F320" s="1465"/>
      <c r="G320" s="1465"/>
      <c r="H320" s="1466"/>
      <c r="I320" s="1466"/>
      <c r="J320" s="1466"/>
      <c r="K320" s="1467"/>
      <c r="L320" s="1468"/>
      <c r="N320" s="845"/>
      <c r="R320" s="845"/>
      <c r="S320" s="1467"/>
      <c r="V320" s="1469"/>
      <c r="X320" s="1467"/>
      <c r="AA320" s="845"/>
      <c r="AB320" s="1467"/>
      <c r="AD320" s="1467"/>
      <c r="AE320" s="1469"/>
      <c r="AF320" s="1467"/>
      <c r="AG320" s="1470"/>
      <c r="AH320" s="1471"/>
      <c r="AI320" s="1471"/>
      <c r="AJ320" s="1471"/>
    </row>
    <row r="321" spans="2:36" ht="35.25" customHeight="1">
      <c r="B321" s="2232" t="s">
        <v>32</v>
      </c>
      <c r="C321" s="2233" t="s">
        <v>31</v>
      </c>
      <c r="D321" s="2233" t="s">
        <v>30</v>
      </c>
      <c r="E321" s="2234" t="s">
        <v>242</v>
      </c>
      <c r="F321" s="2234"/>
      <c r="G321" s="2234"/>
      <c r="H321" s="2235" t="s">
        <v>29</v>
      </c>
      <c r="I321" s="2235"/>
      <c r="J321" s="2235"/>
      <c r="K321" s="2236" t="s">
        <v>243</v>
      </c>
      <c r="L321" s="2236"/>
      <c r="M321" s="2236"/>
      <c r="N321" s="2236"/>
      <c r="O321" s="2236"/>
      <c r="P321" s="2236"/>
      <c r="Q321" s="2236"/>
      <c r="R321" s="2236"/>
      <c r="S321" s="2236"/>
      <c r="T321" s="2236"/>
      <c r="U321" s="2236"/>
      <c r="V321" s="2236"/>
      <c r="W321" s="2236"/>
      <c r="X321" s="2236"/>
      <c r="Y321" s="2236" t="s">
        <v>27</v>
      </c>
      <c r="Z321" s="2236"/>
      <c r="AA321" s="2236"/>
      <c r="AB321" s="2236"/>
      <c r="AC321" s="2236"/>
      <c r="AD321" s="2236"/>
      <c r="AE321" s="2236"/>
      <c r="AF321" s="2236"/>
      <c r="AG321" s="1481"/>
      <c r="AH321" s="1642" t="s">
        <v>244</v>
      </c>
      <c r="AI321" s="1642" t="s">
        <v>245</v>
      </c>
      <c r="AJ321" s="1642" t="s">
        <v>246</v>
      </c>
    </row>
    <row r="322" spans="2:36" ht="33">
      <c r="B322" s="2232"/>
      <c r="C322" s="2233"/>
      <c r="D322" s="2233"/>
      <c r="E322" s="1650" t="s">
        <v>247</v>
      </c>
      <c r="F322" s="1651" t="s">
        <v>248</v>
      </c>
      <c r="G322" s="1652" t="s">
        <v>249</v>
      </c>
      <c r="H322" s="1653" t="s">
        <v>26</v>
      </c>
      <c r="I322" s="1654" t="s">
        <v>25</v>
      </c>
      <c r="J322" s="1655" t="s">
        <v>250</v>
      </c>
      <c r="K322" s="1656" t="s">
        <v>23</v>
      </c>
      <c r="L322" s="1656" t="s">
        <v>22</v>
      </c>
      <c r="M322" s="1656" t="s">
        <v>251</v>
      </c>
      <c r="N322" s="1656" t="s">
        <v>20</v>
      </c>
      <c r="O322" s="1656" t="s">
        <v>19</v>
      </c>
      <c r="P322" s="1656" t="s">
        <v>18</v>
      </c>
      <c r="Q322" s="1656" t="s">
        <v>17</v>
      </c>
      <c r="R322" s="1657" t="s">
        <v>16</v>
      </c>
      <c r="S322" s="1658" t="s">
        <v>15</v>
      </c>
      <c r="T322" s="1657" t="s">
        <v>14</v>
      </c>
      <c r="U322" s="1657" t="s">
        <v>13</v>
      </c>
      <c r="V322" s="1657" t="s">
        <v>12</v>
      </c>
      <c r="W322" s="1659" t="s">
        <v>3</v>
      </c>
      <c r="X322" s="1660" t="s">
        <v>11</v>
      </c>
      <c r="Y322" s="1661" t="s">
        <v>10</v>
      </c>
      <c r="Z322" s="1662" t="s">
        <v>9</v>
      </c>
      <c r="AA322" s="1663" t="s">
        <v>8</v>
      </c>
      <c r="AB322" s="1663" t="s">
        <v>7</v>
      </c>
      <c r="AC322" s="1663" t="s">
        <v>6</v>
      </c>
      <c r="AD322" s="1663" t="s">
        <v>5</v>
      </c>
      <c r="AE322" s="1663" t="s">
        <v>4</v>
      </c>
      <c r="AF322" s="1664" t="s">
        <v>3</v>
      </c>
      <c r="AG322" s="1481"/>
      <c r="AH322" s="1644"/>
      <c r="AI322" s="1645"/>
      <c r="AJ322" s="1534"/>
    </row>
    <row r="323" spans="2:36">
      <c r="B323" s="1494" t="s">
        <v>344</v>
      </c>
      <c r="C323" s="1495" t="s">
        <v>806</v>
      </c>
      <c r="D323" s="1620" t="s">
        <v>345</v>
      </c>
      <c r="E323" s="1620"/>
      <c r="F323" s="1620"/>
      <c r="G323" s="1665"/>
      <c r="H323" s="971">
        <f>I323+J323</f>
        <v>8698107.0999999996</v>
      </c>
      <c r="I323" s="863">
        <f>AI323+AJ323</f>
        <v>5328047.0999999996</v>
      </c>
      <c r="J323" s="972">
        <f>AH323</f>
        <v>3370060</v>
      </c>
      <c r="K323" s="1606">
        <v>9531100</v>
      </c>
      <c r="L323" s="924">
        <f>H323/K323</f>
        <v>0.91260264817282366</v>
      </c>
      <c r="M323" s="1606">
        <v>932502</v>
      </c>
      <c r="N323" s="958">
        <f t="shared" ref="N323:N328" si="168">M323/K323</f>
        <v>9.7837815152500757E-2</v>
      </c>
      <c r="O323" s="959">
        <f t="shared" ref="O323:O328" si="169">P323/M323</f>
        <v>4.4292666396425963E-2</v>
      </c>
      <c r="P323" s="1606">
        <v>41303</v>
      </c>
      <c r="Q323" s="1606">
        <v>31220</v>
      </c>
      <c r="R323" s="868">
        <f t="shared" ref="R323:R328" si="170">Q323/P323</f>
        <v>0.75587729704864048</v>
      </c>
      <c r="S323" s="960">
        <f>H323/P323</f>
        <v>210.59262281190229</v>
      </c>
      <c r="T323" s="870">
        <f>H323/Q323</f>
        <v>278.60688981422163</v>
      </c>
      <c r="U323" s="961">
        <f>X323*Q323</f>
        <v>31688300</v>
      </c>
      <c r="V323" s="962">
        <f>U323/H323</f>
        <v>3.6431259854227367</v>
      </c>
      <c r="W323" s="1666">
        <v>720</v>
      </c>
      <c r="X323" s="2229">
        <v>1015</v>
      </c>
      <c r="Y323" s="1622">
        <v>3317</v>
      </c>
      <c r="Z323" s="1606">
        <v>2586</v>
      </c>
      <c r="AA323" s="959">
        <f>Z323/Y323</f>
        <v>0.77962013867952973</v>
      </c>
      <c r="AB323" s="963">
        <f>H323/Y323</f>
        <v>2622.2813084112149</v>
      </c>
      <c r="AC323" s="873">
        <f>H323/Z323</f>
        <v>3363.5371616395978</v>
      </c>
      <c r="AD323" s="961">
        <f>Z323*AF323</f>
        <v>1861920</v>
      </c>
      <c r="AE323" s="964">
        <f>AD323/H323</f>
        <v>0.21406036722633595</v>
      </c>
      <c r="AF323" s="1667">
        <v>720</v>
      </c>
      <c r="AG323" s="1588" t="s">
        <v>282</v>
      </c>
      <c r="AH323" s="1567">
        <v>3370060</v>
      </c>
      <c r="AI323" s="1534">
        <v>2443430</v>
      </c>
      <c r="AJ323" s="1534">
        <v>2884617.1</v>
      </c>
    </row>
    <row r="324" spans="2:36">
      <c r="B324" s="1494" t="s">
        <v>344</v>
      </c>
      <c r="C324" s="1495" t="s">
        <v>823</v>
      </c>
      <c r="D324" s="1620" t="s">
        <v>346</v>
      </c>
      <c r="E324" s="1620"/>
      <c r="F324" s="1620"/>
      <c r="G324" s="1665"/>
      <c r="H324" s="971">
        <f>I324+J324</f>
        <v>4699962.8254393628</v>
      </c>
      <c r="I324" s="863">
        <f t="shared" ref="I324:I326" si="171">AI324+AJ324</f>
        <v>1854693.8254393628</v>
      </c>
      <c r="J324" s="972">
        <f t="shared" ref="J324:J326" si="172">AH324</f>
        <v>2845269</v>
      </c>
      <c r="K324" s="1606">
        <v>8594352</v>
      </c>
      <c r="L324" s="924">
        <f>H324/K324</f>
        <v>0.54686645664959532</v>
      </c>
      <c r="M324" s="1606">
        <v>838690</v>
      </c>
      <c r="N324" s="958">
        <f t="shared" si="168"/>
        <v>9.7586182181041689E-2</v>
      </c>
      <c r="O324" s="959">
        <f t="shared" si="169"/>
        <v>3.9850242640308099E-2</v>
      </c>
      <c r="P324" s="1606">
        <v>33422</v>
      </c>
      <c r="Q324" s="1606">
        <v>25586</v>
      </c>
      <c r="R324" s="868">
        <f t="shared" si="170"/>
        <v>0.76554365388067735</v>
      </c>
      <c r="S324" s="960">
        <f>H324/P324</f>
        <v>140.62482273470656</v>
      </c>
      <c r="T324" s="870">
        <f>H324/Q324</f>
        <v>183.69275484403045</v>
      </c>
      <c r="U324" s="961">
        <f>X323*Q324</f>
        <v>25969790</v>
      </c>
      <c r="V324" s="962">
        <f>U324/H324</f>
        <v>5.5255309381244491</v>
      </c>
      <c r="W324" s="1666">
        <v>990</v>
      </c>
      <c r="X324" s="2229"/>
      <c r="Y324" s="1622">
        <v>5928</v>
      </c>
      <c r="Z324" s="1606">
        <v>4665</v>
      </c>
      <c r="AA324" s="959">
        <f>Z324/Y324</f>
        <v>0.78694331983805665</v>
      </c>
      <c r="AB324" s="963">
        <f>H324/Y324</f>
        <v>792.84123236156597</v>
      </c>
      <c r="AC324" s="873">
        <f>H324/Z324</f>
        <v>1007.4947107051153</v>
      </c>
      <c r="AD324" s="961">
        <f>Z324*AF324</f>
        <v>4618350</v>
      </c>
      <c r="AE324" s="964">
        <f>AD324/H324</f>
        <v>0.98263543171073198</v>
      </c>
      <c r="AF324" s="1667">
        <v>990</v>
      </c>
      <c r="AG324" s="1588" t="s">
        <v>282</v>
      </c>
      <c r="AH324" s="1567">
        <v>2845269</v>
      </c>
      <c r="AI324" s="1534">
        <v>526309.14543936297</v>
      </c>
      <c r="AJ324" s="1534">
        <v>1328384.68</v>
      </c>
    </row>
    <row r="325" spans="2:36">
      <c r="B325" s="1494" t="s">
        <v>344</v>
      </c>
      <c r="C325" s="1495" t="s">
        <v>807</v>
      </c>
      <c r="D325" s="1620" t="s">
        <v>345</v>
      </c>
      <c r="E325" s="1620"/>
      <c r="F325" s="1620"/>
      <c r="G325" s="1665"/>
      <c r="H325" s="971">
        <f t="shared" ref="H325:H327" si="173">I325+J325</f>
        <v>11457859.640000004</v>
      </c>
      <c r="I325" s="863">
        <f t="shared" si="171"/>
        <v>5970901.6400000053</v>
      </c>
      <c r="J325" s="972">
        <f t="shared" si="172"/>
        <v>5486958</v>
      </c>
      <c r="K325" s="1606">
        <v>10633265</v>
      </c>
      <c r="L325" s="924">
        <f>H325/K325</f>
        <v>1.077548583619425</v>
      </c>
      <c r="M325" s="1606">
        <v>1391926</v>
      </c>
      <c r="N325" s="958">
        <f t="shared" si="168"/>
        <v>0.13090297288744332</v>
      </c>
      <c r="O325" s="959">
        <f t="shared" si="169"/>
        <v>6.0030490126630295E-2</v>
      </c>
      <c r="P325" s="1606">
        <v>83558</v>
      </c>
      <c r="Q325" s="1606">
        <v>60908</v>
      </c>
      <c r="R325" s="868">
        <f t="shared" si="170"/>
        <v>0.72893080255630816</v>
      </c>
      <c r="S325" s="960">
        <f>H325/P325</f>
        <v>137.12462768376463</v>
      </c>
      <c r="T325" s="870">
        <f>H325/Q325</f>
        <v>188.11748276088534</v>
      </c>
      <c r="U325" s="961">
        <f>X323*Q325</f>
        <v>61821620</v>
      </c>
      <c r="V325" s="962">
        <f>U325/H325</f>
        <v>5.3955644371988463</v>
      </c>
      <c r="W325" s="1666">
        <v>1820</v>
      </c>
      <c r="X325" s="2229"/>
      <c r="Y325" s="1622">
        <v>4755</v>
      </c>
      <c r="Z325" s="1606">
        <v>3726</v>
      </c>
      <c r="AA325" s="959">
        <f t="shared" ref="AA325:AA327" si="174">Z325/Y325</f>
        <v>0.783596214511041</v>
      </c>
      <c r="AB325" s="963">
        <f>H325/Y325</f>
        <v>2409.6445089379608</v>
      </c>
      <c r="AC325" s="873">
        <f>H325/Z325</f>
        <v>3075.1099409554495</v>
      </c>
      <c r="AD325" s="961">
        <f t="shared" ref="AD325:AD327" si="175">Z325*AF325</f>
        <v>6781320</v>
      </c>
      <c r="AE325" s="964">
        <f>AD325/H325</f>
        <v>0.59184875823806105</v>
      </c>
      <c r="AF325" s="1667">
        <v>1820</v>
      </c>
      <c r="AG325" s="1614" t="s">
        <v>257</v>
      </c>
      <c r="AH325" s="1567">
        <v>5486958</v>
      </c>
      <c r="AI325" s="1567">
        <f>863.16301886793*1060</f>
        <v>914952.80000000575</v>
      </c>
      <c r="AJ325" s="1534">
        <v>5055948.84</v>
      </c>
    </row>
    <row r="326" spans="2:36">
      <c r="B326" s="1494" t="s">
        <v>356</v>
      </c>
      <c r="C326" s="1668" t="s">
        <v>797</v>
      </c>
      <c r="D326" s="1620" t="s">
        <v>348</v>
      </c>
      <c r="E326" s="1620"/>
      <c r="F326" s="1620"/>
      <c r="G326" s="1620"/>
      <c r="H326" s="971">
        <f t="shared" si="173"/>
        <v>7768532.6559999995</v>
      </c>
      <c r="I326" s="863">
        <f t="shared" si="171"/>
        <v>4441485.08</v>
      </c>
      <c r="J326" s="972">
        <f t="shared" si="172"/>
        <v>3327047.5759999999</v>
      </c>
      <c r="K326" s="1606">
        <v>9206740</v>
      </c>
      <c r="L326" s="924">
        <f>H326/K326</f>
        <v>0.84378755737644373</v>
      </c>
      <c r="M326" s="1606">
        <v>790509</v>
      </c>
      <c r="N326" s="958">
        <f t="shared" si="168"/>
        <v>8.5861988065265224E-2</v>
      </c>
      <c r="O326" s="959">
        <f t="shared" si="169"/>
        <v>5.9492048793878372E-2</v>
      </c>
      <c r="P326" s="1606">
        <v>47029</v>
      </c>
      <c r="Q326" s="1606">
        <v>37109</v>
      </c>
      <c r="R326" s="868">
        <f t="shared" si="170"/>
        <v>0.78906632078079486</v>
      </c>
      <c r="S326" s="960">
        <f>H326/P326</f>
        <v>165.18600557103062</v>
      </c>
      <c r="T326" s="870">
        <f>H326/Q326</f>
        <v>209.34362704465224</v>
      </c>
      <c r="U326" s="961">
        <f>X323*Q326</f>
        <v>37665635</v>
      </c>
      <c r="V326" s="962">
        <f>U326/H326</f>
        <v>4.8484876961814756</v>
      </c>
      <c r="W326" s="1646">
        <v>490</v>
      </c>
      <c r="X326" s="2229"/>
      <c r="Y326" s="1622">
        <v>27332</v>
      </c>
      <c r="Z326" s="1606">
        <v>22289</v>
      </c>
      <c r="AA326" s="959">
        <f t="shared" si="174"/>
        <v>0.81549099956095417</v>
      </c>
      <c r="AB326" s="963">
        <f>H326/Y326</f>
        <v>284.22847416947167</v>
      </c>
      <c r="AC326" s="873">
        <f>H326/Z326</f>
        <v>348.53661698595715</v>
      </c>
      <c r="AD326" s="961">
        <f t="shared" si="175"/>
        <v>10921610</v>
      </c>
      <c r="AE326" s="964">
        <f>AD326/H326</f>
        <v>1.4058781089842922</v>
      </c>
      <c r="AF326" s="1647">
        <v>490</v>
      </c>
      <c r="AG326" s="876" t="s">
        <v>349</v>
      </c>
      <c r="AH326" s="1567">
        <v>3327047.5759999999</v>
      </c>
      <c r="AI326" s="1534">
        <v>1631672</v>
      </c>
      <c r="AJ326" s="1534">
        <v>2809813.08</v>
      </c>
    </row>
    <row r="327" spans="2:36">
      <c r="B327" s="1502"/>
      <c r="C327" s="1503" t="s">
        <v>0</v>
      </c>
      <c r="D327" s="1503"/>
      <c r="E327" s="1503"/>
      <c r="F327" s="1503"/>
      <c r="G327" s="1565"/>
      <c r="H327" s="882">
        <f t="shared" si="173"/>
        <v>32624462.221439369</v>
      </c>
      <c r="I327" s="883">
        <f>SUM(I323:I326)</f>
        <v>17595127.645439368</v>
      </c>
      <c r="J327" s="884">
        <f>SUM(J323:J326)</f>
        <v>15029334.575999999</v>
      </c>
      <c r="K327" s="885">
        <f>SUM(K323:K326)</f>
        <v>37965457</v>
      </c>
      <c r="L327" s="886">
        <f>H327/K327</f>
        <v>0.8593196236631464</v>
      </c>
      <c r="M327" s="883">
        <f>SUM(M323:M326)</f>
        <v>3953627</v>
      </c>
      <c r="N327" s="887">
        <f t="shared" si="168"/>
        <v>0.10413747949879808</v>
      </c>
      <c r="O327" s="887">
        <f t="shared" si="169"/>
        <v>5.1930037912023566E-2</v>
      </c>
      <c r="P327" s="883">
        <f>SUM(P323:P326)</f>
        <v>205312</v>
      </c>
      <c r="Q327" s="883">
        <f>SUM(Q323:Q326)</f>
        <v>154823</v>
      </c>
      <c r="R327" s="887">
        <f t="shared" si="170"/>
        <v>0.75408646352867825</v>
      </c>
      <c r="S327" s="1626">
        <f>H327/P327</f>
        <v>158.90187724750317</v>
      </c>
      <c r="T327" s="1626">
        <f>H327/Q327</f>
        <v>210.72103125142499</v>
      </c>
      <c r="U327" s="1627">
        <f>Q327*$X$301</f>
        <v>0</v>
      </c>
      <c r="V327" s="888">
        <f>U327/H327</f>
        <v>0</v>
      </c>
      <c r="W327" s="1628">
        <f>X323</f>
        <v>1015</v>
      </c>
      <c r="X327" s="2229"/>
      <c r="Y327" s="970">
        <f>SUM(Y323:Y326)</f>
        <v>41332</v>
      </c>
      <c r="Z327" s="883">
        <f>SUM(Z323:Z326)</f>
        <v>33266</v>
      </c>
      <c r="AA327" s="889">
        <f t="shared" si="174"/>
        <v>0.80484854350140322</v>
      </c>
      <c r="AB327" s="1507">
        <f>H327/Y327</f>
        <v>789.32696751764661</v>
      </c>
      <c r="AC327" s="1507">
        <f>H327/Z327</f>
        <v>980.71491076292216</v>
      </c>
      <c r="AD327" s="1508">
        <f t="shared" si="175"/>
        <v>33764990</v>
      </c>
      <c r="AE327" s="908">
        <f>AD327/H327</f>
        <v>1.0349592821122773</v>
      </c>
      <c r="AF327" s="1509">
        <v>1015</v>
      </c>
      <c r="AG327" s="1510"/>
      <c r="AH327" s="1518"/>
      <c r="AI327" s="1519"/>
    </row>
    <row r="328" spans="2:36">
      <c r="B328" s="1512"/>
      <c r="C328" s="1669" t="s">
        <v>260</v>
      </c>
      <c r="D328" s="1669"/>
      <c r="E328" s="1669"/>
      <c r="F328" s="1669"/>
      <c r="G328" s="1669"/>
      <c r="H328" s="974"/>
      <c r="I328" s="975"/>
      <c r="J328" s="975"/>
      <c r="K328" s="975">
        <v>31377269</v>
      </c>
      <c r="L328" s="976">
        <f>H327/K328</f>
        <v>1.0397483038259119</v>
      </c>
      <c r="M328" s="975">
        <v>3153573</v>
      </c>
      <c r="N328" s="977">
        <f t="shared" si="168"/>
        <v>0.10050501845778866</v>
      </c>
      <c r="O328" s="977">
        <f t="shared" si="169"/>
        <v>5.1297052581310149E-2</v>
      </c>
      <c r="P328" s="975">
        <v>161769</v>
      </c>
      <c r="Q328" s="975">
        <v>125800</v>
      </c>
      <c r="R328" s="977">
        <f t="shared" si="170"/>
        <v>0.77765208414467546</v>
      </c>
      <c r="S328" s="1670">
        <f>H327/P328</f>
        <v>201.67314022735735</v>
      </c>
      <c r="T328" s="1670">
        <f>H327/Q328</f>
        <v>259.33594770619533</v>
      </c>
      <c r="U328" s="1648">
        <f>Q328*$X$301</f>
        <v>0</v>
      </c>
      <c r="V328" s="978">
        <f>U328/H327</f>
        <v>0</v>
      </c>
      <c r="W328" s="1671">
        <f>W327</f>
        <v>1015</v>
      </c>
      <c r="X328" s="1671"/>
      <c r="Y328" s="975"/>
      <c r="Z328" s="975"/>
      <c r="AA328" s="977"/>
      <c r="AB328" s="1672"/>
      <c r="AC328" s="1672"/>
      <c r="AD328" s="1671"/>
      <c r="AE328" s="979"/>
      <c r="AF328" s="1671"/>
      <c r="AG328" s="1510"/>
      <c r="AH328" s="1518"/>
      <c r="AI328" s="1519"/>
    </row>
    <row r="329" spans="2:36">
      <c r="E329" s="1465"/>
      <c r="F329" s="1465"/>
      <c r="G329" s="1465"/>
      <c r="H329" s="1465"/>
      <c r="I329" s="1465"/>
      <c r="J329" s="1465"/>
      <c r="K329" s="966"/>
      <c r="L329" s="1630"/>
      <c r="M329" s="1649"/>
      <c r="N329" s="967">
        <v>9.8619719777827797E-2</v>
      </c>
      <c r="O329" s="1631">
        <v>5.1944872326087299E-2</v>
      </c>
      <c r="P329" s="1463"/>
      <c r="Q329" s="1463"/>
      <c r="R329" s="891"/>
      <c r="S329" s="1463"/>
      <c r="T329" s="1463"/>
      <c r="U329" s="1463"/>
      <c r="V329" s="1463"/>
      <c r="W329" s="1463"/>
      <c r="X329" s="1463"/>
      <c r="Y329" s="1511"/>
      <c r="Z329" s="1511"/>
      <c r="AA329" s="1463"/>
      <c r="AB329" s="1463"/>
      <c r="AC329" s="1463"/>
      <c r="AD329" s="1463"/>
      <c r="AE329" s="1463"/>
      <c r="AF329" s="1463"/>
      <c r="AG329" s="1633"/>
    </row>
    <row r="330" spans="2:36">
      <c r="B330" s="1472"/>
      <c r="E330" s="1465"/>
      <c r="F330" s="1465"/>
      <c r="G330" s="1465"/>
      <c r="H330" s="1466"/>
      <c r="I330" s="1466"/>
      <c r="J330" s="1466"/>
      <c r="K330" s="1467"/>
      <c r="L330" s="1468"/>
      <c r="N330" s="968">
        <v>5.1321679348466397E-2</v>
      </c>
      <c r="O330" s="968">
        <v>6.5706596103176501E-2</v>
      </c>
      <c r="R330" s="845"/>
      <c r="S330" s="1467"/>
      <c r="V330" s="1469"/>
      <c r="X330" s="1467"/>
      <c r="AA330" s="845"/>
      <c r="AB330" s="1467"/>
      <c r="AD330" s="1467"/>
      <c r="AE330" s="1469"/>
      <c r="AF330" s="1467"/>
      <c r="AG330" s="1470"/>
      <c r="AH330" s="1471"/>
      <c r="AI330" s="1471"/>
      <c r="AJ330" s="1471"/>
    </row>
    <row r="331" spans="2:36">
      <c r="B331" s="1472"/>
      <c r="E331" s="1465"/>
      <c r="F331" s="1465"/>
      <c r="G331" s="1465"/>
      <c r="H331" s="1466"/>
      <c r="I331" s="1466"/>
      <c r="J331" s="1466"/>
      <c r="K331" s="1467"/>
      <c r="L331" s="1468"/>
      <c r="N331" s="845"/>
      <c r="R331" s="845"/>
      <c r="S331" s="1467"/>
      <c r="V331" s="1469"/>
      <c r="X331" s="1467"/>
      <c r="AA331" s="845"/>
      <c r="AB331" s="1467"/>
      <c r="AD331" s="1467"/>
      <c r="AE331" s="1469"/>
      <c r="AF331" s="1467"/>
      <c r="AG331" s="1470"/>
      <c r="AH331" s="1471"/>
      <c r="AI331" s="1471"/>
      <c r="AJ331" s="1471"/>
    </row>
    <row r="332" spans="2:36">
      <c r="B332" s="1472"/>
      <c r="E332" s="1465"/>
      <c r="F332" s="1465"/>
      <c r="G332" s="1465"/>
      <c r="H332" s="1466"/>
      <c r="I332" s="1466"/>
      <c r="J332" s="1466"/>
      <c r="K332" s="1467"/>
      <c r="L332" s="1468"/>
      <c r="N332" s="845"/>
      <c r="R332" s="845"/>
      <c r="S332" s="1467"/>
      <c r="V332" s="1469"/>
      <c r="X332" s="1467"/>
      <c r="AA332" s="845"/>
      <c r="AB332" s="1467"/>
      <c r="AD332" s="1467"/>
      <c r="AE332" s="1469"/>
      <c r="AF332" s="1467"/>
      <c r="AG332" s="1470"/>
      <c r="AH332" s="1471"/>
      <c r="AI332" s="1471"/>
      <c r="AJ332" s="1471"/>
    </row>
    <row r="333" spans="2:36">
      <c r="B333" s="1472"/>
      <c r="E333" s="1465"/>
      <c r="F333" s="1465"/>
      <c r="G333" s="1465"/>
      <c r="H333" s="1466"/>
      <c r="I333" s="1466"/>
      <c r="J333" s="1466"/>
      <c r="K333" s="1467"/>
      <c r="L333" s="1468"/>
      <c r="N333" s="845"/>
      <c r="R333" s="845"/>
      <c r="S333" s="1467"/>
      <c r="V333" s="1469"/>
      <c r="X333" s="1467"/>
      <c r="AA333" s="845"/>
      <c r="AB333" s="1467"/>
      <c r="AD333" s="1467"/>
      <c r="AE333" s="1469"/>
      <c r="AF333" s="1467"/>
      <c r="AG333" s="1470"/>
      <c r="AH333" s="1471"/>
      <c r="AI333" s="1471"/>
      <c r="AJ333" s="1471"/>
    </row>
    <row r="334" spans="2:36">
      <c r="E334" s="1465"/>
      <c r="F334" s="1465"/>
      <c r="G334" s="1465"/>
      <c r="H334" s="1466"/>
      <c r="I334" s="1466"/>
      <c r="J334" s="1466"/>
      <c r="K334" s="1467"/>
      <c r="L334" s="1468"/>
      <c r="N334" s="845"/>
      <c r="R334" s="845"/>
      <c r="S334" s="1467"/>
      <c r="V334" s="1469"/>
      <c r="X334" s="1467"/>
      <c r="AA334" s="845"/>
      <c r="AB334" s="1467"/>
      <c r="AD334" s="1467"/>
      <c r="AE334" s="1469"/>
      <c r="AF334" s="1467"/>
      <c r="AG334" s="1470"/>
      <c r="AH334" s="1471"/>
      <c r="AI334" s="1471"/>
      <c r="AJ334" s="1471"/>
    </row>
    <row r="335" spans="2:36">
      <c r="E335" s="1465"/>
      <c r="F335" s="1465"/>
      <c r="G335" s="1465"/>
      <c r="H335" s="1466"/>
      <c r="I335" s="1466"/>
      <c r="J335" s="1466"/>
      <c r="K335" s="1467"/>
      <c r="L335" s="1468"/>
      <c r="N335" s="845"/>
      <c r="R335" s="845"/>
      <c r="S335" s="1467"/>
      <c r="V335" s="1469"/>
      <c r="X335" s="1467"/>
      <c r="AA335" s="845"/>
      <c r="AB335" s="1467"/>
      <c r="AD335" s="1467"/>
      <c r="AE335" s="1469"/>
      <c r="AF335" s="1467"/>
      <c r="AG335" s="1470"/>
      <c r="AH335" s="1471"/>
      <c r="AI335" s="1471"/>
      <c r="AJ335" s="1471"/>
    </row>
    <row r="336" spans="2:36" s="1473" customFormat="1" ht="22.5">
      <c r="B336" s="850" t="s">
        <v>822</v>
      </c>
      <c r="C336" s="1474"/>
      <c r="D336" s="1474"/>
      <c r="E336" s="1474"/>
      <c r="F336" s="1474"/>
      <c r="G336" s="1474"/>
      <c r="H336" s="1475"/>
      <c r="I336" s="1476"/>
      <c r="J336" s="1476"/>
      <c r="K336" s="1476"/>
      <c r="L336" s="1477"/>
      <c r="M336" s="1476"/>
      <c r="N336" s="851"/>
      <c r="O336" s="851"/>
      <c r="P336" s="1476"/>
      <c r="Q336" s="1476"/>
      <c r="R336" s="851"/>
      <c r="S336" s="1476"/>
      <c r="T336" s="1476"/>
      <c r="U336" s="1476"/>
      <c r="V336" s="1478"/>
      <c r="W336" s="1476"/>
      <c r="X336" s="1476"/>
      <c r="Y336" s="1476"/>
      <c r="Z336" s="1476"/>
      <c r="AA336" s="851"/>
      <c r="AB336" s="1476"/>
      <c r="AC336" s="1476"/>
      <c r="AD336" s="1476"/>
      <c r="AE336" s="1478"/>
      <c r="AF336" s="1476"/>
      <c r="AG336" s="1479"/>
      <c r="AH336" s="1476"/>
      <c r="AI336" s="1476"/>
      <c r="AJ336" s="1476"/>
    </row>
    <row r="337" spans="1:36" s="950" customFormat="1">
      <c r="B337" s="852" t="s">
        <v>238</v>
      </c>
      <c r="C337" s="853" t="s">
        <v>357</v>
      </c>
      <c r="D337" s="940"/>
      <c r="E337" s="940"/>
      <c r="F337" s="940"/>
      <c r="G337" s="940"/>
      <c r="H337" s="941"/>
      <c r="I337" s="942"/>
      <c r="J337" s="942"/>
      <c r="K337" s="943"/>
      <c r="L337" s="944"/>
      <c r="M337" s="945"/>
      <c r="N337" s="946"/>
      <c r="O337" s="845"/>
      <c r="P337" s="942"/>
      <c r="Q337" s="942"/>
      <c r="R337" s="845"/>
      <c r="S337" s="1467"/>
      <c r="T337" s="1467"/>
      <c r="U337" s="1467"/>
      <c r="V337" s="947"/>
      <c r="W337" s="942"/>
      <c r="X337" s="942"/>
      <c r="Y337" s="942"/>
      <c r="Z337" s="942"/>
      <c r="AA337" s="845"/>
      <c r="AB337" s="942"/>
      <c r="AC337" s="942"/>
      <c r="AD337" s="942"/>
      <c r="AE337" s="947"/>
      <c r="AF337" s="1519"/>
      <c r="AG337" s="948"/>
      <c r="AH337" s="949"/>
      <c r="AI337" s="949"/>
      <c r="AJ337" s="949"/>
    </row>
    <row r="338" spans="1:36" s="950" customFormat="1">
      <c r="B338" s="854" t="s">
        <v>82</v>
      </c>
      <c r="C338" s="855" t="s">
        <v>358</v>
      </c>
      <c r="D338" s="940"/>
      <c r="E338" s="940"/>
      <c r="F338" s="940"/>
      <c r="G338" s="940"/>
      <c r="H338" s="941"/>
      <c r="I338" s="942"/>
      <c r="J338" s="942"/>
      <c r="K338" s="1467"/>
      <c r="L338" s="1468"/>
      <c r="M338" s="1467"/>
      <c r="N338" s="845"/>
      <c r="O338" s="845"/>
      <c r="P338" s="942"/>
      <c r="Q338" s="942"/>
      <c r="R338" s="845"/>
      <c r="S338" s="1467"/>
      <c r="T338" s="1467"/>
      <c r="U338" s="1467"/>
      <c r="V338" s="947"/>
      <c r="W338" s="942"/>
      <c r="X338" s="942"/>
      <c r="Y338" s="942"/>
      <c r="Z338" s="942"/>
      <c r="AA338" s="845"/>
      <c r="AB338" s="942"/>
      <c r="AC338" s="942"/>
      <c r="AD338" s="942"/>
      <c r="AE338" s="947"/>
      <c r="AF338" s="1519"/>
      <c r="AG338" s="948"/>
      <c r="AH338" s="949"/>
      <c r="AI338" s="949"/>
      <c r="AJ338" s="949"/>
    </row>
    <row r="339" spans="1:36" s="1480" customFormat="1">
      <c r="B339" s="1463"/>
      <c r="C339" s="1673"/>
      <c r="D339" s="1608"/>
      <c r="E339" s="1608"/>
      <c r="F339" s="1608"/>
      <c r="G339" s="1608"/>
      <c r="H339" s="1609"/>
      <c r="I339" s="1609"/>
      <c r="J339" s="1609"/>
      <c r="K339" s="1610"/>
      <c r="L339" s="1611"/>
      <c r="M339" s="952"/>
      <c r="N339" s="953"/>
      <c r="O339" s="953"/>
      <c r="P339" s="952"/>
      <c r="Q339" s="1610"/>
      <c r="R339" s="954"/>
      <c r="S339" s="1610"/>
      <c r="T339" s="1610"/>
      <c r="U339" s="1610"/>
      <c r="V339" s="1612"/>
      <c r="W339" s="1610"/>
      <c r="X339" s="1610"/>
      <c r="Y339" s="952"/>
      <c r="Z339" s="1610"/>
      <c r="AA339" s="954"/>
      <c r="AB339" s="1610"/>
      <c r="AC339" s="1610"/>
      <c r="AD339" s="1610"/>
      <c r="AE339" s="1612"/>
      <c r="AF339" s="1610"/>
      <c r="AG339" s="1470"/>
      <c r="AH339" s="1613"/>
      <c r="AI339" s="1613"/>
      <c r="AJ339" s="1613"/>
    </row>
    <row r="340" spans="1:36" s="1480" customFormat="1">
      <c r="B340" s="1463"/>
      <c r="C340" s="1673"/>
      <c r="D340" s="1608"/>
      <c r="E340" s="1608"/>
      <c r="F340" s="1608"/>
      <c r="G340" s="1608"/>
      <c r="H340" s="1609"/>
      <c r="I340" s="1609"/>
      <c r="J340" s="1609"/>
      <c r="K340" s="1610" t="s">
        <v>359</v>
      </c>
      <c r="L340" s="1611"/>
      <c r="M340" s="952" t="s">
        <v>360</v>
      </c>
      <c r="N340" s="953"/>
      <c r="O340" s="953"/>
      <c r="P340" s="952" t="s">
        <v>361</v>
      </c>
      <c r="Q340" s="1610"/>
      <c r="R340" s="954"/>
      <c r="S340" s="1610"/>
      <c r="T340" s="1610"/>
      <c r="U340" s="1610"/>
      <c r="V340" s="1612"/>
      <c r="W340" s="1610"/>
      <c r="X340" s="1610"/>
      <c r="Y340" s="952" t="s">
        <v>362</v>
      </c>
      <c r="Z340" s="1610"/>
      <c r="AA340" s="954"/>
      <c r="AB340" s="1610"/>
      <c r="AC340" s="1610"/>
      <c r="AD340" s="1610"/>
      <c r="AE340" s="1612"/>
      <c r="AF340" s="1610"/>
      <c r="AG340" s="1470"/>
      <c r="AH340" s="1613" t="s">
        <v>363</v>
      </c>
      <c r="AI340" s="1613" t="s">
        <v>363</v>
      </c>
      <c r="AJ340" s="1613"/>
    </row>
    <row r="341" spans="1:36" s="1571" customFormat="1" ht="18" customHeight="1">
      <c r="B341" s="2230" t="s">
        <v>32</v>
      </c>
      <c r="C341" s="2230" t="s">
        <v>31</v>
      </c>
      <c r="D341" s="2230" t="s">
        <v>30</v>
      </c>
      <c r="E341" s="2230" t="s">
        <v>242</v>
      </c>
      <c r="F341" s="2230"/>
      <c r="G341" s="2230"/>
      <c r="H341" s="2231" t="s">
        <v>29</v>
      </c>
      <c r="I341" s="2231"/>
      <c r="J341" s="2231"/>
      <c r="K341" s="2230" t="s">
        <v>243</v>
      </c>
      <c r="L341" s="2230"/>
      <c r="M341" s="2230"/>
      <c r="N341" s="2230"/>
      <c r="O341" s="2230"/>
      <c r="P341" s="2230"/>
      <c r="Q341" s="2230"/>
      <c r="R341" s="2230"/>
      <c r="S341" s="2230"/>
      <c r="T341" s="2230"/>
      <c r="U341" s="2230"/>
      <c r="V341" s="2230"/>
      <c r="W341" s="2230"/>
      <c r="X341" s="2230"/>
      <c r="Y341" s="2230" t="s">
        <v>27</v>
      </c>
      <c r="Z341" s="2230"/>
      <c r="AA341" s="2230"/>
      <c r="AB341" s="2230"/>
      <c r="AC341" s="2230"/>
      <c r="AD341" s="2230"/>
      <c r="AE341" s="2230"/>
      <c r="AF341" s="2230"/>
      <c r="AG341" s="1676"/>
      <c r="AH341" s="1677" t="s">
        <v>244</v>
      </c>
      <c r="AI341" s="1677" t="s">
        <v>245</v>
      </c>
      <c r="AJ341" s="1677" t="s">
        <v>246</v>
      </c>
    </row>
    <row r="342" spans="1:36" s="1571" customFormat="1" ht="50.25" customHeight="1">
      <c r="B342" s="2230"/>
      <c r="C342" s="2230"/>
      <c r="D342" s="2230"/>
      <c r="E342" s="1674" t="s">
        <v>247</v>
      </c>
      <c r="F342" s="1674" t="s">
        <v>248</v>
      </c>
      <c r="G342" s="1674" t="s">
        <v>249</v>
      </c>
      <c r="H342" s="1678" t="s">
        <v>26</v>
      </c>
      <c r="I342" s="1678" t="s">
        <v>25</v>
      </c>
      <c r="J342" s="1678" t="s">
        <v>250</v>
      </c>
      <c r="K342" s="1678" t="s">
        <v>23</v>
      </c>
      <c r="L342" s="1679" t="s">
        <v>22</v>
      </c>
      <c r="M342" s="1678" t="s">
        <v>251</v>
      </c>
      <c r="N342" s="980" t="s">
        <v>20</v>
      </c>
      <c r="O342" s="980" t="s">
        <v>19</v>
      </c>
      <c r="P342" s="1678" t="s">
        <v>18</v>
      </c>
      <c r="Q342" s="1678" t="s">
        <v>17</v>
      </c>
      <c r="R342" s="981" t="s">
        <v>16</v>
      </c>
      <c r="S342" s="1678" t="s">
        <v>15</v>
      </c>
      <c r="T342" s="1680" t="s">
        <v>14</v>
      </c>
      <c r="U342" s="1680" t="s">
        <v>13</v>
      </c>
      <c r="V342" s="1681" t="s">
        <v>12</v>
      </c>
      <c r="W342" s="1675" t="s">
        <v>3</v>
      </c>
      <c r="X342" s="1675" t="s">
        <v>11</v>
      </c>
      <c r="Y342" s="1675" t="s">
        <v>10</v>
      </c>
      <c r="Z342" s="1678" t="s">
        <v>9</v>
      </c>
      <c r="AA342" s="982" t="s">
        <v>8</v>
      </c>
      <c r="AB342" s="1675" t="s">
        <v>7</v>
      </c>
      <c r="AC342" s="1675" t="s">
        <v>6</v>
      </c>
      <c r="AD342" s="1675" t="s">
        <v>5</v>
      </c>
      <c r="AE342" s="1682" t="s">
        <v>4</v>
      </c>
      <c r="AF342" s="1675" t="s">
        <v>3</v>
      </c>
      <c r="AG342" s="1676"/>
      <c r="AH342" s="1471"/>
      <c r="AI342" s="1677"/>
      <c r="AJ342" s="1471"/>
    </row>
    <row r="343" spans="1:36" s="1683" customFormat="1" ht="18" customHeight="1">
      <c r="B343" s="1684" t="s">
        <v>364</v>
      </c>
      <c r="C343" s="1685" t="s">
        <v>806</v>
      </c>
      <c r="D343" s="1684" t="s">
        <v>345</v>
      </c>
      <c r="E343" s="1684"/>
      <c r="F343" s="1684"/>
      <c r="G343" s="1684"/>
      <c r="H343" s="983">
        <f>I343+J343</f>
        <v>7686375.6400000006</v>
      </c>
      <c r="I343" s="984">
        <f t="shared" ref="I343:I346" si="176">AI343+AJ343</f>
        <v>4630943.6400000006</v>
      </c>
      <c r="J343" s="984">
        <f>AH343</f>
        <v>3055432</v>
      </c>
      <c r="K343" s="1686">
        <v>6399410</v>
      </c>
      <c r="L343" s="985">
        <f>H343/K343</f>
        <v>1.2011069207942608</v>
      </c>
      <c r="M343" s="1686">
        <v>561645</v>
      </c>
      <c r="N343" s="986">
        <f t="shared" ref="N343:N348" si="177">M343/K343</f>
        <v>8.7765122097193338E-2</v>
      </c>
      <c r="O343" s="986">
        <f t="shared" ref="O343:O348" si="178">P343/M343</f>
        <v>4.2393326745542116E-2</v>
      </c>
      <c r="P343" s="1686">
        <v>23810</v>
      </c>
      <c r="Q343" s="1686">
        <v>17664</v>
      </c>
      <c r="R343" s="986">
        <f t="shared" ref="R343:R348" si="179">Q343/P343</f>
        <v>0.74187316253674929</v>
      </c>
      <c r="S343" s="987">
        <f>H343/P343</f>
        <v>322.82132045359094</v>
      </c>
      <c r="T343" s="987">
        <f>H343/Q343</f>
        <v>435.14354846014498</v>
      </c>
      <c r="U343" s="987">
        <f>X343*Q343</f>
        <v>17928960</v>
      </c>
      <c r="V343" s="988">
        <f>U343/H343</f>
        <v>2.3325635956038182</v>
      </c>
      <c r="W343" s="1687">
        <v>720</v>
      </c>
      <c r="X343" s="2227">
        <v>1015</v>
      </c>
      <c r="Y343" s="1686">
        <v>2225</v>
      </c>
      <c r="Z343" s="1686">
        <v>1736</v>
      </c>
      <c r="AA343" s="986">
        <f>Z343/Y343</f>
        <v>0.78022471910112356</v>
      </c>
      <c r="AB343" s="987">
        <f>H343/Y343</f>
        <v>3454.5508494382025</v>
      </c>
      <c r="AC343" s="987">
        <f>H343/Z343</f>
        <v>4427.6357373271894</v>
      </c>
      <c r="AD343" s="987">
        <f>Z343*AF343</f>
        <v>1249920</v>
      </c>
      <c r="AE343" s="989">
        <f>AD343/H343</f>
        <v>0.16261500329172046</v>
      </c>
      <c r="AF343" s="1687">
        <v>720</v>
      </c>
      <c r="AG343" s="1688" t="s">
        <v>282</v>
      </c>
      <c r="AH343" s="1689">
        <v>3055432</v>
      </c>
      <c r="AI343" s="1689">
        <v>2443430</v>
      </c>
      <c r="AJ343" s="1689">
        <f>1355293.5+759187.33+73032.81</f>
        <v>2187513.64</v>
      </c>
    </row>
    <row r="344" spans="1:36" s="1683" customFormat="1" ht="18" customHeight="1">
      <c r="B344" s="1684" t="s">
        <v>364</v>
      </c>
      <c r="C344" s="1685" t="s">
        <v>823</v>
      </c>
      <c r="D344" s="1684" t="s">
        <v>346</v>
      </c>
      <c r="E344" s="1684"/>
      <c r="F344" s="1684"/>
      <c r="G344" s="1684"/>
      <c r="H344" s="983">
        <f>I344+J344</f>
        <v>4128194.4279695712</v>
      </c>
      <c r="I344" s="984">
        <f t="shared" si="176"/>
        <v>1438311.4279695712</v>
      </c>
      <c r="J344" s="984">
        <f t="shared" ref="J344:J346" si="180">AH344</f>
        <v>2689883</v>
      </c>
      <c r="K344" s="1686">
        <v>6218238</v>
      </c>
      <c r="L344" s="985">
        <f>H344/K344</f>
        <v>0.66388491852025788</v>
      </c>
      <c r="M344" s="1686">
        <v>450519</v>
      </c>
      <c r="N344" s="986">
        <f t="shared" si="177"/>
        <v>7.2451231361681551E-2</v>
      </c>
      <c r="O344" s="986">
        <f t="shared" si="178"/>
        <v>3.5146131461714157E-2</v>
      </c>
      <c r="P344" s="1686">
        <v>15834</v>
      </c>
      <c r="Q344" s="1686">
        <v>11964</v>
      </c>
      <c r="R344" s="986">
        <f t="shared" si="179"/>
        <v>0.75558923834785907</v>
      </c>
      <c r="S344" s="987">
        <f>H344/P344</f>
        <v>260.71709157316985</v>
      </c>
      <c r="T344" s="987">
        <f>H344/Q344</f>
        <v>345.05135639999759</v>
      </c>
      <c r="U344" s="987">
        <f>X343*Q344</f>
        <v>12143460</v>
      </c>
      <c r="V344" s="988">
        <f>U344/H344</f>
        <v>2.9415911028136073</v>
      </c>
      <c r="W344" s="1687">
        <v>990</v>
      </c>
      <c r="X344" s="2227"/>
      <c r="Y344" s="1686">
        <v>2492</v>
      </c>
      <c r="Z344" s="1686">
        <v>1923</v>
      </c>
      <c r="AA344" s="986">
        <f>Z344/Y344</f>
        <v>0.771669341894061</v>
      </c>
      <c r="AB344" s="987">
        <f>H344/Y344</f>
        <v>1656.5788234227814</v>
      </c>
      <c r="AC344" s="987">
        <f>H344/Z344</f>
        <v>2146.7469724230741</v>
      </c>
      <c r="AD344" s="987">
        <f>Z344*AF344</f>
        <v>1903770</v>
      </c>
      <c r="AE344" s="989">
        <f>AD344/H344</f>
        <v>0.4611628723447404</v>
      </c>
      <c r="AF344" s="1687">
        <v>990</v>
      </c>
      <c r="AG344" s="1688"/>
      <c r="AH344" s="1689">
        <v>2689883</v>
      </c>
      <c r="AI344" s="1689">
        <v>497366.79796957102</v>
      </c>
      <c r="AJ344" s="1689">
        <f>236414.27+16460.28+598885.04+89185.04</f>
        <v>940944.63000000012</v>
      </c>
    </row>
    <row r="345" spans="1:36" s="1683" customFormat="1" ht="18" customHeight="1">
      <c r="B345" s="1684" t="s">
        <v>364</v>
      </c>
      <c r="C345" s="1685" t="s">
        <v>807</v>
      </c>
      <c r="D345" s="1684" t="s">
        <v>345</v>
      </c>
      <c r="E345" s="1684"/>
      <c r="F345" s="1684"/>
      <c r="G345" s="1684"/>
      <c r="H345" s="983">
        <f t="shared" ref="H345:H347" si="181">I345+J345</f>
        <v>9059175.6942857131</v>
      </c>
      <c r="I345" s="984">
        <f t="shared" si="176"/>
        <v>3877575.6942857141</v>
      </c>
      <c r="J345" s="984">
        <f t="shared" si="180"/>
        <v>5181600</v>
      </c>
      <c r="K345" s="1686">
        <v>8294608</v>
      </c>
      <c r="L345" s="985">
        <f>H345/K345</f>
        <v>1.0921764710623714</v>
      </c>
      <c r="M345" s="1686">
        <v>797250</v>
      </c>
      <c r="N345" s="986">
        <f t="shared" si="177"/>
        <v>9.6116657954179396E-2</v>
      </c>
      <c r="O345" s="986">
        <f t="shared" si="178"/>
        <v>5.2068987143305108E-2</v>
      </c>
      <c r="P345" s="1686">
        <v>41512</v>
      </c>
      <c r="Q345" s="1686">
        <v>29051</v>
      </c>
      <c r="R345" s="986">
        <f t="shared" si="179"/>
        <v>0.69982173829254191</v>
      </c>
      <c r="S345" s="987">
        <f>H345/P345</f>
        <v>218.23028749002006</v>
      </c>
      <c r="T345" s="987">
        <f>H345/Q345</f>
        <v>311.83696582856743</v>
      </c>
      <c r="U345" s="987">
        <f>X343*Q345</f>
        <v>29486765</v>
      </c>
      <c r="V345" s="988">
        <f>U345/H345</f>
        <v>3.2549059644134584</v>
      </c>
      <c r="W345" s="1687">
        <v>1820</v>
      </c>
      <c r="X345" s="2227"/>
      <c r="Y345" s="1686">
        <v>2650</v>
      </c>
      <c r="Z345" s="1686">
        <v>1983</v>
      </c>
      <c r="AA345" s="986">
        <v>0.74830188679245302</v>
      </c>
      <c r="AB345" s="987">
        <f>H345/Y345</f>
        <v>3418.5568657681938</v>
      </c>
      <c r="AC345" s="987">
        <f>H345/Z345</f>
        <v>4568.4194121460987</v>
      </c>
      <c r="AD345" s="987">
        <f t="shared" ref="AD345:AD347" si="182">Z345*AF345</f>
        <v>3609060</v>
      </c>
      <c r="AE345" s="989">
        <f>AD345/H345</f>
        <v>0.39838723983204111</v>
      </c>
      <c r="AF345" s="1687">
        <v>1820</v>
      </c>
      <c r="AG345" s="1688" t="s">
        <v>257</v>
      </c>
      <c r="AH345" s="1689">
        <v>5181600</v>
      </c>
      <c r="AI345" s="1689">
        <v>674973.71428571397</v>
      </c>
      <c r="AJ345" s="1689">
        <f>1459250*0.3+2764826.98</f>
        <v>3202601.98</v>
      </c>
    </row>
    <row r="346" spans="1:36" s="1683" customFormat="1" ht="18" customHeight="1">
      <c r="B346" s="1684" t="s">
        <v>365</v>
      </c>
      <c r="C346" s="1685" t="s">
        <v>824</v>
      </c>
      <c r="D346" s="1684" t="s">
        <v>366</v>
      </c>
      <c r="E346" s="1684"/>
      <c r="F346" s="1684"/>
      <c r="G346" s="1684"/>
      <c r="H346" s="983">
        <f t="shared" si="181"/>
        <v>7121178.8799999999</v>
      </c>
      <c r="I346" s="984">
        <f t="shared" si="176"/>
        <v>3206402.98</v>
      </c>
      <c r="J346" s="984">
        <f t="shared" si="180"/>
        <v>3914775.9</v>
      </c>
      <c r="K346" s="1686">
        <v>8099828</v>
      </c>
      <c r="L346" s="985">
        <f>H346/K346</f>
        <v>0.87917655535401495</v>
      </c>
      <c r="M346" s="1686">
        <v>994433</v>
      </c>
      <c r="N346" s="986">
        <f t="shared" si="177"/>
        <v>0.12277211318561332</v>
      </c>
      <c r="O346" s="986">
        <f t="shared" si="178"/>
        <v>5.0254768295098812E-2</v>
      </c>
      <c r="P346" s="1686">
        <v>49975</v>
      </c>
      <c r="Q346" s="1686">
        <v>36193</v>
      </c>
      <c r="R346" s="986">
        <f t="shared" si="179"/>
        <v>0.72422211105552781</v>
      </c>
      <c r="S346" s="987">
        <f>H346/P346</f>
        <v>142.49482501250625</v>
      </c>
      <c r="T346" s="987">
        <f>H346/Q346</f>
        <v>196.75569530019618</v>
      </c>
      <c r="U346" s="987">
        <f>X343*Q346</f>
        <v>36735895</v>
      </c>
      <c r="V346" s="988">
        <f>U346/H346</f>
        <v>5.1586816760317076</v>
      </c>
      <c r="W346" s="1687">
        <v>980</v>
      </c>
      <c r="X346" s="2227"/>
      <c r="Y346" s="1686">
        <v>2836</v>
      </c>
      <c r="Z346" s="1686">
        <v>2086</v>
      </c>
      <c r="AA346" s="986">
        <f t="shared" ref="AA346:AA347" si="183">Z346/Y346</f>
        <v>0.73554301833568403</v>
      </c>
      <c r="AB346" s="987">
        <f>H346/Y346</f>
        <v>2510.9939633286317</v>
      </c>
      <c r="AC346" s="987">
        <f>H346/Z346</f>
        <v>3413.7962032598275</v>
      </c>
      <c r="AD346" s="987">
        <f t="shared" si="182"/>
        <v>2044280</v>
      </c>
      <c r="AE346" s="989">
        <f>AD346/H346</f>
        <v>0.28707044640339102</v>
      </c>
      <c r="AF346" s="1687">
        <v>980</v>
      </c>
      <c r="AG346" s="1688" t="s">
        <v>257</v>
      </c>
      <c r="AH346" s="1689">
        <v>3914775.9</v>
      </c>
      <c r="AI346" s="1689">
        <v>530000</v>
      </c>
      <c r="AJ346" s="1689">
        <v>2676402.98</v>
      </c>
    </row>
    <row r="347" spans="1:36" s="1683" customFormat="1" ht="18" customHeight="1">
      <c r="B347" s="1690"/>
      <c r="C347" s="2228" t="s">
        <v>0</v>
      </c>
      <c r="D347" s="2228"/>
      <c r="E347" s="1691"/>
      <c r="F347" s="1691"/>
      <c r="G347" s="1691"/>
      <c r="H347" s="990">
        <f t="shared" si="181"/>
        <v>27994924.642255284</v>
      </c>
      <c r="I347" s="991">
        <f>SUM(I343:I346)</f>
        <v>13153233.742255285</v>
      </c>
      <c r="J347" s="991">
        <f>SUM(J343:J346)</f>
        <v>14841690.9</v>
      </c>
      <c r="K347" s="991">
        <f>SUM(K343:K346)</f>
        <v>29012084</v>
      </c>
      <c r="L347" s="992">
        <f>H347/K347</f>
        <v>0.96494014846555953</v>
      </c>
      <c r="M347" s="991">
        <f>SUM(M343:M346)</f>
        <v>2803847</v>
      </c>
      <c r="N347" s="993">
        <f t="shared" si="177"/>
        <v>9.6644108710012014E-2</v>
      </c>
      <c r="O347" s="993">
        <f t="shared" si="178"/>
        <v>4.6768243773643851E-2</v>
      </c>
      <c r="P347" s="991">
        <f>SUM(P343:P346)</f>
        <v>131131</v>
      </c>
      <c r="Q347" s="991">
        <f>SUM(Q343:Q346)</f>
        <v>94872</v>
      </c>
      <c r="R347" s="993">
        <f t="shared" si="179"/>
        <v>0.72349025020780744</v>
      </c>
      <c r="S347" s="1692">
        <f>H347/P347</f>
        <v>213.48822659977643</v>
      </c>
      <c r="T347" s="1692">
        <f>H347/Q347</f>
        <v>295.08100010809602</v>
      </c>
      <c r="U347" s="1692">
        <f>Q347*$X$321</f>
        <v>0</v>
      </c>
      <c r="V347" s="994">
        <f>U347/H347</f>
        <v>0</v>
      </c>
      <c r="W347" s="1692">
        <f>X343</f>
        <v>1015</v>
      </c>
      <c r="X347" s="1692"/>
      <c r="Y347" s="991">
        <f>SUM(Y343:Y346)</f>
        <v>10203</v>
      </c>
      <c r="Z347" s="991">
        <f>SUM(Z343:Z346)</f>
        <v>7728</v>
      </c>
      <c r="AA347" s="993">
        <f t="shared" si="183"/>
        <v>0.75742428697441933</v>
      </c>
      <c r="AB347" s="1693">
        <f>H347/Y347</f>
        <v>2743.7934570474649</v>
      </c>
      <c r="AC347" s="1693">
        <f>H347/Z347</f>
        <v>3622.5316566065326</v>
      </c>
      <c r="AD347" s="1692">
        <f t="shared" si="182"/>
        <v>7843920</v>
      </c>
      <c r="AE347" s="995">
        <f>AD347/H347</f>
        <v>0.28019078816023885</v>
      </c>
      <c r="AF347" s="1692">
        <v>1015</v>
      </c>
      <c r="AG347" s="1694"/>
      <c r="AH347" s="1689"/>
      <c r="AI347" s="1689"/>
      <c r="AJ347" s="1689"/>
    </row>
    <row r="348" spans="1:36" s="1683" customFormat="1" ht="18" customHeight="1">
      <c r="A348" s="1695"/>
      <c r="B348" s="1696"/>
      <c r="C348" s="2226" t="s">
        <v>260</v>
      </c>
      <c r="D348" s="2226"/>
      <c r="E348" s="1697"/>
      <c r="F348" s="1697"/>
      <c r="G348" s="1697"/>
      <c r="H348" s="996"/>
      <c r="I348" s="997"/>
      <c r="J348" s="997"/>
      <c r="K348" s="997">
        <v>21121384</v>
      </c>
      <c r="L348" s="998">
        <f>H347/K348</f>
        <v>1.3254304094019258</v>
      </c>
      <c r="M348" s="997">
        <v>2317855</v>
      </c>
      <c r="N348" s="999">
        <f t="shared" si="177"/>
        <v>0.10973973107065332</v>
      </c>
      <c r="O348" s="999">
        <f t="shared" si="178"/>
        <v>4.586611328146066E-2</v>
      </c>
      <c r="P348" s="997">
        <v>106311</v>
      </c>
      <c r="Q348" s="997">
        <v>77088</v>
      </c>
      <c r="R348" s="999">
        <f t="shared" si="179"/>
        <v>0.72511781471343506</v>
      </c>
      <c r="S348" s="1698">
        <f>H347/P348</f>
        <v>263.33046102713064</v>
      </c>
      <c r="T348" s="1698">
        <f>H347/Q348</f>
        <v>363.15541513926013</v>
      </c>
      <c r="U348" s="1698">
        <f>Q348*$X$321</f>
        <v>0</v>
      </c>
      <c r="V348" s="1000">
        <f>U348/H347</f>
        <v>0</v>
      </c>
      <c r="W348" s="1698">
        <f>W347</f>
        <v>1015</v>
      </c>
      <c r="X348" s="1698"/>
      <c r="Y348" s="997"/>
      <c r="Z348" s="997"/>
      <c r="AA348" s="999"/>
      <c r="AB348" s="1699"/>
      <c r="AC348" s="1699"/>
      <c r="AD348" s="1698"/>
      <c r="AE348" s="1001"/>
      <c r="AF348" s="1698"/>
      <c r="AG348" s="1694"/>
      <c r="AH348" s="1689"/>
      <c r="AI348" s="1689"/>
      <c r="AJ348" s="1689"/>
    </row>
    <row r="349" spans="1:36" s="1571" customFormat="1" ht="18" customHeight="1">
      <c r="B349" s="1463"/>
      <c r="C349" s="1465"/>
      <c r="D349" s="1465"/>
      <c r="E349" s="1465"/>
      <c r="F349" s="1465"/>
      <c r="G349" s="1465"/>
      <c r="H349" s="1466"/>
      <c r="I349" s="1466"/>
      <c r="J349" s="1466"/>
      <c r="K349" s="1002"/>
      <c r="L349" s="1468"/>
      <c r="N349" s="1003" t="e">
        <v>#REF!</v>
      </c>
      <c r="O349" s="1003" t="e">
        <v>#REF!</v>
      </c>
      <c r="P349" s="1467"/>
      <c r="Q349" s="1467"/>
      <c r="R349" s="845"/>
      <c r="S349" s="1467"/>
      <c r="T349" s="1467"/>
      <c r="U349" s="1467"/>
      <c r="V349" s="1469"/>
      <c r="W349" s="1467"/>
      <c r="X349" s="1467"/>
      <c r="Y349" s="1467"/>
      <c r="Z349" s="1467"/>
      <c r="AA349" s="845"/>
      <c r="AB349" s="1467"/>
      <c r="AC349" s="1467"/>
      <c r="AD349" s="1467"/>
      <c r="AE349" s="1469"/>
      <c r="AF349" s="1467"/>
      <c r="AG349" s="1470"/>
      <c r="AH349" s="1471"/>
      <c r="AI349" s="1471"/>
      <c r="AJ349" s="1471"/>
    </row>
    <row r="350" spans="1:36" s="1571" customFormat="1" ht="18" customHeight="1">
      <c r="B350" s="1700"/>
      <c r="C350" s="1701"/>
      <c r="D350" s="1702"/>
      <c r="E350" s="1465"/>
      <c r="F350" s="1465"/>
      <c r="G350" s="1465"/>
      <c r="H350" s="1466"/>
      <c r="I350" s="1466"/>
      <c r="J350" s="1466"/>
      <c r="K350" s="1703"/>
      <c r="L350" s="1468"/>
      <c r="N350" s="1003" t="e">
        <v>#REF!</v>
      </c>
      <c r="O350" s="1003" t="e">
        <v>#REF!</v>
      </c>
      <c r="P350" s="1467"/>
      <c r="Q350" s="1467"/>
      <c r="R350" s="845"/>
      <c r="S350" s="1467"/>
      <c r="T350" s="1467"/>
      <c r="U350" s="1467"/>
      <c r="V350" s="1469"/>
      <c r="W350" s="1467"/>
      <c r="X350" s="1467"/>
      <c r="Y350" s="1467"/>
      <c r="Z350" s="1467"/>
      <c r="AA350" s="1005"/>
      <c r="AB350" s="1467"/>
      <c r="AC350" s="1467"/>
      <c r="AD350" s="1467"/>
      <c r="AE350" s="1469"/>
      <c r="AF350" s="1467"/>
      <c r="AG350" s="1470"/>
      <c r="AH350" s="1471"/>
      <c r="AI350" s="1471"/>
      <c r="AJ350" s="1471"/>
    </row>
    <row r="351" spans="1:36" s="1571" customFormat="1">
      <c r="C351" s="940"/>
      <c r="D351" s="940"/>
      <c r="E351" s="940"/>
      <c r="F351" s="940"/>
      <c r="G351" s="940"/>
      <c r="H351" s="1466"/>
      <c r="I351" s="941"/>
      <c r="J351" s="941"/>
      <c r="K351" s="942"/>
      <c r="L351" s="1006"/>
      <c r="M351" s="942"/>
      <c r="N351" s="845"/>
      <c r="O351" s="845"/>
      <c r="P351" s="1704"/>
      <c r="Q351" s="1704"/>
      <c r="R351" s="1007"/>
      <c r="S351" s="942"/>
      <c r="T351" s="942"/>
      <c r="U351" s="942"/>
      <c r="V351" s="947"/>
      <c r="W351" s="942"/>
      <c r="X351" s="1467"/>
      <c r="Y351" s="1008"/>
      <c r="Z351" s="1467"/>
      <c r="AA351" s="845"/>
      <c r="AB351" s="1467"/>
      <c r="AC351" s="1467"/>
      <c r="AD351" s="1467"/>
      <c r="AE351" s="1469"/>
      <c r="AF351" s="1467"/>
      <c r="AG351" s="1009"/>
      <c r="AH351" s="1471"/>
      <c r="AI351" s="1471"/>
      <c r="AJ351" s="1471"/>
    </row>
    <row r="352" spans="1:36" s="1571" customFormat="1">
      <c r="C352" s="940"/>
      <c r="D352" s="940"/>
      <c r="E352" s="940"/>
      <c r="F352" s="940"/>
      <c r="G352" s="940"/>
      <c r="H352" s="1466"/>
      <c r="I352" s="941"/>
      <c r="J352" s="941"/>
      <c r="K352" s="942"/>
      <c r="L352" s="1006"/>
      <c r="M352" s="942"/>
      <c r="N352" s="845"/>
      <c r="O352" s="845"/>
      <c r="P352" s="1704"/>
      <c r="Q352" s="1704"/>
      <c r="R352" s="1007"/>
      <c r="S352" s="942"/>
      <c r="T352" s="942"/>
      <c r="U352" s="942"/>
      <c r="V352" s="947"/>
      <c r="W352" s="942"/>
      <c r="X352" s="942"/>
      <c r="Y352" s="1008"/>
      <c r="Z352" s="1010"/>
      <c r="AA352" s="946"/>
      <c r="AB352" s="1467"/>
      <c r="AC352" s="1467"/>
      <c r="AD352" s="1467"/>
      <c r="AE352" s="1469"/>
      <c r="AF352" s="1467"/>
      <c r="AG352" s="1470"/>
      <c r="AH352" s="1471"/>
      <c r="AI352" s="1471"/>
      <c r="AJ352" s="1471"/>
    </row>
    <row r="353" spans="2:36" s="1571" customFormat="1">
      <c r="B353" s="1472"/>
      <c r="C353" s="940"/>
      <c r="D353" s="940"/>
      <c r="E353" s="940"/>
      <c r="F353" s="940"/>
      <c r="G353" s="940"/>
      <c r="H353" s="1466"/>
      <c r="I353" s="941"/>
      <c r="J353" s="941"/>
      <c r="K353" s="942"/>
      <c r="L353" s="1006"/>
      <c r="M353" s="942"/>
      <c r="N353" s="845"/>
      <c r="O353" s="845"/>
      <c r="P353" s="1704"/>
      <c r="Q353" s="1704"/>
      <c r="R353" s="1007"/>
      <c r="S353" s="942"/>
      <c r="T353" s="942"/>
      <c r="U353" s="942"/>
      <c r="V353" s="947"/>
      <c r="W353" s="942"/>
      <c r="X353" s="942"/>
      <c r="Y353" s="1008"/>
      <c r="Z353" s="1010"/>
      <c r="AA353" s="946"/>
      <c r="AB353" s="1467"/>
      <c r="AC353" s="1467"/>
      <c r="AD353" s="1467"/>
      <c r="AE353" s="1469"/>
      <c r="AF353" s="1467"/>
      <c r="AG353" s="1470"/>
      <c r="AH353" s="1471"/>
      <c r="AI353" s="1471"/>
      <c r="AJ353" s="1471"/>
    </row>
    <row r="354" spans="2:36" s="1571" customFormat="1">
      <c r="B354" s="1472"/>
      <c r="C354" s="940"/>
      <c r="D354" s="940"/>
      <c r="E354" s="940"/>
      <c r="F354" s="940"/>
      <c r="G354" s="940"/>
      <c r="H354" s="1466"/>
      <c r="I354" s="941"/>
      <c r="J354" s="941"/>
      <c r="K354" s="942"/>
      <c r="L354" s="1006"/>
      <c r="M354" s="942"/>
      <c r="N354" s="845"/>
      <c r="O354" s="845"/>
      <c r="P354" s="1704"/>
      <c r="Q354" s="1704"/>
      <c r="R354" s="1007"/>
      <c r="S354" s="942"/>
      <c r="T354" s="942"/>
      <c r="U354" s="942"/>
      <c r="V354" s="947"/>
      <c r="W354" s="942"/>
      <c r="X354" s="942"/>
      <c r="Y354" s="1008"/>
      <c r="Z354" s="1010"/>
      <c r="AA354" s="946"/>
      <c r="AB354" s="1467"/>
      <c r="AC354" s="1467"/>
      <c r="AD354" s="1467"/>
      <c r="AE354" s="1469"/>
      <c r="AF354" s="1467"/>
      <c r="AG354" s="1470"/>
      <c r="AH354" s="1471"/>
      <c r="AI354" s="1471"/>
      <c r="AJ354" s="1471"/>
    </row>
    <row r="355" spans="2:36" s="1571" customFormat="1">
      <c r="B355" s="1472"/>
      <c r="C355" s="940"/>
      <c r="D355" s="940"/>
      <c r="E355" s="940"/>
      <c r="F355" s="940"/>
      <c r="G355" s="940"/>
      <c r="H355" s="1466"/>
      <c r="I355" s="941"/>
      <c r="J355" s="941"/>
      <c r="K355" s="942"/>
      <c r="L355" s="1006"/>
      <c r="M355" s="942"/>
      <c r="N355" s="845"/>
      <c r="O355" s="845"/>
      <c r="P355" s="1704"/>
      <c r="Q355" s="1704"/>
      <c r="R355" s="1007"/>
      <c r="S355" s="942"/>
      <c r="T355" s="942"/>
      <c r="U355" s="942"/>
      <c r="V355" s="947"/>
      <c r="W355" s="942"/>
      <c r="X355" s="942"/>
      <c r="Y355" s="1008"/>
      <c r="Z355" s="1010"/>
      <c r="AA355" s="946"/>
      <c r="AB355" s="1467"/>
      <c r="AC355" s="1467"/>
      <c r="AD355" s="1467"/>
      <c r="AE355" s="1469"/>
      <c r="AF355" s="1467"/>
      <c r="AG355" s="1470"/>
      <c r="AH355" s="1471"/>
      <c r="AI355" s="1471"/>
      <c r="AJ355" s="1471"/>
    </row>
    <row r="356" spans="2:36" s="1571" customFormat="1">
      <c r="B356" s="1472"/>
      <c r="C356" s="940"/>
      <c r="D356" s="940"/>
      <c r="E356" s="940"/>
      <c r="F356" s="940"/>
      <c r="G356" s="940"/>
      <c r="H356" s="1466"/>
      <c r="I356" s="941"/>
      <c r="J356" s="941"/>
      <c r="K356" s="942"/>
      <c r="L356" s="1006"/>
      <c r="M356" s="942"/>
      <c r="N356" s="845"/>
      <c r="O356" s="845"/>
      <c r="P356" s="1704"/>
      <c r="Q356" s="1704"/>
      <c r="R356" s="1007"/>
      <c r="S356" s="942"/>
      <c r="T356" s="942"/>
      <c r="U356" s="942"/>
      <c r="V356" s="947"/>
      <c r="W356" s="942"/>
      <c r="X356" s="942"/>
      <c r="Y356" s="1008"/>
      <c r="Z356" s="1010"/>
      <c r="AA356" s="946"/>
      <c r="AB356" s="1467"/>
      <c r="AC356" s="1467"/>
      <c r="AD356" s="1467"/>
      <c r="AE356" s="1469"/>
      <c r="AF356" s="1467"/>
      <c r="AG356" s="1470"/>
      <c r="AH356" s="1471"/>
      <c r="AI356" s="1471"/>
      <c r="AJ356" s="1471"/>
    </row>
    <row r="357" spans="2:36" s="1571" customFormat="1">
      <c r="B357" s="1472"/>
      <c r="C357" s="940"/>
      <c r="D357" s="940"/>
      <c r="E357" s="940"/>
      <c r="F357" s="940"/>
      <c r="G357" s="940"/>
      <c r="H357" s="1466"/>
      <c r="I357" s="941"/>
      <c r="J357" s="941"/>
      <c r="K357" s="942"/>
      <c r="L357" s="1006"/>
      <c r="M357" s="942"/>
      <c r="N357" s="845"/>
      <c r="O357" s="845"/>
      <c r="P357" s="1704"/>
      <c r="Q357" s="1704"/>
      <c r="R357" s="1007"/>
      <c r="S357" s="942"/>
      <c r="T357" s="942"/>
      <c r="U357" s="942"/>
      <c r="V357" s="947"/>
      <c r="W357" s="942"/>
      <c r="X357" s="942"/>
      <c r="Y357" s="1008"/>
      <c r="Z357" s="1010"/>
      <c r="AA357" s="946"/>
      <c r="AB357" s="1467"/>
      <c r="AC357" s="1467"/>
      <c r="AD357" s="1467"/>
      <c r="AE357" s="1469"/>
      <c r="AF357" s="1467"/>
      <c r="AG357" s="1470"/>
      <c r="AH357" s="1471"/>
      <c r="AI357" s="1471"/>
      <c r="AJ357" s="1471"/>
    </row>
    <row r="358" spans="2:36" s="1473" customFormat="1" ht="22.5">
      <c r="B358" s="850" t="s">
        <v>822</v>
      </c>
      <c r="C358" s="1474"/>
      <c r="D358" s="1474"/>
      <c r="E358" s="1474"/>
      <c r="F358" s="1474"/>
      <c r="G358" s="1474"/>
      <c r="H358" s="1475"/>
      <c r="I358" s="1476"/>
      <c r="J358" s="1476"/>
      <c r="K358" s="1476"/>
      <c r="L358" s="1477"/>
      <c r="M358" s="1476"/>
      <c r="N358" s="851"/>
      <c r="O358" s="851"/>
      <c r="P358" s="1476"/>
      <c r="Q358" s="1476"/>
      <c r="R358" s="851"/>
      <c r="S358" s="1476"/>
      <c r="T358" s="1476"/>
      <c r="U358" s="1476"/>
      <c r="V358" s="1478"/>
      <c r="W358" s="1476"/>
      <c r="X358" s="1476"/>
      <c r="Y358" s="1476"/>
      <c r="Z358" s="1476"/>
      <c r="AA358" s="851"/>
      <c r="AB358" s="1476"/>
      <c r="AC358" s="1476"/>
      <c r="AD358" s="1476"/>
      <c r="AE358" s="1478"/>
      <c r="AF358" s="1476"/>
      <c r="AG358" s="1479"/>
      <c r="AH358" s="1476"/>
      <c r="AI358" s="1476"/>
      <c r="AJ358" s="1476"/>
    </row>
    <row r="359" spans="2:36" s="950" customFormat="1">
      <c r="B359" s="852" t="s">
        <v>238</v>
      </c>
      <c r="C359" s="853" t="s">
        <v>367</v>
      </c>
      <c r="D359" s="940"/>
      <c r="E359" s="940"/>
      <c r="F359" s="940"/>
      <c r="G359" s="940"/>
      <c r="H359" s="941"/>
      <c r="I359" s="942"/>
      <c r="J359" s="942"/>
      <c r="K359" s="943"/>
      <c r="L359" s="944"/>
      <c r="M359" s="945"/>
      <c r="N359" s="946"/>
      <c r="O359" s="845"/>
      <c r="P359" s="942"/>
      <c r="Q359" s="942"/>
      <c r="R359" s="845"/>
      <c r="S359" s="1467"/>
      <c r="T359" s="1467"/>
      <c r="U359" s="1467"/>
      <c r="V359" s="947"/>
      <c r="W359" s="942"/>
      <c r="X359" s="942"/>
      <c r="Y359" s="942"/>
      <c r="Z359" s="942"/>
      <c r="AA359" s="845"/>
      <c r="AB359" s="942"/>
      <c r="AC359" s="942"/>
      <c r="AD359" s="942"/>
      <c r="AE359" s="947"/>
      <c r="AF359" s="1519"/>
      <c r="AG359" s="948"/>
      <c r="AH359" s="949"/>
      <c r="AI359" s="949"/>
      <c r="AJ359" s="949"/>
    </row>
    <row r="360" spans="2:36" s="950" customFormat="1">
      <c r="B360" s="854" t="s">
        <v>82</v>
      </c>
      <c r="C360" s="855" t="s">
        <v>368</v>
      </c>
      <c r="D360" s="940"/>
      <c r="E360" s="940"/>
      <c r="F360" s="940"/>
      <c r="G360" s="940"/>
      <c r="H360" s="941"/>
      <c r="I360" s="942"/>
      <c r="J360" s="942"/>
      <c r="K360" s="1467"/>
      <c r="L360" s="1468"/>
      <c r="M360" s="1467"/>
      <c r="N360" s="845"/>
      <c r="O360" s="845"/>
      <c r="P360" s="942"/>
      <c r="Q360" s="942"/>
      <c r="R360" s="845"/>
      <c r="S360" s="1467"/>
      <c r="T360" s="1467"/>
      <c r="U360" s="1467"/>
      <c r="V360" s="947"/>
      <c r="W360" s="942"/>
      <c r="X360" s="942"/>
      <c r="Y360" s="942"/>
      <c r="Z360" s="942"/>
      <c r="AA360" s="845"/>
      <c r="AB360" s="942"/>
      <c r="AC360" s="942"/>
      <c r="AD360" s="942"/>
      <c r="AE360" s="947"/>
      <c r="AF360" s="1519"/>
      <c r="AG360" s="948"/>
      <c r="AH360" s="949"/>
      <c r="AI360" s="949"/>
      <c r="AJ360" s="949"/>
    </row>
    <row r="361" spans="2:36" s="1571" customFormat="1">
      <c r="B361" s="1705"/>
      <c r="C361" s="1636"/>
      <c r="D361" s="1636"/>
      <c r="E361" s="1636"/>
      <c r="F361" s="1636"/>
      <c r="G361" s="1636"/>
      <c r="H361" s="1637"/>
      <c r="I361" s="1638"/>
      <c r="J361" s="1638"/>
      <c r="K361" s="1467"/>
      <c r="L361" s="1468"/>
      <c r="M361" s="1467"/>
      <c r="N361" s="845"/>
      <c r="O361" s="845"/>
      <c r="P361" s="1638"/>
      <c r="Q361" s="1638"/>
      <c r="R361" s="845"/>
      <c r="S361" s="1467"/>
      <c r="T361" s="1467"/>
      <c r="U361" s="1467"/>
      <c r="V361" s="1639"/>
      <c r="W361" s="1638"/>
      <c r="X361" s="1638"/>
      <c r="Y361" s="1638"/>
      <c r="Z361" s="1638"/>
      <c r="AA361" s="969"/>
      <c r="AB361" s="1638"/>
      <c r="AC361" s="1638"/>
      <c r="AD361" s="1638"/>
      <c r="AE361" s="1639"/>
      <c r="AF361" s="1519"/>
      <c r="AG361" s="1640"/>
      <c r="AH361" s="1641"/>
      <c r="AI361" s="1641"/>
      <c r="AJ361" s="1641"/>
    </row>
    <row r="362" spans="2:36" s="1480" customFormat="1">
      <c r="B362" s="1011"/>
      <c r="C362" s="1608"/>
      <c r="D362" s="1608"/>
      <c r="E362" s="1608"/>
      <c r="F362" s="1608"/>
      <c r="G362" s="1608"/>
      <c r="H362" s="1609"/>
      <c r="I362" s="1609"/>
      <c r="J362" s="1609"/>
      <c r="K362" s="1610"/>
      <c r="L362" s="1611"/>
      <c r="M362" s="1012"/>
      <c r="N362" s="953"/>
      <c r="O362" s="953"/>
      <c r="P362" s="1012"/>
      <c r="Q362" s="1610"/>
      <c r="R362" s="954"/>
      <c r="S362" s="1610"/>
      <c r="T362" s="1610"/>
      <c r="U362" s="1610"/>
      <c r="V362" s="1612"/>
      <c r="W362" s="1610"/>
      <c r="X362" s="1610"/>
      <c r="Y362" s="1012"/>
      <c r="Z362" s="1610"/>
      <c r="AA362" s="954"/>
      <c r="AB362" s="1610"/>
      <c r="AC362" s="1610"/>
      <c r="AD362" s="1610"/>
      <c r="AE362" s="1612"/>
      <c r="AF362" s="1610"/>
      <c r="AG362" s="1470"/>
      <c r="AH362" s="1613"/>
      <c r="AI362" s="1613"/>
      <c r="AJ362" s="1613"/>
    </row>
    <row r="363" spans="2:36" s="1571" customFormat="1" ht="18" customHeight="1">
      <c r="B363" s="2224" t="s">
        <v>32</v>
      </c>
      <c r="C363" s="2224" t="s">
        <v>31</v>
      </c>
      <c r="D363" s="2224" t="s">
        <v>30</v>
      </c>
      <c r="E363" s="2224" t="s">
        <v>242</v>
      </c>
      <c r="F363" s="2224"/>
      <c r="G363" s="2224"/>
      <c r="H363" s="2210" t="s">
        <v>29</v>
      </c>
      <c r="I363" s="2210"/>
      <c r="J363" s="2210"/>
      <c r="K363" s="2224" t="s">
        <v>243</v>
      </c>
      <c r="L363" s="2224"/>
      <c r="M363" s="2224"/>
      <c r="N363" s="2224"/>
      <c r="O363" s="2224"/>
      <c r="P363" s="2224"/>
      <c r="Q363" s="2224"/>
      <c r="R363" s="2224"/>
      <c r="S363" s="2224"/>
      <c r="T363" s="2224"/>
      <c r="U363" s="2224"/>
      <c r="V363" s="2224"/>
      <c r="W363" s="2224"/>
      <c r="X363" s="2224"/>
      <c r="Y363" s="2224" t="s">
        <v>27</v>
      </c>
      <c r="Z363" s="2224"/>
      <c r="AA363" s="2224"/>
      <c r="AB363" s="2224"/>
      <c r="AC363" s="2224"/>
      <c r="AD363" s="2224"/>
      <c r="AE363" s="2224"/>
      <c r="AF363" s="2224"/>
      <c r="AG363" s="1676"/>
      <c r="AH363" s="1677" t="s">
        <v>244</v>
      </c>
      <c r="AI363" s="1677" t="s">
        <v>245</v>
      </c>
      <c r="AJ363" s="1677" t="s">
        <v>246</v>
      </c>
    </row>
    <row r="364" spans="2:36" s="1571" customFormat="1" ht="50.25" customHeight="1">
      <c r="B364" s="2224"/>
      <c r="C364" s="2224"/>
      <c r="D364" s="2224"/>
      <c r="E364" s="1706" t="s">
        <v>247</v>
      </c>
      <c r="F364" s="1706" t="s">
        <v>248</v>
      </c>
      <c r="G364" s="1706" t="s">
        <v>249</v>
      </c>
      <c r="H364" s="1708" t="s">
        <v>26</v>
      </c>
      <c r="I364" s="1708" t="s">
        <v>25</v>
      </c>
      <c r="J364" s="1708" t="s">
        <v>250</v>
      </c>
      <c r="K364" s="1708" t="s">
        <v>23</v>
      </c>
      <c r="L364" s="1709" t="s">
        <v>22</v>
      </c>
      <c r="M364" s="1708" t="s">
        <v>251</v>
      </c>
      <c r="N364" s="1013" t="s">
        <v>20</v>
      </c>
      <c r="O364" s="1013" t="s">
        <v>19</v>
      </c>
      <c r="P364" s="1708" t="s">
        <v>18</v>
      </c>
      <c r="Q364" s="1708" t="s">
        <v>17</v>
      </c>
      <c r="R364" s="1014" t="s">
        <v>16</v>
      </c>
      <c r="S364" s="1708" t="s">
        <v>15</v>
      </c>
      <c r="T364" s="1710" t="s">
        <v>14</v>
      </c>
      <c r="U364" s="1710" t="s">
        <v>13</v>
      </c>
      <c r="V364" s="1711" t="s">
        <v>12</v>
      </c>
      <c r="W364" s="1707" t="s">
        <v>3</v>
      </c>
      <c r="X364" s="1707" t="s">
        <v>11</v>
      </c>
      <c r="Y364" s="1707" t="s">
        <v>10</v>
      </c>
      <c r="Z364" s="1708" t="s">
        <v>9</v>
      </c>
      <c r="AA364" s="1015" t="s">
        <v>8</v>
      </c>
      <c r="AB364" s="1707" t="s">
        <v>7</v>
      </c>
      <c r="AC364" s="1707" t="s">
        <v>6</v>
      </c>
      <c r="AD364" s="1707" t="s">
        <v>5</v>
      </c>
      <c r="AE364" s="1712" t="s">
        <v>4</v>
      </c>
      <c r="AF364" s="1707" t="s">
        <v>3</v>
      </c>
      <c r="AG364" s="1676"/>
      <c r="AH364" s="1471"/>
      <c r="AI364" s="1641"/>
      <c r="AJ364" s="1471"/>
    </row>
    <row r="365" spans="2:36" s="1683" customFormat="1" ht="18" customHeight="1">
      <c r="B365" s="1684" t="s">
        <v>369</v>
      </c>
      <c r="C365" s="1685" t="s">
        <v>806</v>
      </c>
      <c r="D365" s="1684" t="s">
        <v>345</v>
      </c>
      <c r="E365" s="1684"/>
      <c r="F365" s="1684"/>
      <c r="G365" s="1684"/>
      <c r="H365" s="983">
        <f>I365+J365</f>
        <v>3562512.06</v>
      </c>
      <c r="I365" s="984">
        <f t="shared" ref="I365:I367" si="184">AI365+AJ365</f>
        <v>1985342.06</v>
      </c>
      <c r="J365" s="984">
        <f>AH365</f>
        <v>1577170</v>
      </c>
      <c r="K365" s="1686">
        <v>1795007</v>
      </c>
      <c r="L365" s="985">
        <f>H365/K365</f>
        <v>1.9846786447072351</v>
      </c>
      <c r="M365" s="1686">
        <v>118251</v>
      </c>
      <c r="N365" s="986">
        <f>M365/K365</f>
        <v>6.5877737524143359E-2</v>
      </c>
      <c r="O365" s="986">
        <f>P365/M365</f>
        <v>4.2638117225224308E-2</v>
      </c>
      <c r="P365" s="1686">
        <v>5042</v>
      </c>
      <c r="Q365" s="1686">
        <v>3802</v>
      </c>
      <c r="R365" s="986">
        <f>Q365/P365</f>
        <v>0.7540658468861563</v>
      </c>
      <c r="S365" s="987">
        <f>H365/P365</f>
        <v>706.56724712415712</v>
      </c>
      <c r="T365" s="987">
        <f>H365/Q365</f>
        <v>937.01001052077856</v>
      </c>
      <c r="U365" s="987">
        <f>X365*Q365</f>
        <v>3859030</v>
      </c>
      <c r="V365" s="988">
        <f>U365/H365</f>
        <v>1.083232824199899</v>
      </c>
      <c r="W365" s="1687">
        <v>720</v>
      </c>
      <c r="X365" s="2227">
        <v>1015</v>
      </c>
      <c r="Y365" s="1686">
        <v>506</v>
      </c>
      <c r="Z365" s="1686">
        <v>417</v>
      </c>
      <c r="AA365" s="986">
        <f>Z365/Y365</f>
        <v>0.82411067193675891</v>
      </c>
      <c r="AB365" s="987">
        <f>H365/Y365</f>
        <v>7040.5376679841902</v>
      </c>
      <c r="AC365" s="987">
        <f>H365/Z365</f>
        <v>8543.194388489208</v>
      </c>
      <c r="AD365" s="987">
        <f>Z365*AF365</f>
        <v>300240</v>
      </c>
      <c r="AE365" s="989">
        <f>AD365/H365</f>
        <v>8.4277609434955852E-2</v>
      </c>
      <c r="AF365" s="1687">
        <v>720</v>
      </c>
      <c r="AG365" s="1688" t="s">
        <v>282</v>
      </c>
      <c r="AH365" s="1689">
        <f>1827170-250000</f>
        <v>1577170</v>
      </c>
      <c r="AI365" s="1689">
        <f>1281211-300000</f>
        <v>981211</v>
      </c>
      <c r="AJ365" s="1689">
        <f>1204131.06-200000</f>
        <v>1004131.06</v>
      </c>
    </row>
    <row r="366" spans="2:36" s="1683" customFormat="1" ht="18" customHeight="1">
      <c r="B366" s="1684" t="s">
        <v>369</v>
      </c>
      <c r="C366" s="1685" t="s">
        <v>807</v>
      </c>
      <c r="D366" s="1684" t="s">
        <v>370</v>
      </c>
      <c r="E366" s="1684"/>
      <c r="F366" s="1684"/>
      <c r="G366" s="1684"/>
      <c r="H366" s="983">
        <f t="shared" ref="H366:H368" si="185">I366+J366</f>
        <v>4663385.7400000049</v>
      </c>
      <c r="I366" s="984">
        <f t="shared" si="184"/>
        <v>1225331.7400000049</v>
      </c>
      <c r="J366" s="984">
        <f t="shared" ref="J366:J367" si="186">AH366</f>
        <v>3438054</v>
      </c>
      <c r="K366" s="1686">
        <v>3458766</v>
      </c>
      <c r="L366" s="985">
        <f>H366/K366</f>
        <v>1.3482802074497104</v>
      </c>
      <c r="M366" s="1686">
        <v>198524</v>
      </c>
      <c r="N366" s="986">
        <f>M366/K366</f>
        <v>5.7397349228019472E-2</v>
      </c>
      <c r="O366" s="986">
        <f>P366/M366</f>
        <v>3.2640889766476597E-2</v>
      </c>
      <c r="P366" s="1686">
        <v>6480</v>
      </c>
      <c r="Q366" s="1686">
        <v>4468</v>
      </c>
      <c r="R366" s="986">
        <f>Q366/P366</f>
        <v>0.68950617283950622</v>
      </c>
      <c r="S366" s="987">
        <f>H366/P366</f>
        <v>719.65829320987734</v>
      </c>
      <c r="T366" s="987">
        <f>H366/Q366</f>
        <v>1043.7300223813797</v>
      </c>
      <c r="U366" s="987">
        <f>X365*Q366</f>
        <v>4535020</v>
      </c>
      <c r="V366" s="988">
        <f>U366/H366</f>
        <v>0.97247370319402215</v>
      </c>
      <c r="W366" s="1687">
        <v>1820</v>
      </c>
      <c r="X366" s="2227"/>
      <c r="Y366" s="1686">
        <v>529</v>
      </c>
      <c r="Z366" s="1686">
        <v>381</v>
      </c>
      <c r="AA366" s="986">
        <f t="shared" ref="AA366:AA368" si="187">Z366/Y366</f>
        <v>0.72022684310018903</v>
      </c>
      <c r="AB366" s="987">
        <f>H366/Y366</f>
        <v>8815.4739886578536</v>
      </c>
      <c r="AC366" s="987">
        <f>H366/Z366</f>
        <v>12239.85758530185</v>
      </c>
      <c r="AD366" s="987">
        <f t="shared" ref="AD366:AD368" si="188">Z366*AF366</f>
        <v>693420</v>
      </c>
      <c r="AE366" s="989">
        <f>AD366/H366</f>
        <v>0.14869454054641409</v>
      </c>
      <c r="AF366" s="1687">
        <v>1820</v>
      </c>
      <c r="AG366" s="1713" t="s">
        <v>257</v>
      </c>
      <c r="AH366" s="1689">
        <v>3438054</v>
      </c>
      <c r="AI366" s="1689">
        <v>494952.80000000499</v>
      </c>
      <c r="AJ366" s="1689">
        <v>730378.94</v>
      </c>
    </row>
    <row r="367" spans="2:36" s="1683" customFormat="1" ht="18" customHeight="1">
      <c r="B367" s="1684" t="s">
        <v>369</v>
      </c>
      <c r="C367" s="1714" t="s">
        <v>824</v>
      </c>
      <c r="D367" s="1684" t="s">
        <v>371</v>
      </c>
      <c r="E367" s="1684"/>
      <c r="F367" s="1684"/>
      <c r="G367" s="1684"/>
      <c r="H367" s="983">
        <f t="shared" si="185"/>
        <v>5193448.8099999996</v>
      </c>
      <c r="I367" s="984">
        <f t="shared" si="184"/>
        <v>1950237.16</v>
      </c>
      <c r="J367" s="984">
        <f t="shared" si="186"/>
        <v>3243211.65</v>
      </c>
      <c r="K367" s="1686">
        <v>5541822</v>
      </c>
      <c r="L367" s="985">
        <f>H367/K367</f>
        <v>0.93713742700505354</v>
      </c>
      <c r="M367" s="1686">
        <v>334137</v>
      </c>
      <c r="N367" s="986">
        <f>M367/K367</f>
        <v>6.0293708459059132E-2</v>
      </c>
      <c r="O367" s="986">
        <f>P367/M367</f>
        <v>3.2118562146664392E-2</v>
      </c>
      <c r="P367" s="1686">
        <v>10732</v>
      </c>
      <c r="Q367" s="1686">
        <v>7592</v>
      </c>
      <c r="R367" s="986">
        <f>Q367/P367</f>
        <v>0.70741707044353341</v>
      </c>
      <c r="S367" s="987">
        <f>H367/P367</f>
        <v>483.92180488259407</v>
      </c>
      <c r="T367" s="987">
        <f>H367/Q367</f>
        <v>684.06859984193886</v>
      </c>
      <c r="U367" s="987">
        <f>X365*Q367</f>
        <v>7705880</v>
      </c>
      <c r="V367" s="988">
        <f>U367/H367</f>
        <v>1.4837693182153462</v>
      </c>
      <c r="W367" s="1715">
        <v>980</v>
      </c>
      <c r="X367" s="2227"/>
      <c r="Y367" s="1686">
        <v>891</v>
      </c>
      <c r="Z367" s="1686">
        <v>648</v>
      </c>
      <c r="AA367" s="986">
        <f t="shared" si="187"/>
        <v>0.72727272727272729</v>
      </c>
      <c r="AB367" s="987">
        <f>H367/Y367</f>
        <v>5828.7865432098761</v>
      </c>
      <c r="AC367" s="987">
        <f>H367/Z367</f>
        <v>8014.5814969135799</v>
      </c>
      <c r="AD367" s="987">
        <f t="shared" si="188"/>
        <v>635040</v>
      </c>
      <c r="AE367" s="989">
        <f>AD367/H367</f>
        <v>0.12227712705615366</v>
      </c>
      <c r="AF367" s="1715">
        <v>980</v>
      </c>
      <c r="AG367" s="404" t="s">
        <v>257</v>
      </c>
      <c r="AH367" s="1689">
        <v>3243211.65</v>
      </c>
      <c r="AI367" s="1689">
        <v>530000</v>
      </c>
      <c r="AJ367" s="1689">
        <v>1420237.16</v>
      </c>
    </row>
    <row r="368" spans="2:36" s="1683" customFormat="1" ht="18" customHeight="1">
      <c r="B368" s="1716"/>
      <c r="C368" s="2223" t="s">
        <v>0</v>
      </c>
      <c r="D368" s="2223"/>
      <c r="E368" s="1717"/>
      <c r="F368" s="1717"/>
      <c r="G368" s="1717"/>
      <c r="H368" s="1017">
        <f t="shared" si="185"/>
        <v>13419346.610000005</v>
      </c>
      <c r="I368" s="1018">
        <f>SUM(I365:I367)</f>
        <v>5160910.9600000046</v>
      </c>
      <c r="J368" s="1018">
        <f>SUM(J365:J367)</f>
        <v>8258435.6500000004</v>
      </c>
      <c r="K368" s="1018">
        <f>SUM(K365:K367)</f>
        <v>10795595</v>
      </c>
      <c r="L368" s="1019">
        <f>H368/K368</f>
        <v>1.243039092333494</v>
      </c>
      <c r="M368" s="1018">
        <f>SUM(M365:M367)</f>
        <v>650912</v>
      </c>
      <c r="N368" s="1020">
        <f>M368/K368</f>
        <v>6.0294221856229326E-2</v>
      </c>
      <c r="O368" s="1020">
        <f>P368/M368</f>
        <v>3.4188953345459912E-2</v>
      </c>
      <c r="P368" s="1018">
        <f>SUM(P365:P367)</f>
        <v>22254</v>
      </c>
      <c r="Q368" s="1018">
        <f>SUM(Q365:Q367)</f>
        <v>15862</v>
      </c>
      <c r="R368" s="1020">
        <f>Q368/P368</f>
        <v>0.71277073784488187</v>
      </c>
      <c r="S368" s="1718">
        <f>H368/P368</f>
        <v>603.00829558731039</v>
      </c>
      <c r="T368" s="1718">
        <f>H368/Q368</f>
        <v>846.0059645694115</v>
      </c>
      <c r="U368" s="1718">
        <f>Q368*$X$321</f>
        <v>0</v>
      </c>
      <c r="V368" s="1021">
        <f>U368/H368</f>
        <v>0</v>
      </c>
      <c r="W368" s="1718">
        <f>X365</f>
        <v>1015</v>
      </c>
      <c r="X368" s="1718"/>
      <c r="Y368" s="1018">
        <f>SUM(Y365:Y367)</f>
        <v>1926</v>
      </c>
      <c r="Z368" s="1018">
        <f>SUM(Z365:Z367)</f>
        <v>1446</v>
      </c>
      <c r="AA368" s="1020">
        <f t="shared" si="187"/>
        <v>0.75077881619937692</v>
      </c>
      <c r="AB368" s="1719">
        <f>H368/Y368</f>
        <v>6967.4696832814152</v>
      </c>
      <c r="AC368" s="1719">
        <f>H368/Z368</f>
        <v>9280.3226901798098</v>
      </c>
      <c r="AD368" s="1718">
        <f t="shared" si="188"/>
        <v>1467690</v>
      </c>
      <c r="AE368" s="1022">
        <f>AD368/H368</f>
        <v>0.10937119687379469</v>
      </c>
      <c r="AF368" s="1718">
        <v>1015</v>
      </c>
      <c r="AG368" s="1694"/>
      <c r="AH368" s="1689"/>
      <c r="AI368" s="1689"/>
      <c r="AJ368" s="1689"/>
    </row>
    <row r="369" spans="1:36" s="1683" customFormat="1" ht="18" customHeight="1">
      <c r="A369" s="1695"/>
      <c r="B369" s="1696"/>
      <c r="C369" s="2226" t="s">
        <v>260</v>
      </c>
      <c r="D369" s="2226"/>
      <c r="E369" s="1697"/>
      <c r="F369" s="1697"/>
      <c r="G369" s="1697"/>
      <c r="H369" s="996"/>
      <c r="I369" s="997"/>
      <c r="J369" s="997"/>
      <c r="K369" s="997">
        <v>7139753</v>
      </c>
      <c r="L369" s="998">
        <f>H368/K369</f>
        <v>1.8795253295177026</v>
      </c>
      <c r="M369" s="997">
        <v>437800</v>
      </c>
      <c r="N369" s="999">
        <f>M369/K369</f>
        <v>6.1318647857986124E-2</v>
      </c>
      <c r="O369" s="999">
        <f>P369/M369</f>
        <v>3.4892645043398812E-2</v>
      </c>
      <c r="P369" s="997">
        <v>15276</v>
      </c>
      <c r="Q369" s="997">
        <v>11021</v>
      </c>
      <c r="R369" s="999">
        <f>Q369/P369</f>
        <v>0.72145849698874054</v>
      </c>
      <c r="S369" s="1698">
        <f>H368/P369</f>
        <v>878.45945339094033</v>
      </c>
      <c r="T369" s="1698">
        <f>H368/Q369</f>
        <v>1217.6160611559753</v>
      </c>
      <c r="U369" s="1698">
        <f>Q369*$X$321</f>
        <v>0</v>
      </c>
      <c r="V369" s="1000">
        <f>U369/H368</f>
        <v>0</v>
      </c>
      <c r="W369" s="1698">
        <f>W368</f>
        <v>1015</v>
      </c>
      <c r="X369" s="1698"/>
      <c r="Y369" s="997"/>
      <c r="Z369" s="997"/>
      <c r="AA369" s="999"/>
      <c r="AB369" s="1699"/>
      <c r="AC369" s="1699"/>
      <c r="AD369" s="1698"/>
      <c r="AE369" s="1001"/>
      <c r="AF369" s="1698"/>
      <c r="AG369" s="1694"/>
      <c r="AH369" s="1689"/>
      <c r="AI369" s="1689"/>
      <c r="AJ369" s="1689"/>
    </row>
    <row r="370" spans="1:36" s="1571" customFormat="1">
      <c r="B370" s="1463"/>
      <c r="C370" s="1465"/>
      <c r="D370" s="1465"/>
      <c r="E370" s="1465"/>
      <c r="F370" s="1465"/>
      <c r="G370" s="1465"/>
      <c r="H370" s="1466"/>
      <c r="I370" s="1466"/>
      <c r="J370" s="1466"/>
      <c r="K370" s="1023"/>
      <c r="L370" s="1468"/>
      <c r="N370" s="1003">
        <v>4.7E-2</v>
      </c>
      <c r="O370" s="1003">
        <v>4.8000000000000001E-2</v>
      </c>
      <c r="P370" s="1467"/>
      <c r="Q370" s="1467"/>
      <c r="R370" s="845"/>
      <c r="S370" s="1467"/>
      <c r="T370" s="1467"/>
      <c r="U370" s="1467"/>
      <c r="V370" s="1469"/>
      <c r="W370" s="1467"/>
      <c r="X370" s="1467"/>
      <c r="Y370" s="1467"/>
      <c r="Z370" s="1467"/>
      <c r="AA370" s="845"/>
      <c r="AB370" s="1467"/>
      <c r="AC370" s="1467"/>
      <c r="AD370" s="1467"/>
      <c r="AE370" s="1469"/>
      <c r="AF370" s="1467"/>
      <c r="AG370" s="1470"/>
      <c r="AH370" s="1471"/>
      <c r="AI370" s="1471"/>
      <c r="AJ370" s="1471"/>
    </row>
    <row r="371" spans="1:36" s="1571" customFormat="1">
      <c r="B371" s="1700"/>
      <c r="C371" s="1720"/>
      <c r="D371" s="1702"/>
      <c r="E371" s="1465"/>
      <c r="F371" s="1465"/>
      <c r="G371" s="1465"/>
      <c r="H371" s="1466"/>
      <c r="I371" s="1466"/>
      <c r="J371" s="1466"/>
      <c r="K371" s="1703"/>
      <c r="L371" s="1468"/>
      <c r="N371" s="1003">
        <v>5.1999999999999998E-2</v>
      </c>
      <c r="O371" s="1003">
        <v>2.7E-2</v>
      </c>
      <c r="P371" s="1467"/>
      <c r="Q371" s="1467"/>
      <c r="R371" s="845"/>
      <c r="S371" s="1467"/>
      <c r="T371" s="1467"/>
      <c r="U371" s="1467"/>
      <c r="V371" s="1469"/>
      <c r="W371" s="1467"/>
      <c r="X371" s="1467"/>
      <c r="Y371" s="1467"/>
      <c r="Z371" s="1467"/>
      <c r="AA371" s="845"/>
      <c r="AB371" s="1467"/>
      <c r="AC371" s="1467"/>
      <c r="AD371" s="1467"/>
      <c r="AE371" s="1469"/>
      <c r="AF371" s="1467"/>
      <c r="AG371" s="1470"/>
      <c r="AH371" s="1471"/>
      <c r="AI371" s="1471"/>
      <c r="AJ371" s="1471"/>
    </row>
    <row r="372" spans="1:36" s="1571" customFormat="1">
      <c r="B372" s="1700"/>
      <c r="C372" s="1465"/>
      <c r="D372" s="1465"/>
      <c r="E372" s="1465"/>
      <c r="F372" s="1465"/>
      <c r="G372" s="1465"/>
      <c r="H372" s="1466"/>
      <c r="I372" s="1466"/>
      <c r="J372" s="1466"/>
      <c r="K372" s="1703"/>
      <c r="L372" s="1468"/>
      <c r="N372" s="1003">
        <v>4.8000000000000001E-2</v>
      </c>
      <c r="O372" s="1003">
        <v>5.8000000000000003E-2</v>
      </c>
      <c r="P372" s="1467"/>
      <c r="Q372" s="1467"/>
      <c r="R372" s="1024"/>
      <c r="S372" s="1467"/>
      <c r="T372" s="1467"/>
      <c r="U372" s="1467"/>
      <c r="V372" s="1469"/>
      <c r="W372" s="1467"/>
      <c r="X372" s="1467"/>
      <c r="Y372" s="1467"/>
      <c r="Z372" s="1467"/>
      <c r="AA372" s="845"/>
      <c r="AB372" s="1467"/>
      <c r="AC372" s="1467"/>
      <c r="AD372" s="1467"/>
      <c r="AE372" s="1469"/>
      <c r="AF372" s="1467"/>
      <c r="AG372" s="1470"/>
      <c r="AH372" s="1471"/>
      <c r="AI372" s="1471"/>
      <c r="AJ372" s="1471"/>
    </row>
    <row r="373" spans="1:36" s="1571" customFormat="1">
      <c r="B373" s="1472"/>
      <c r="C373" s="940"/>
      <c r="D373" s="940"/>
      <c r="E373" s="940"/>
      <c r="F373" s="940"/>
      <c r="G373" s="940"/>
      <c r="H373" s="1466"/>
      <c r="I373" s="941"/>
      <c r="J373" s="941"/>
      <c r="K373" s="942"/>
      <c r="L373" s="1006"/>
      <c r="M373" s="942"/>
      <c r="N373" s="845"/>
      <c r="O373" s="845"/>
      <c r="P373" s="1704"/>
      <c r="Q373" s="1704"/>
      <c r="R373" s="1007"/>
      <c r="S373" s="942"/>
      <c r="T373" s="942"/>
      <c r="U373" s="942"/>
      <c r="V373" s="947"/>
      <c r="W373" s="942"/>
      <c r="X373" s="942"/>
      <c r="Y373" s="1008"/>
      <c r="Z373" s="1010"/>
      <c r="AA373" s="946"/>
      <c r="AB373" s="1467"/>
      <c r="AC373" s="1467"/>
      <c r="AD373" s="1467"/>
      <c r="AE373" s="1469"/>
      <c r="AF373" s="1467"/>
      <c r="AG373" s="1470"/>
      <c r="AH373" s="1471"/>
      <c r="AI373" s="1471"/>
      <c r="AJ373" s="1471"/>
    </row>
    <row r="374" spans="1:36" s="1571" customFormat="1">
      <c r="B374" s="1472"/>
      <c r="C374" s="940"/>
      <c r="D374" s="940"/>
      <c r="E374" s="940"/>
      <c r="F374" s="940"/>
      <c r="G374" s="940"/>
      <c r="H374" s="1466"/>
      <c r="I374" s="941"/>
      <c r="J374" s="941"/>
      <c r="K374" s="942"/>
      <c r="L374" s="1006"/>
      <c r="M374" s="942"/>
      <c r="N374" s="845"/>
      <c r="O374" s="845"/>
      <c r="P374" s="1704"/>
      <c r="Q374" s="1704"/>
      <c r="R374" s="1007"/>
      <c r="S374" s="942"/>
      <c r="T374" s="942"/>
      <c r="U374" s="942"/>
      <c r="V374" s="947"/>
      <c r="W374" s="942"/>
      <c r="X374" s="942"/>
      <c r="Y374" s="1008"/>
      <c r="Z374" s="1010"/>
      <c r="AA374" s="946"/>
      <c r="AB374" s="1467"/>
      <c r="AC374" s="1467"/>
      <c r="AD374" s="1467"/>
      <c r="AE374" s="1469"/>
      <c r="AF374" s="1467"/>
      <c r="AG374" s="1470"/>
      <c r="AH374" s="1471"/>
      <c r="AI374" s="1471"/>
      <c r="AJ374" s="1471"/>
    </row>
    <row r="375" spans="1:36" s="1571" customFormat="1">
      <c r="B375" s="1472"/>
      <c r="C375" s="940"/>
      <c r="D375" s="940"/>
      <c r="E375" s="940"/>
      <c r="F375" s="940"/>
      <c r="G375" s="940"/>
      <c r="H375" s="1466"/>
      <c r="I375" s="941"/>
      <c r="J375" s="941"/>
      <c r="K375" s="942"/>
      <c r="L375" s="1006"/>
      <c r="M375" s="942"/>
      <c r="N375" s="845"/>
      <c r="O375" s="845"/>
      <c r="P375" s="1704"/>
      <c r="Q375" s="1704"/>
      <c r="R375" s="1007"/>
      <c r="S375" s="942"/>
      <c r="T375" s="942"/>
      <c r="U375" s="942"/>
      <c r="V375" s="947"/>
      <c r="W375" s="942"/>
      <c r="X375" s="942"/>
      <c r="Y375" s="1008"/>
      <c r="Z375" s="1010"/>
      <c r="AA375" s="946"/>
      <c r="AB375" s="1467"/>
      <c r="AC375" s="1467"/>
      <c r="AD375" s="1467"/>
      <c r="AE375" s="1469"/>
      <c r="AF375" s="1467"/>
      <c r="AG375" s="1470"/>
      <c r="AH375" s="1471"/>
      <c r="AI375" s="1471"/>
      <c r="AJ375" s="1471"/>
    </row>
    <row r="376" spans="1:36" s="1571" customFormat="1">
      <c r="B376" s="1472"/>
      <c r="C376" s="940"/>
      <c r="D376" s="940"/>
      <c r="E376" s="940"/>
      <c r="F376" s="940"/>
      <c r="G376" s="940"/>
      <c r="H376" s="1466"/>
      <c r="I376" s="941"/>
      <c r="J376" s="941"/>
      <c r="K376" s="942"/>
      <c r="L376" s="1006"/>
      <c r="M376" s="942"/>
      <c r="N376" s="845"/>
      <c r="O376" s="845"/>
      <c r="P376" s="1704"/>
      <c r="Q376" s="1704"/>
      <c r="R376" s="1007"/>
      <c r="S376" s="942"/>
      <c r="T376" s="942"/>
      <c r="U376" s="942"/>
      <c r="V376" s="947"/>
      <c r="W376" s="942"/>
      <c r="X376" s="942"/>
      <c r="Y376" s="1008"/>
      <c r="Z376" s="1010"/>
      <c r="AA376" s="946"/>
      <c r="AB376" s="1467"/>
      <c r="AC376" s="1467"/>
      <c r="AD376" s="1467"/>
      <c r="AE376" s="1469"/>
      <c r="AF376" s="1467"/>
      <c r="AG376" s="1470"/>
      <c r="AH376" s="1471"/>
      <c r="AI376" s="1471"/>
      <c r="AJ376" s="1471"/>
    </row>
    <row r="377" spans="1:36" s="1571" customFormat="1">
      <c r="B377" s="1472"/>
      <c r="C377" s="940"/>
      <c r="D377" s="940"/>
      <c r="E377" s="940"/>
      <c r="F377" s="940"/>
      <c r="G377" s="940"/>
      <c r="H377" s="1466"/>
      <c r="I377" s="941"/>
      <c r="J377" s="941"/>
      <c r="K377" s="942"/>
      <c r="L377" s="1006"/>
      <c r="M377" s="942"/>
      <c r="N377" s="845"/>
      <c r="O377" s="845"/>
      <c r="P377" s="1704"/>
      <c r="Q377" s="1704"/>
      <c r="R377" s="1007"/>
      <c r="S377" s="942"/>
      <c r="T377" s="942"/>
      <c r="U377" s="942"/>
      <c r="V377" s="947"/>
      <c r="W377" s="942"/>
      <c r="X377" s="942"/>
      <c r="Y377" s="1008"/>
      <c r="Z377" s="1010"/>
      <c r="AA377" s="946"/>
      <c r="AB377" s="1467"/>
      <c r="AC377" s="1467"/>
      <c r="AD377" s="1467"/>
      <c r="AE377" s="1469"/>
      <c r="AF377" s="1467"/>
      <c r="AG377" s="1470"/>
      <c r="AH377" s="1471"/>
      <c r="AI377" s="1471"/>
      <c r="AJ377" s="1471"/>
    </row>
    <row r="378" spans="1:36" s="1473" customFormat="1" ht="22.5">
      <c r="B378" s="850" t="s">
        <v>822</v>
      </c>
      <c r="C378" s="1474"/>
      <c r="D378" s="1474"/>
      <c r="E378" s="1474"/>
      <c r="F378" s="1474"/>
      <c r="G378" s="1474"/>
      <c r="H378" s="1475"/>
      <c r="I378" s="1476"/>
      <c r="J378" s="1476"/>
      <c r="K378" s="1476"/>
      <c r="L378" s="1477"/>
      <c r="M378" s="1476"/>
      <c r="N378" s="851"/>
      <c r="O378" s="851"/>
      <c r="P378" s="1476"/>
      <c r="Q378" s="1476"/>
      <c r="R378" s="851"/>
      <c r="S378" s="1476"/>
      <c r="T378" s="1476"/>
      <c r="U378" s="1476"/>
      <c r="V378" s="1478"/>
      <c r="W378" s="1476"/>
      <c r="X378" s="1476"/>
      <c r="Y378" s="1476"/>
      <c r="Z378" s="1476"/>
      <c r="AA378" s="851"/>
      <c r="AB378" s="1476"/>
      <c r="AC378" s="1476"/>
      <c r="AD378" s="1476"/>
      <c r="AE378" s="1478"/>
      <c r="AF378" s="1476"/>
      <c r="AG378" s="1479"/>
      <c r="AH378" s="1476"/>
      <c r="AI378" s="1476"/>
      <c r="AJ378" s="1476"/>
    </row>
    <row r="379" spans="1:36" s="950" customFormat="1">
      <c r="B379" s="852" t="s">
        <v>238</v>
      </c>
      <c r="C379" s="853" t="s">
        <v>372</v>
      </c>
      <c r="D379" s="940"/>
      <c r="E379" s="940"/>
      <c r="F379" s="940"/>
      <c r="G379" s="940"/>
      <c r="H379" s="941"/>
      <c r="I379" s="942"/>
      <c r="J379" s="942"/>
      <c r="K379" s="943"/>
      <c r="L379" s="944"/>
      <c r="M379" s="945"/>
      <c r="N379" s="946"/>
      <c r="O379" s="845"/>
      <c r="P379" s="942"/>
      <c r="Q379" s="942"/>
      <c r="R379" s="845"/>
      <c r="S379" s="1467"/>
      <c r="T379" s="1467"/>
      <c r="U379" s="1467"/>
      <c r="V379" s="947"/>
      <c r="W379" s="942"/>
      <c r="X379" s="942"/>
      <c r="Y379" s="942"/>
      <c r="Z379" s="942"/>
      <c r="AA379" s="845"/>
      <c r="AB379" s="942"/>
      <c r="AC379" s="942"/>
      <c r="AD379" s="942"/>
      <c r="AE379" s="947"/>
      <c r="AF379" s="1519"/>
      <c r="AG379" s="948"/>
      <c r="AH379" s="949"/>
      <c r="AI379" s="949"/>
      <c r="AJ379" s="949"/>
    </row>
    <row r="380" spans="1:36" s="950" customFormat="1">
      <c r="B380" s="854" t="s">
        <v>82</v>
      </c>
      <c r="C380" s="855" t="s">
        <v>373</v>
      </c>
      <c r="D380" s="940"/>
      <c r="E380" s="940"/>
      <c r="F380" s="940"/>
      <c r="G380" s="940"/>
      <c r="H380" s="941"/>
      <c r="I380" s="942"/>
      <c r="J380" s="942"/>
      <c r="K380" s="1467"/>
      <c r="L380" s="1468"/>
      <c r="M380" s="1467"/>
      <c r="N380" s="845"/>
      <c r="O380" s="845"/>
      <c r="P380" s="942"/>
      <c r="Q380" s="942"/>
      <c r="R380" s="845"/>
      <c r="S380" s="1467"/>
      <c r="T380" s="1467"/>
      <c r="U380" s="1467"/>
      <c r="V380" s="947"/>
      <c r="W380" s="942"/>
      <c r="X380" s="942"/>
      <c r="Y380" s="942"/>
      <c r="Z380" s="942"/>
      <c r="AA380" s="845"/>
      <c r="AB380" s="942"/>
      <c r="AC380" s="942"/>
      <c r="AD380" s="942"/>
      <c r="AE380" s="947"/>
      <c r="AF380" s="1519"/>
      <c r="AG380" s="948"/>
      <c r="AH380" s="949"/>
      <c r="AI380" s="949"/>
      <c r="AJ380" s="949"/>
    </row>
    <row r="381" spans="1:36" s="1571" customFormat="1">
      <c r="B381" s="1705"/>
      <c r="C381" s="1636"/>
      <c r="D381" s="1636"/>
      <c r="E381" s="1636"/>
      <c r="F381" s="1636"/>
      <c r="G381" s="1636"/>
      <c r="H381" s="1637"/>
      <c r="I381" s="1638"/>
      <c r="J381" s="1638"/>
      <c r="K381" s="1467"/>
      <c r="L381" s="1468"/>
      <c r="M381" s="1467"/>
      <c r="N381" s="845"/>
      <c r="O381" s="845"/>
      <c r="P381" s="1638"/>
      <c r="Q381" s="1638"/>
      <c r="R381" s="845"/>
      <c r="S381" s="1467"/>
      <c r="T381" s="1467"/>
      <c r="U381" s="1467"/>
      <c r="V381" s="1639"/>
      <c r="W381" s="1638"/>
      <c r="X381" s="1638"/>
      <c r="Y381" s="1638"/>
      <c r="Z381" s="1638"/>
      <c r="AA381" s="969"/>
      <c r="AB381" s="1638"/>
      <c r="AC381" s="1638"/>
      <c r="AD381" s="1638"/>
      <c r="AE381" s="1639"/>
      <c r="AF381" s="1519"/>
      <c r="AG381" s="1640"/>
      <c r="AH381" s="1641"/>
      <c r="AI381" s="1641"/>
      <c r="AJ381" s="1641"/>
    </row>
    <row r="382" spans="1:36" s="1480" customFormat="1">
      <c r="B382" s="1011"/>
      <c r="C382" s="1608"/>
      <c r="D382" s="1608"/>
      <c r="E382" s="1608"/>
      <c r="F382" s="1608"/>
      <c r="G382" s="1608"/>
      <c r="H382" s="1609"/>
      <c r="I382" s="1609"/>
      <c r="J382" s="1609"/>
      <c r="K382" s="1610"/>
      <c r="L382" s="1611"/>
      <c r="M382" s="1012"/>
      <c r="N382" s="953"/>
      <c r="O382" s="953"/>
      <c r="P382" s="1012"/>
      <c r="Q382" s="1610"/>
      <c r="R382" s="954"/>
      <c r="S382" s="1610"/>
      <c r="T382" s="1610"/>
      <c r="U382" s="1610"/>
      <c r="V382" s="1612"/>
      <c r="W382" s="1610"/>
      <c r="X382" s="1610"/>
      <c r="Y382" s="1012"/>
      <c r="Z382" s="1610"/>
      <c r="AA382" s="954"/>
      <c r="AB382" s="1610"/>
      <c r="AC382" s="1610"/>
      <c r="AD382" s="1610"/>
      <c r="AE382" s="1612"/>
      <c r="AF382" s="1610"/>
      <c r="AG382" s="1470"/>
      <c r="AH382" s="1613"/>
      <c r="AI382" s="1613"/>
      <c r="AJ382" s="1613"/>
    </row>
    <row r="383" spans="1:36" s="1571" customFormat="1" ht="18" customHeight="1">
      <c r="B383" s="2224" t="s">
        <v>32</v>
      </c>
      <c r="C383" s="2224" t="s">
        <v>31</v>
      </c>
      <c r="D383" s="2224" t="s">
        <v>30</v>
      </c>
      <c r="E383" s="2224" t="s">
        <v>242</v>
      </c>
      <c r="F383" s="2224"/>
      <c r="G383" s="2224"/>
      <c r="H383" s="2210" t="s">
        <v>29</v>
      </c>
      <c r="I383" s="2210"/>
      <c r="J383" s="2210"/>
      <c r="K383" s="2224" t="s">
        <v>243</v>
      </c>
      <c r="L383" s="2224"/>
      <c r="M383" s="2224"/>
      <c r="N383" s="2224"/>
      <c r="O383" s="2224"/>
      <c r="P383" s="2224"/>
      <c r="Q383" s="2224"/>
      <c r="R383" s="2224"/>
      <c r="S383" s="2224"/>
      <c r="T383" s="2224"/>
      <c r="U383" s="2224"/>
      <c r="V383" s="2224"/>
      <c r="W383" s="2224"/>
      <c r="X383" s="2224"/>
      <c r="Y383" s="2224" t="s">
        <v>27</v>
      </c>
      <c r="Z383" s="2224"/>
      <c r="AA383" s="2224"/>
      <c r="AB383" s="2224"/>
      <c r="AC383" s="2224"/>
      <c r="AD383" s="2224"/>
      <c r="AE383" s="2224"/>
      <c r="AF383" s="2224"/>
      <c r="AG383" s="1676"/>
      <c r="AH383" s="1677" t="s">
        <v>244</v>
      </c>
      <c r="AI383" s="1677" t="s">
        <v>245</v>
      </c>
      <c r="AJ383" s="1677" t="s">
        <v>246</v>
      </c>
    </row>
    <row r="384" spans="1:36" s="1571" customFormat="1" ht="50.25" customHeight="1">
      <c r="B384" s="2224"/>
      <c r="C384" s="2224"/>
      <c r="D384" s="2224"/>
      <c r="E384" s="1706" t="s">
        <v>247</v>
      </c>
      <c r="F384" s="1706" t="s">
        <v>248</v>
      </c>
      <c r="G384" s="1706" t="s">
        <v>249</v>
      </c>
      <c r="H384" s="1708" t="s">
        <v>26</v>
      </c>
      <c r="I384" s="1708" t="s">
        <v>25</v>
      </c>
      <c r="J384" s="1708" t="s">
        <v>250</v>
      </c>
      <c r="K384" s="1708" t="s">
        <v>23</v>
      </c>
      <c r="L384" s="1709" t="s">
        <v>22</v>
      </c>
      <c r="M384" s="1708" t="s">
        <v>251</v>
      </c>
      <c r="N384" s="1013" t="s">
        <v>20</v>
      </c>
      <c r="O384" s="1013" t="s">
        <v>19</v>
      </c>
      <c r="P384" s="1708" t="s">
        <v>18</v>
      </c>
      <c r="Q384" s="1708" t="s">
        <v>17</v>
      </c>
      <c r="R384" s="1014" t="s">
        <v>16</v>
      </c>
      <c r="S384" s="1708" t="s">
        <v>15</v>
      </c>
      <c r="T384" s="1710" t="s">
        <v>14</v>
      </c>
      <c r="U384" s="1710" t="s">
        <v>13</v>
      </c>
      <c r="V384" s="1711" t="s">
        <v>12</v>
      </c>
      <c r="W384" s="1707" t="s">
        <v>3</v>
      </c>
      <c r="X384" s="1707" t="s">
        <v>11</v>
      </c>
      <c r="Y384" s="1707" t="s">
        <v>10</v>
      </c>
      <c r="Z384" s="1708" t="s">
        <v>9</v>
      </c>
      <c r="AA384" s="1015" t="s">
        <v>8</v>
      </c>
      <c r="AB384" s="1707" t="s">
        <v>7</v>
      </c>
      <c r="AC384" s="1707" t="s">
        <v>6</v>
      </c>
      <c r="AD384" s="1707" t="s">
        <v>5</v>
      </c>
      <c r="AE384" s="1712" t="s">
        <v>4</v>
      </c>
      <c r="AF384" s="1707" t="s">
        <v>3</v>
      </c>
      <c r="AG384" s="1676"/>
      <c r="AH384" s="1471"/>
      <c r="AI384" s="1471"/>
      <c r="AJ384" s="1471"/>
    </row>
    <row r="385" spans="1:36" s="1683" customFormat="1" ht="18" customHeight="1">
      <c r="B385" s="1684" t="s">
        <v>172</v>
      </c>
      <c r="C385" s="1685" t="s">
        <v>825</v>
      </c>
      <c r="D385" s="1684" t="s">
        <v>374</v>
      </c>
      <c r="E385" s="1684"/>
      <c r="F385" s="1684"/>
      <c r="G385" s="1684"/>
      <c r="H385" s="983">
        <f>I385+J385</f>
        <v>7664544.5549999997</v>
      </c>
      <c r="I385" s="984">
        <f>AI385+AJ385</f>
        <v>5236926.5549999997</v>
      </c>
      <c r="J385" s="984">
        <f>AH385</f>
        <v>2427618</v>
      </c>
      <c r="K385" s="1686">
        <v>12606694</v>
      </c>
      <c r="L385" s="985">
        <f t="shared" ref="L385:L392" si="189">H385/K385</f>
        <v>0.60797418855411256</v>
      </c>
      <c r="M385" s="1686">
        <v>1643754</v>
      </c>
      <c r="N385" s="986">
        <f t="shared" ref="N385:N393" si="190">M385/K385</f>
        <v>0.13038739577560937</v>
      </c>
      <c r="O385" s="986">
        <f t="shared" ref="O385:O393" si="191">P385/M385</f>
        <v>8.4707930748761678E-2</v>
      </c>
      <c r="P385" s="1686">
        <v>139239</v>
      </c>
      <c r="Q385" s="1686">
        <v>100179</v>
      </c>
      <c r="R385" s="986">
        <f t="shared" ref="R385:R393" si="192">Q385/P385</f>
        <v>0.71947514704931803</v>
      </c>
      <c r="S385" s="987">
        <f t="shared" ref="S385:S392" si="193">H385/P385</f>
        <v>55.045960937668326</v>
      </c>
      <c r="T385" s="987">
        <f t="shared" ref="T385:T392" si="194">H385/Q385</f>
        <v>76.508495343335426</v>
      </c>
      <c r="U385" s="987">
        <v>100179000</v>
      </c>
      <c r="V385" s="988">
        <v>13.070443948903399</v>
      </c>
      <c r="W385" s="1687">
        <v>1300</v>
      </c>
      <c r="X385" s="2222">
        <v>1000</v>
      </c>
      <c r="Y385" s="1686">
        <v>1635</v>
      </c>
      <c r="Z385" s="1686">
        <v>1111</v>
      </c>
      <c r="AA385" s="986">
        <f>Z385/Y385</f>
        <v>0.67951070336391439</v>
      </c>
      <c r="AB385" s="987">
        <f t="shared" ref="AB385:AB392" si="195">H385/Y385</f>
        <v>4687.794834862385</v>
      </c>
      <c r="AC385" s="987">
        <f t="shared" ref="AC385:AC392" si="196">H385/Z385</f>
        <v>6898.7799774977493</v>
      </c>
      <c r="AD385" s="987">
        <f>Z385*AF385</f>
        <v>1444300</v>
      </c>
      <c r="AE385" s="989">
        <f t="shared" ref="AE385:AE392" si="197">AD385/H385</f>
        <v>0.18843911593648502</v>
      </c>
      <c r="AF385" s="1687">
        <v>1300</v>
      </c>
      <c r="AG385" s="1688" t="s">
        <v>282</v>
      </c>
      <c r="AH385" s="1689">
        <v>2427618</v>
      </c>
      <c r="AI385" s="1689">
        <v>2359718</v>
      </c>
      <c r="AJ385" s="1689">
        <v>2877208.5550000002</v>
      </c>
    </row>
    <row r="386" spans="1:36" s="1683" customFormat="1" ht="18" customHeight="1">
      <c r="B386" s="1684" t="s">
        <v>172</v>
      </c>
      <c r="C386" s="1685" t="s">
        <v>826</v>
      </c>
      <c r="D386" s="1684" t="s">
        <v>374</v>
      </c>
      <c r="E386" s="1684"/>
      <c r="F386" s="1684"/>
      <c r="G386" s="1684"/>
      <c r="H386" s="983">
        <f t="shared" ref="H386:H392" si="198">I386+J386</f>
        <v>5478717.9500000002</v>
      </c>
      <c r="I386" s="984">
        <f t="shared" ref="I386:I391" si="199">AI386+AJ386</f>
        <v>3309942.95</v>
      </c>
      <c r="J386" s="984">
        <f t="shared" ref="J386:J391" si="200">AH386</f>
        <v>2168775</v>
      </c>
      <c r="K386" s="1686">
        <v>5839710</v>
      </c>
      <c r="L386" s="985">
        <f t="shared" si="189"/>
        <v>0.9381832231395052</v>
      </c>
      <c r="M386" s="1686">
        <v>935887</v>
      </c>
      <c r="N386" s="986">
        <f t="shared" si="190"/>
        <v>0.16026258153230211</v>
      </c>
      <c r="O386" s="986">
        <f t="shared" si="191"/>
        <v>0.10833893408071701</v>
      </c>
      <c r="P386" s="1686">
        <v>101393</v>
      </c>
      <c r="Q386" s="1686">
        <v>72978</v>
      </c>
      <c r="R386" s="986">
        <f t="shared" si="192"/>
        <v>0.7197538291598039</v>
      </c>
      <c r="S386" s="987">
        <f t="shared" si="193"/>
        <v>54.034479204678824</v>
      </c>
      <c r="T386" s="987">
        <f t="shared" si="194"/>
        <v>75.073555729123854</v>
      </c>
      <c r="U386" s="987">
        <v>72978000</v>
      </c>
      <c r="V386" s="988">
        <v>13.320269571460599</v>
      </c>
      <c r="W386" s="1687">
        <v>1820</v>
      </c>
      <c r="X386" s="2222"/>
      <c r="Y386" s="1686">
        <v>1339</v>
      </c>
      <c r="Z386" s="1686">
        <v>894</v>
      </c>
      <c r="AA386" s="986">
        <f t="shared" ref="AA386:AA392" si="201">Z386/Y386</f>
        <v>0.6676624346527259</v>
      </c>
      <c r="AB386" s="987">
        <f t="shared" si="195"/>
        <v>4091.6489544436149</v>
      </c>
      <c r="AC386" s="987">
        <f t="shared" si="196"/>
        <v>6128.3198545861296</v>
      </c>
      <c r="AD386" s="987">
        <f t="shared" ref="AD386:AD392" si="202">Z386*AF386</f>
        <v>1627080</v>
      </c>
      <c r="AE386" s="989">
        <f t="shared" si="197"/>
        <v>0.29698188788857072</v>
      </c>
      <c r="AF386" s="1687">
        <v>1820</v>
      </c>
      <c r="AG386" s="1713" t="s">
        <v>257</v>
      </c>
      <c r="AH386" s="1689">
        <v>2168775</v>
      </c>
      <c r="AI386" s="1689">
        <v>932809</v>
      </c>
      <c r="AJ386" s="1689">
        <v>2377133.9500000002</v>
      </c>
    </row>
    <row r="387" spans="1:36" s="1683" customFormat="1" ht="18" customHeight="1">
      <c r="B387" s="1684" t="s">
        <v>172</v>
      </c>
      <c r="C387" s="1714" t="s">
        <v>827</v>
      </c>
      <c r="D387" s="1684" t="s">
        <v>374</v>
      </c>
      <c r="E387" s="1684"/>
      <c r="F387" s="1684"/>
      <c r="G387" s="1684"/>
      <c r="H387" s="983">
        <f t="shared" si="198"/>
        <v>5555483.8799999999</v>
      </c>
      <c r="I387" s="984">
        <f t="shared" si="199"/>
        <v>3637511.88</v>
      </c>
      <c r="J387" s="984">
        <f t="shared" si="200"/>
        <v>1917972</v>
      </c>
      <c r="K387" s="1686">
        <v>4032249</v>
      </c>
      <c r="L387" s="985">
        <f t="shared" si="189"/>
        <v>1.3777630994514476</v>
      </c>
      <c r="M387" s="1686">
        <v>586427</v>
      </c>
      <c r="N387" s="986">
        <f t="shared" si="190"/>
        <v>0.14543422293613317</v>
      </c>
      <c r="O387" s="986">
        <f t="shared" si="191"/>
        <v>0.10189674077080353</v>
      </c>
      <c r="P387" s="1686">
        <v>59755</v>
      </c>
      <c r="Q387" s="1686">
        <v>43813</v>
      </c>
      <c r="R387" s="986">
        <f t="shared" si="192"/>
        <v>0.73321060999079579</v>
      </c>
      <c r="S387" s="987">
        <f t="shared" si="193"/>
        <v>92.971029704627227</v>
      </c>
      <c r="T387" s="987">
        <f t="shared" si="194"/>
        <v>126.79989683427293</v>
      </c>
      <c r="U387" s="987">
        <v>43813000</v>
      </c>
      <c r="V387" s="988">
        <v>7.8864417477168498</v>
      </c>
      <c r="W387" s="1715">
        <v>990</v>
      </c>
      <c r="X387" s="2222"/>
      <c r="Y387" s="1686">
        <v>5743</v>
      </c>
      <c r="Z387" s="1686">
        <v>4331</v>
      </c>
      <c r="AA387" s="986">
        <f t="shared" si="201"/>
        <v>0.75413546926693364</v>
      </c>
      <c r="AB387" s="987">
        <f t="shared" si="195"/>
        <v>967.34875152359393</v>
      </c>
      <c r="AC387" s="987">
        <f t="shared" si="196"/>
        <v>1282.7254398522282</v>
      </c>
      <c r="AD387" s="987">
        <f t="shared" si="202"/>
        <v>4287690</v>
      </c>
      <c r="AE387" s="989">
        <f t="shared" si="197"/>
        <v>0.77179415737950086</v>
      </c>
      <c r="AF387" s="1715">
        <v>990</v>
      </c>
      <c r="AG387" s="404" t="s">
        <v>290</v>
      </c>
      <c r="AH387" s="1689">
        <v>1917972</v>
      </c>
      <c r="AI387" s="1689">
        <v>762324</v>
      </c>
      <c r="AJ387" s="1689">
        <v>2875187.88</v>
      </c>
    </row>
    <row r="388" spans="1:36" s="1683" customFormat="1" ht="18" customHeight="1">
      <c r="B388" s="1684" t="s">
        <v>172</v>
      </c>
      <c r="C388" s="1685" t="s">
        <v>809</v>
      </c>
      <c r="D388" s="1684" t="s">
        <v>374</v>
      </c>
      <c r="E388" s="1684"/>
      <c r="F388" s="1684"/>
      <c r="G388" s="1684"/>
      <c r="H388" s="983">
        <f t="shared" si="198"/>
        <v>5835368.4899999993</v>
      </c>
      <c r="I388" s="984">
        <f t="shared" si="199"/>
        <v>4564411.5299999993</v>
      </c>
      <c r="J388" s="984">
        <f t="shared" si="200"/>
        <v>1270956.96</v>
      </c>
      <c r="K388" s="1686">
        <v>6081701</v>
      </c>
      <c r="L388" s="985">
        <f t="shared" si="189"/>
        <v>0.95949611630035725</v>
      </c>
      <c r="M388" s="1686">
        <v>1080277</v>
      </c>
      <c r="N388" s="986">
        <f t="shared" si="190"/>
        <v>0.17762744337480582</v>
      </c>
      <c r="O388" s="986">
        <f t="shared" si="191"/>
        <v>0.13342318683078508</v>
      </c>
      <c r="P388" s="1686">
        <v>144134</v>
      </c>
      <c r="Q388" s="1686">
        <v>100484</v>
      </c>
      <c r="R388" s="986">
        <f t="shared" si="192"/>
        <v>0.6971568124106734</v>
      </c>
      <c r="S388" s="987">
        <f t="shared" si="193"/>
        <v>40.485718081785002</v>
      </c>
      <c r="T388" s="987">
        <f t="shared" si="194"/>
        <v>58.072613450897649</v>
      </c>
      <c r="U388" s="987">
        <v>100484000</v>
      </c>
      <c r="V388" s="988">
        <v>17.219820851450599</v>
      </c>
      <c r="W388" s="1715">
        <v>930</v>
      </c>
      <c r="X388" s="2222"/>
      <c r="Y388" s="1686">
        <v>21654</v>
      </c>
      <c r="Z388" s="1686">
        <v>15320</v>
      </c>
      <c r="AA388" s="986">
        <f t="shared" si="201"/>
        <v>0.70749053292694186</v>
      </c>
      <c r="AB388" s="987">
        <f t="shared" si="195"/>
        <v>269.48224300360209</v>
      </c>
      <c r="AC388" s="987">
        <f t="shared" si="196"/>
        <v>380.89872650130542</v>
      </c>
      <c r="AD388" s="987">
        <f t="shared" si="202"/>
        <v>14247600</v>
      </c>
      <c r="AE388" s="989">
        <f t="shared" si="197"/>
        <v>2.44159388124605</v>
      </c>
      <c r="AF388" s="1715">
        <v>930</v>
      </c>
      <c r="AG388" s="965" t="s">
        <v>290</v>
      </c>
      <c r="AH388" s="1689">
        <v>1270956.96</v>
      </c>
      <c r="AI388" s="1689">
        <v>605792</v>
      </c>
      <c r="AJ388" s="1689">
        <v>3958619.53</v>
      </c>
    </row>
    <row r="389" spans="1:36" s="1683" customFormat="1" ht="18" customHeight="1">
      <c r="B389" s="1684" t="s">
        <v>172</v>
      </c>
      <c r="C389" s="1685" t="s">
        <v>810</v>
      </c>
      <c r="D389" s="1684" t="s">
        <v>374</v>
      </c>
      <c r="E389" s="1684"/>
      <c r="F389" s="1684"/>
      <c r="G389" s="1684"/>
      <c r="H389" s="983">
        <f t="shared" si="198"/>
        <v>3494057.26</v>
      </c>
      <c r="I389" s="984">
        <f t="shared" si="199"/>
        <v>2352029.2599999998</v>
      </c>
      <c r="J389" s="984">
        <f t="shared" si="200"/>
        <v>1142028</v>
      </c>
      <c r="K389" s="1686">
        <v>3121183</v>
      </c>
      <c r="L389" s="985">
        <f t="shared" si="189"/>
        <v>1.1194656833642884</v>
      </c>
      <c r="M389" s="1686">
        <v>508005</v>
      </c>
      <c r="N389" s="986">
        <f t="shared" si="190"/>
        <v>0.16276040206549888</v>
      </c>
      <c r="O389" s="986">
        <f t="shared" si="191"/>
        <v>0.10784145825336365</v>
      </c>
      <c r="P389" s="1686">
        <v>54784</v>
      </c>
      <c r="Q389" s="1686">
        <v>39060</v>
      </c>
      <c r="R389" s="986">
        <f t="shared" si="192"/>
        <v>0.71298189252336452</v>
      </c>
      <c r="S389" s="987">
        <f t="shared" si="193"/>
        <v>63.778790522780369</v>
      </c>
      <c r="T389" s="987">
        <f t="shared" si="194"/>
        <v>89.453590885816681</v>
      </c>
      <c r="U389" s="987">
        <v>39060000</v>
      </c>
      <c r="V389" s="988">
        <v>11.178981079434299</v>
      </c>
      <c r="W389" s="1715">
        <v>1650</v>
      </c>
      <c r="X389" s="2222"/>
      <c r="Y389" s="1686">
        <v>2233</v>
      </c>
      <c r="Z389" s="1686">
        <v>1645</v>
      </c>
      <c r="AA389" s="986">
        <f t="shared" si="201"/>
        <v>0.73667711598746077</v>
      </c>
      <c r="AB389" s="987">
        <f t="shared" si="195"/>
        <v>1564.7367935512762</v>
      </c>
      <c r="AC389" s="987">
        <f t="shared" si="196"/>
        <v>2124.0469665653495</v>
      </c>
      <c r="AD389" s="987">
        <f t="shared" si="202"/>
        <v>2714250</v>
      </c>
      <c r="AE389" s="989">
        <f t="shared" si="197"/>
        <v>0.77681898092305457</v>
      </c>
      <c r="AF389" s="1715">
        <v>1650</v>
      </c>
      <c r="AG389" s="965" t="s">
        <v>292</v>
      </c>
      <c r="AH389" s="1689">
        <f>632985+509043</f>
        <v>1142028</v>
      </c>
      <c r="AI389" s="1689">
        <v>290258</v>
      </c>
      <c r="AJ389" s="1689">
        <v>2061771.26</v>
      </c>
    </row>
    <row r="390" spans="1:36" s="1683" customFormat="1" ht="18" customHeight="1">
      <c r="B390" s="1684" t="s">
        <v>172</v>
      </c>
      <c r="C390" s="1685" t="s">
        <v>828</v>
      </c>
      <c r="D390" s="1684" t="s">
        <v>374</v>
      </c>
      <c r="E390" s="1684"/>
      <c r="F390" s="1684"/>
      <c r="G390" s="1684"/>
      <c r="H390" s="983">
        <f t="shared" si="198"/>
        <v>2462814.6350000002</v>
      </c>
      <c r="I390" s="984">
        <f t="shared" si="199"/>
        <v>1943197.9850000001</v>
      </c>
      <c r="J390" s="984">
        <f t="shared" si="200"/>
        <v>519616.65</v>
      </c>
      <c r="K390" s="1686">
        <v>3678529</v>
      </c>
      <c r="L390" s="985">
        <f t="shared" si="189"/>
        <v>0.66951072969657166</v>
      </c>
      <c r="M390" s="1686">
        <v>743406</v>
      </c>
      <c r="N390" s="986">
        <f t="shared" si="190"/>
        <v>0.2020932823963057</v>
      </c>
      <c r="O390" s="986">
        <f t="shared" si="191"/>
        <v>0.10564482933955335</v>
      </c>
      <c r="P390" s="1686">
        <v>78537</v>
      </c>
      <c r="Q390" s="1686">
        <v>59774</v>
      </c>
      <c r="R390" s="986">
        <f t="shared" si="192"/>
        <v>0.76109349733246745</v>
      </c>
      <c r="S390" s="987">
        <f t="shared" si="193"/>
        <v>31.358654328533053</v>
      </c>
      <c r="T390" s="987">
        <f t="shared" si="194"/>
        <v>41.202105179509488</v>
      </c>
      <c r="U390" s="987">
        <v>59774000</v>
      </c>
      <c r="V390" s="988">
        <v>24.270604515065301</v>
      </c>
      <c r="W390" s="1715">
        <v>550</v>
      </c>
      <c r="X390" s="2222"/>
      <c r="Y390" s="1686">
        <v>6236</v>
      </c>
      <c r="Z390" s="1686">
        <v>4915</v>
      </c>
      <c r="AA390" s="986">
        <f t="shared" si="201"/>
        <v>0.78816549069916608</v>
      </c>
      <c r="AB390" s="987">
        <f t="shared" si="195"/>
        <v>394.93499599101995</v>
      </c>
      <c r="AC390" s="987">
        <f t="shared" si="196"/>
        <v>501.08130925737544</v>
      </c>
      <c r="AD390" s="987">
        <f t="shared" si="202"/>
        <v>2703250</v>
      </c>
      <c r="AE390" s="989">
        <f t="shared" si="197"/>
        <v>1.097626253142677</v>
      </c>
      <c r="AF390" s="1715">
        <v>550</v>
      </c>
      <c r="AG390" s="965" t="s">
        <v>257</v>
      </c>
      <c r="AH390" s="1689">
        <v>519616.65</v>
      </c>
      <c r="AI390" s="1689">
        <v>0</v>
      </c>
      <c r="AJ390" s="1689">
        <v>1943197.9850000001</v>
      </c>
    </row>
    <row r="391" spans="1:36" s="1683" customFormat="1" ht="18" customHeight="1">
      <c r="B391" s="1684" t="s">
        <v>172</v>
      </c>
      <c r="C391" s="1685" t="s">
        <v>829</v>
      </c>
      <c r="D391" s="1684" t="s">
        <v>374</v>
      </c>
      <c r="E391" s="1684"/>
      <c r="F391" s="1684"/>
      <c r="G391" s="1684"/>
      <c r="H391" s="983">
        <f t="shared" si="198"/>
        <v>2571367.8450000002</v>
      </c>
      <c r="I391" s="984">
        <f t="shared" si="199"/>
        <v>1840911.1950000001</v>
      </c>
      <c r="J391" s="984">
        <f t="shared" si="200"/>
        <v>730456.65</v>
      </c>
      <c r="K391" s="1686">
        <v>3290737</v>
      </c>
      <c r="L391" s="985">
        <f t="shared" si="189"/>
        <v>0.78139573141214269</v>
      </c>
      <c r="M391" s="1686">
        <v>641101</v>
      </c>
      <c r="N391" s="986">
        <f t="shared" si="190"/>
        <v>0.19481988381326129</v>
      </c>
      <c r="O391" s="986">
        <f t="shared" si="191"/>
        <v>0.12492103428320966</v>
      </c>
      <c r="P391" s="1686">
        <v>80087</v>
      </c>
      <c r="Q391" s="1686">
        <v>60915</v>
      </c>
      <c r="R391" s="986">
        <f t="shared" si="192"/>
        <v>0.76061033625931795</v>
      </c>
      <c r="S391" s="987">
        <f t="shared" si="193"/>
        <v>32.107181502615909</v>
      </c>
      <c r="T391" s="987">
        <f t="shared" si="194"/>
        <v>42.212391775424777</v>
      </c>
      <c r="U391" s="987">
        <v>60915000</v>
      </c>
      <c r="V391" s="988">
        <v>23.689726119290398</v>
      </c>
      <c r="W391" s="1715">
        <v>470</v>
      </c>
      <c r="X391" s="2222"/>
      <c r="Y391" s="1686">
        <v>16229</v>
      </c>
      <c r="Z391" s="1686">
        <v>13110</v>
      </c>
      <c r="AA391" s="986">
        <f t="shared" si="201"/>
        <v>0.80781317394787111</v>
      </c>
      <c r="AB391" s="987">
        <f t="shared" si="195"/>
        <v>158.44277805163597</v>
      </c>
      <c r="AC391" s="987">
        <f t="shared" si="196"/>
        <v>196.13789816933641</v>
      </c>
      <c r="AD391" s="987">
        <f t="shared" si="202"/>
        <v>6161700</v>
      </c>
      <c r="AE391" s="989">
        <f t="shared" si="197"/>
        <v>2.3962732566565168</v>
      </c>
      <c r="AF391" s="1715">
        <v>470</v>
      </c>
      <c r="AG391" s="965" t="s">
        <v>257</v>
      </c>
      <c r="AH391" s="1689">
        <v>730456.65</v>
      </c>
      <c r="AI391" s="1689">
        <v>0</v>
      </c>
      <c r="AJ391" s="1689">
        <v>1840911.1950000001</v>
      </c>
    </row>
    <row r="392" spans="1:36" s="1683" customFormat="1" ht="18" customHeight="1">
      <c r="B392" s="1716"/>
      <c r="C392" s="2223" t="s">
        <v>0</v>
      </c>
      <c r="D392" s="2223"/>
      <c r="E392" s="1717"/>
      <c r="F392" s="1717"/>
      <c r="G392" s="1717"/>
      <c r="H392" s="1017">
        <f t="shared" si="198"/>
        <v>33062354.614999998</v>
      </c>
      <c r="I392" s="1018">
        <f>SUM(I385:I391)</f>
        <v>22884931.354999997</v>
      </c>
      <c r="J392" s="1018">
        <f>SUM(J385:J391)</f>
        <v>10177423.260000002</v>
      </c>
      <c r="K392" s="1018">
        <f>SUM(K385:K391)</f>
        <v>38650803</v>
      </c>
      <c r="L392" s="1019">
        <f t="shared" si="189"/>
        <v>0.85541184267245363</v>
      </c>
      <c r="M392" s="1018">
        <f>SUM(M385:M391)</f>
        <v>6138857</v>
      </c>
      <c r="N392" s="1020">
        <f t="shared" si="190"/>
        <v>0.15882870531823104</v>
      </c>
      <c r="O392" s="1020">
        <f t="shared" si="191"/>
        <v>0.10717451147664785</v>
      </c>
      <c r="P392" s="1018">
        <f>SUM(P385:P391)</f>
        <v>657929</v>
      </c>
      <c r="Q392" s="1018">
        <f>SUM(Q385:Q391)</f>
        <v>477203</v>
      </c>
      <c r="R392" s="1020">
        <f t="shared" si="192"/>
        <v>0.72531078581427477</v>
      </c>
      <c r="S392" s="1718">
        <f t="shared" si="193"/>
        <v>50.252161882209172</v>
      </c>
      <c r="T392" s="1718">
        <f t="shared" si="194"/>
        <v>69.28362691558938</v>
      </c>
      <c r="U392" s="1718">
        <v>477203000</v>
      </c>
      <c r="V392" s="1021">
        <v>14.4334245263796</v>
      </c>
      <c r="W392" s="1718">
        <f>X385</f>
        <v>1000</v>
      </c>
      <c r="X392" s="1718"/>
      <c r="Y392" s="1018">
        <f>SUM(Y385:Y391)</f>
        <v>55069</v>
      </c>
      <c r="Z392" s="1018">
        <f>SUM(Z385:Z391)</f>
        <v>41326</v>
      </c>
      <c r="AA392" s="1020">
        <f t="shared" si="201"/>
        <v>0.75044035664348363</v>
      </c>
      <c r="AB392" s="1719">
        <f t="shared" si="195"/>
        <v>600.38051562585122</v>
      </c>
      <c r="AC392" s="1719">
        <f t="shared" si="196"/>
        <v>800.0376183274451</v>
      </c>
      <c r="AD392" s="1718">
        <f t="shared" si="202"/>
        <v>41326000</v>
      </c>
      <c r="AE392" s="1022">
        <f t="shared" si="197"/>
        <v>1.2499412241271795</v>
      </c>
      <c r="AF392" s="1718">
        <v>1000</v>
      </c>
      <c r="AG392" s="1694"/>
      <c r="AH392" s="1689"/>
      <c r="AI392" s="1689"/>
      <c r="AJ392" s="1689"/>
    </row>
    <row r="393" spans="1:36" s="1683" customFormat="1" ht="18" customHeight="1">
      <c r="A393" s="1695"/>
      <c r="B393" s="1696"/>
      <c r="C393" s="2226" t="s">
        <v>260</v>
      </c>
      <c r="D393" s="2226"/>
      <c r="E393" s="1697"/>
      <c r="F393" s="1697"/>
      <c r="G393" s="1697"/>
      <c r="H393" s="996"/>
      <c r="I393" s="997"/>
      <c r="J393" s="997"/>
      <c r="K393" s="997">
        <v>30449253</v>
      </c>
      <c r="L393" s="998">
        <f>H392/K393</f>
        <v>1.0858182502867968</v>
      </c>
      <c r="M393" s="997">
        <v>4466087</v>
      </c>
      <c r="N393" s="999">
        <f t="shared" si="190"/>
        <v>0.14667312199744276</v>
      </c>
      <c r="O393" s="999">
        <f t="shared" si="191"/>
        <v>9.5911924689330949E-2</v>
      </c>
      <c r="P393" s="997">
        <v>428351</v>
      </c>
      <c r="Q393" s="997">
        <v>312420</v>
      </c>
      <c r="R393" s="999">
        <f t="shared" si="192"/>
        <v>0.72935513165604837</v>
      </c>
      <c r="S393" s="1698">
        <f>H392/P393</f>
        <v>77.185193019276241</v>
      </c>
      <c r="T393" s="1698">
        <f>H392/Q393</f>
        <v>105.82662638435438</v>
      </c>
      <c r="U393" s="1698">
        <v>312420000</v>
      </c>
      <c r="V393" s="1000">
        <v>9.4494177331900797</v>
      </c>
      <c r="W393" s="1698">
        <f>W392</f>
        <v>1000</v>
      </c>
      <c r="X393" s="1698"/>
      <c r="Y393" s="997"/>
      <c r="Z393" s="997"/>
      <c r="AA393" s="999"/>
      <c r="AB393" s="1699"/>
      <c r="AC393" s="1699"/>
      <c r="AD393" s="1698"/>
      <c r="AE393" s="1001"/>
      <c r="AF393" s="1698"/>
      <c r="AG393" s="1694"/>
      <c r="AH393" s="1689"/>
      <c r="AI393" s="1689"/>
      <c r="AJ393" s="1689"/>
    </row>
    <row r="394" spans="1:36" s="1571" customFormat="1">
      <c r="B394" s="1700"/>
      <c r="C394" s="1465"/>
      <c r="D394" s="1465"/>
      <c r="E394" s="1465"/>
      <c r="F394" s="1465"/>
      <c r="G394" s="1465"/>
      <c r="H394" s="1466"/>
      <c r="I394" s="1466"/>
      <c r="J394" s="1466"/>
      <c r="K394" s="1466"/>
      <c r="L394" s="1468"/>
      <c r="U394" s="1467"/>
      <c r="V394" s="1469"/>
      <c r="W394" s="1467"/>
      <c r="X394" s="1467"/>
      <c r="Y394" s="1467"/>
      <c r="Z394" s="1467"/>
      <c r="AA394" s="845"/>
      <c r="AB394" s="1467"/>
      <c r="AC394" s="1467"/>
      <c r="AD394" s="1467"/>
      <c r="AE394" s="1469"/>
      <c r="AF394" s="1467"/>
      <c r="AG394" s="1470"/>
      <c r="AH394" s="1471"/>
      <c r="AI394" s="1471"/>
      <c r="AJ394" s="1471"/>
    </row>
    <row r="395" spans="1:36" s="1571" customFormat="1">
      <c r="B395" s="1700"/>
      <c r="C395" s="1465"/>
      <c r="D395" s="1465"/>
      <c r="E395" s="1465"/>
      <c r="F395" s="1465"/>
      <c r="G395" s="1465"/>
      <c r="H395" s="1466"/>
      <c r="I395" s="1466"/>
      <c r="J395" s="1466"/>
      <c r="K395" s="1466"/>
      <c r="L395" s="1468"/>
      <c r="U395" s="1467"/>
      <c r="V395" s="1469"/>
      <c r="W395" s="1467"/>
      <c r="X395" s="1467"/>
      <c r="Y395" s="1467"/>
      <c r="Z395" s="1467"/>
      <c r="AA395" s="845"/>
      <c r="AB395" s="1467"/>
      <c r="AC395" s="1467"/>
      <c r="AD395" s="1467"/>
      <c r="AE395" s="1469"/>
      <c r="AF395" s="1467"/>
      <c r="AG395" s="1470"/>
      <c r="AH395" s="1471"/>
      <c r="AI395" s="1471"/>
      <c r="AJ395" s="1471"/>
    </row>
    <row r="396" spans="1:36" s="1571" customFormat="1">
      <c r="B396" s="1700"/>
      <c r="C396" s="1465"/>
      <c r="D396" s="1465"/>
      <c r="E396" s="1465"/>
      <c r="F396" s="1465"/>
      <c r="G396" s="1465"/>
      <c r="H396" s="1466"/>
      <c r="I396" s="1466"/>
      <c r="J396" s="1466"/>
      <c r="K396" s="1466"/>
      <c r="L396" s="1468"/>
      <c r="U396" s="1467"/>
      <c r="V396" s="1469"/>
      <c r="W396" s="1467"/>
      <c r="X396" s="1467"/>
      <c r="Y396" s="1467"/>
      <c r="Z396" s="1467"/>
      <c r="AA396" s="845"/>
      <c r="AB396" s="1467"/>
      <c r="AC396" s="1467"/>
      <c r="AD396" s="1467"/>
      <c r="AE396" s="1469"/>
      <c r="AF396" s="1467"/>
      <c r="AG396" s="1470"/>
      <c r="AH396" s="1471"/>
      <c r="AI396" s="1471"/>
      <c r="AJ396" s="1471"/>
    </row>
    <row r="397" spans="1:36" s="1571" customFormat="1">
      <c r="B397" s="1705"/>
      <c r="C397" s="1636"/>
      <c r="D397" s="1636"/>
      <c r="E397" s="1636"/>
      <c r="F397" s="1636"/>
      <c r="G397" s="1636"/>
      <c r="H397" s="1637"/>
      <c r="I397" s="1638"/>
      <c r="J397" s="1638"/>
      <c r="K397" s="1467"/>
      <c r="L397" s="1468"/>
      <c r="M397" s="1467"/>
      <c r="N397" s="845"/>
      <c r="O397" s="845"/>
      <c r="P397" s="1467"/>
      <c r="Q397" s="1638"/>
      <c r="R397" s="845"/>
      <c r="S397" s="1467"/>
      <c r="T397" s="1467"/>
      <c r="U397" s="1467"/>
      <c r="V397" s="1639"/>
      <c r="W397" s="1638"/>
      <c r="X397" s="1638"/>
      <c r="Y397" s="1638"/>
      <c r="Z397" s="1638"/>
      <c r="AA397" s="969"/>
      <c r="AB397" s="1638"/>
      <c r="AC397" s="1638"/>
      <c r="AD397" s="1638"/>
      <c r="AE397" s="1639"/>
      <c r="AF397" s="1519"/>
      <c r="AG397" s="1640"/>
      <c r="AH397" s="1641"/>
      <c r="AI397" s="1641"/>
      <c r="AJ397" s="1641"/>
    </row>
    <row r="398" spans="1:36" s="1571" customFormat="1">
      <c r="D398" s="1636"/>
      <c r="E398" s="1636"/>
      <c r="F398" s="1636"/>
      <c r="G398" s="1636"/>
      <c r="H398" s="1637"/>
      <c r="I398" s="1638"/>
      <c r="J398" s="1638"/>
      <c r="K398" s="1467"/>
      <c r="L398" s="1468"/>
      <c r="M398" s="1467"/>
      <c r="N398" s="845"/>
      <c r="O398" s="845"/>
      <c r="P398" s="1638"/>
      <c r="Q398" s="1638"/>
      <c r="R398" s="845"/>
      <c r="S398" s="1467"/>
      <c r="T398" s="1467"/>
      <c r="U398" s="1467"/>
      <c r="V398" s="1639"/>
      <c r="W398" s="1638"/>
      <c r="X398" s="1638"/>
      <c r="Y398" s="1638"/>
      <c r="Z398" s="1638"/>
      <c r="AA398" s="969"/>
      <c r="AB398" s="1638"/>
      <c r="AC398" s="1638"/>
      <c r="AD398" s="1638"/>
      <c r="AE398" s="1639"/>
      <c r="AF398" s="1519"/>
      <c r="AG398" s="1640"/>
      <c r="AH398" s="1641"/>
      <c r="AI398" s="1641"/>
      <c r="AJ398" s="1641"/>
    </row>
    <row r="399" spans="1:36" s="1473" customFormat="1" ht="22.5">
      <c r="B399" s="850" t="s">
        <v>822</v>
      </c>
      <c r="C399" s="1474"/>
      <c r="D399" s="1474"/>
      <c r="E399" s="1474"/>
      <c r="F399" s="1474"/>
      <c r="G399" s="1474"/>
      <c r="H399" s="1475"/>
      <c r="I399" s="1476"/>
      <c r="J399" s="1476"/>
      <c r="K399" s="1476"/>
      <c r="L399" s="1477"/>
      <c r="M399" s="1476"/>
      <c r="N399" s="851"/>
      <c r="O399" s="851"/>
      <c r="P399" s="1476"/>
      <c r="Q399" s="1476"/>
      <c r="R399" s="851"/>
      <c r="S399" s="1476"/>
      <c r="T399" s="1476"/>
      <c r="U399" s="1476"/>
      <c r="V399" s="1478"/>
      <c r="W399" s="1476"/>
      <c r="X399" s="1476"/>
      <c r="Y399" s="1476"/>
      <c r="Z399" s="1476"/>
      <c r="AA399" s="851"/>
      <c r="AB399" s="1476"/>
      <c r="AC399" s="1476"/>
      <c r="AD399" s="1476"/>
      <c r="AE399" s="1478"/>
      <c r="AF399" s="1476"/>
      <c r="AG399" s="1479"/>
      <c r="AH399" s="1476"/>
      <c r="AI399" s="1476"/>
      <c r="AJ399" s="1476"/>
    </row>
    <row r="400" spans="1:36" s="950" customFormat="1">
      <c r="B400" s="852" t="s">
        <v>238</v>
      </c>
      <c r="C400" s="853" t="s">
        <v>375</v>
      </c>
      <c r="D400" s="940"/>
      <c r="E400" s="940"/>
      <c r="F400" s="940"/>
      <c r="G400" s="940"/>
      <c r="H400" s="941"/>
      <c r="I400" s="942"/>
      <c r="J400" s="942"/>
      <c r="K400" s="943"/>
      <c r="L400" s="944"/>
      <c r="M400" s="945"/>
      <c r="N400" s="946"/>
      <c r="O400" s="845"/>
      <c r="P400" s="942"/>
      <c r="Q400" s="942"/>
      <c r="R400" s="845"/>
      <c r="S400" s="1467"/>
      <c r="T400" s="1467"/>
      <c r="U400" s="1467"/>
      <c r="V400" s="947"/>
      <c r="W400" s="942"/>
      <c r="X400" s="942"/>
      <c r="Y400" s="942"/>
      <c r="Z400" s="942"/>
      <c r="AA400" s="845"/>
      <c r="AB400" s="942"/>
      <c r="AC400" s="942"/>
      <c r="AD400" s="942"/>
      <c r="AE400" s="947"/>
      <c r="AF400" s="1519"/>
      <c r="AG400" s="948"/>
      <c r="AH400" s="949"/>
      <c r="AI400" s="949"/>
      <c r="AJ400" s="949"/>
    </row>
    <row r="401" spans="1:36" s="950" customFormat="1">
      <c r="B401" s="854" t="s">
        <v>82</v>
      </c>
      <c r="C401" s="855" t="s">
        <v>376</v>
      </c>
      <c r="D401" s="940"/>
      <c r="E401" s="940"/>
      <c r="F401" s="940"/>
      <c r="G401" s="940"/>
      <c r="H401" s="941"/>
      <c r="I401" s="942"/>
      <c r="J401" s="942"/>
      <c r="K401" s="1467"/>
      <c r="L401" s="1468"/>
      <c r="M401" s="1467"/>
      <c r="N401" s="845"/>
      <c r="O401" s="845"/>
      <c r="P401" s="942"/>
      <c r="Q401" s="942"/>
      <c r="R401" s="845"/>
      <c r="S401" s="1467"/>
      <c r="T401" s="1467"/>
      <c r="U401" s="1467"/>
      <c r="V401" s="947"/>
      <c r="W401" s="942"/>
      <c r="X401" s="942"/>
      <c r="Y401" s="942"/>
      <c r="Z401" s="942"/>
      <c r="AA401" s="845"/>
      <c r="AB401" s="942"/>
      <c r="AC401" s="942"/>
      <c r="AD401" s="942"/>
      <c r="AE401" s="947"/>
      <c r="AF401" s="1519"/>
      <c r="AG401" s="948"/>
      <c r="AH401" s="949"/>
      <c r="AI401" s="949"/>
      <c r="AJ401" s="949"/>
    </row>
    <row r="402" spans="1:36" s="1571" customFormat="1">
      <c r="B402" s="1705"/>
      <c r="C402" s="1636"/>
      <c r="D402" s="1636"/>
      <c r="E402" s="1636"/>
      <c r="F402" s="1636"/>
      <c r="G402" s="1636"/>
      <c r="H402" s="1637"/>
      <c r="I402" s="1638"/>
      <c r="J402" s="1638"/>
      <c r="K402" s="1467"/>
      <c r="L402" s="1468"/>
      <c r="M402" s="1467"/>
      <c r="N402" s="845"/>
      <c r="O402" s="845"/>
      <c r="P402" s="1638"/>
      <c r="Q402" s="1638"/>
      <c r="R402" s="845"/>
      <c r="S402" s="1467"/>
      <c r="T402" s="1467"/>
      <c r="U402" s="1467"/>
      <c r="V402" s="1639"/>
      <c r="W402" s="1638"/>
      <c r="X402" s="1638"/>
      <c r="Y402" s="1638"/>
      <c r="Z402" s="1638"/>
      <c r="AA402" s="969"/>
      <c r="AB402" s="1638"/>
      <c r="AC402" s="1638"/>
      <c r="AD402" s="1638"/>
      <c r="AE402" s="1639"/>
      <c r="AF402" s="1519"/>
      <c r="AG402" s="1640"/>
      <c r="AH402" s="1641"/>
      <c r="AI402" s="1641"/>
      <c r="AJ402" s="1641"/>
    </row>
    <row r="403" spans="1:36" s="1480" customFormat="1">
      <c r="B403" s="1011"/>
      <c r="C403" s="1608"/>
      <c r="D403" s="1608"/>
      <c r="E403" s="1608"/>
      <c r="F403" s="1608"/>
      <c r="G403" s="1608"/>
      <c r="H403" s="1609"/>
      <c r="I403" s="1609"/>
      <c r="J403" s="1609"/>
      <c r="K403" s="1610"/>
      <c r="L403" s="1611"/>
      <c r="M403" s="1012"/>
      <c r="N403" s="953"/>
      <c r="O403" s="953"/>
      <c r="P403" s="1012"/>
      <c r="Q403" s="1610"/>
      <c r="R403" s="954"/>
      <c r="S403" s="1610"/>
      <c r="T403" s="1610"/>
      <c r="U403" s="1610"/>
      <c r="V403" s="1612"/>
      <c r="W403" s="1610"/>
      <c r="X403" s="1610"/>
      <c r="Y403" s="1012"/>
      <c r="Z403" s="1610"/>
      <c r="AA403" s="954"/>
      <c r="AB403" s="1610"/>
      <c r="AC403" s="1610"/>
      <c r="AD403" s="1610"/>
      <c r="AE403" s="1612"/>
      <c r="AF403" s="1610"/>
      <c r="AG403" s="1470"/>
      <c r="AH403" s="1613"/>
      <c r="AI403" s="1613"/>
      <c r="AJ403" s="1613"/>
    </row>
    <row r="404" spans="1:36" s="1721" customFormat="1" ht="18" customHeight="1">
      <c r="B404" s="2224" t="s">
        <v>32</v>
      </c>
      <c r="C404" s="2224" t="s">
        <v>31</v>
      </c>
      <c r="D404" s="2224" t="s">
        <v>30</v>
      </c>
      <c r="E404" s="2224" t="s">
        <v>242</v>
      </c>
      <c r="F404" s="2224"/>
      <c r="G404" s="2224"/>
      <c r="H404" s="2210" t="s">
        <v>29</v>
      </c>
      <c r="I404" s="2210"/>
      <c r="J404" s="2210"/>
      <c r="K404" s="2224" t="s">
        <v>243</v>
      </c>
      <c r="L404" s="2224"/>
      <c r="M404" s="2224"/>
      <c r="N404" s="2224"/>
      <c r="O404" s="2224"/>
      <c r="P404" s="2224"/>
      <c r="Q404" s="2224"/>
      <c r="R404" s="2224"/>
      <c r="S404" s="2224"/>
      <c r="T404" s="2224"/>
      <c r="U404" s="2224"/>
      <c r="V404" s="2224"/>
      <c r="W404" s="2224"/>
      <c r="X404" s="2224"/>
      <c r="Y404" s="2224" t="s">
        <v>27</v>
      </c>
      <c r="Z404" s="2224"/>
      <c r="AA404" s="2224"/>
      <c r="AB404" s="2224"/>
      <c r="AC404" s="2224"/>
      <c r="AD404" s="2224"/>
      <c r="AE404" s="2224"/>
      <c r="AF404" s="2224"/>
      <c r="AG404" s="1676"/>
      <c r="AH404" s="1677" t="s">
        <v>244</v>
      </c>
      <c r="AI404" s="1677" t="s">
        <v>245</v>
      </c>
      <c r="AJ404" s="1677" t="s">
        <v>246</v>
      </c>
    </row>
    <row r="405" spans="1:36" ht="50.25" customHeight="1">
      <c r="A405" s="1722"/>
      <c r="B405" s="2224"/>
      <c r="C405" s="2224"/>
      <c r="D405" s="2224"/>
      <c r="E405" s="1706" t="s">
        <v>247</v>
      </c>
      <c r="F405" s="1706" t="s">
        <v>248</v>
      </c>
      <c r="G405" s="1706" t="s">
        <v>249</v>
      </c>
      <c r="H405" s="1708" t="s">
        <v>26</v>
      </c>
      <c r="I405" s="1708" t="s">
        <v>25</v>
      </c>
      <c r="J405" s="1708" t="s">
        <v>250</v>
      </c>
      <c r="K405" s="1708" t="s">
        <v>23</v>
      </c>
      <c r="L405" s="1709" t="s">
        <v>22</v>
      </c>
      <c r="M405" s="1708" t="s">
        <v>251</v>
      </c>
      <c r="N405" s="1013" t="s">
        <v>20</v>
      </c>
      <c r="O405" s="1013" t="s">
        <v>19</v>
      </c>
      <c r="P405" s="1708" t="s">
        <v>18</v>
      </c>
      <c r="Q405" s="1708" t="s">
        <v>17</v>
      </c>
      <c r="R405" s="1014" t="s">
        <v>16</v>
      </c>
      <c r="S405" s="1708" t="s">
        <v>15</v>
      </c>
      <c r="T405" s="1710" t="s">
        <v>14</v>
      </c>
      <c r="U405" s="1710" t="s">
        <v>13</v>
      </c>
      <c r="V405" s="1711" t="s">
        <v>12</v>
      </c>
      <c r="W405" s="1707" t="s">
        <v>3</v>
      </c>
      <c r="X405" s="1707" t="s">
        <v>11</v>
      </c>
      <c r="Y405" s="1707" t="s">
        <v>10</v>
      </c>
      <c r="Z405" s="1708" t="s">
        <v>9</v>
      </c>
      <c r="AA405" s="1015" t="s">
        <v>8</v>
      </c>
      <c r="AB405" s="1707" t="s">
        <v>7</v>
      </c>
      <c r="AC405" s="1707" t="s">
        <v>6</v>
      </c>
      <c r="AD405" s="1707" t="s">
        <v>5</v>
      </c>
      <c r="AE405" s="1712" t="s">
        <v>4</v>
      </c>
      <c r="AF405" s="1707" t="s">
        <v>3</v>
      </c>
      <c r="AG405" s="1676"/>
      <c r="AH405" s="1471"/>
      <c r="AI405" s="1471"/>
      <c r="AJ405" s="1471"/>
    </row>
    <row r="406" spans="1:36" s="1683" customFormat="1" ht="18" customHeight="1">
      <c r="B406" s="1684" t="s">
        <v>174</v>
      </c>
      <c r="C406" s="1685" t="s">
        <v>825</v>
      </c>
      <c r="D406" s="1684" t="s">
        <v>374</v>
      </c>
      <c r="E406" s="1684"/>
      <c r="F406" s="1684"/>
      <c r="G406" s="1684"/>
      <c r="H406" s="983">
        <f>I406+J406</f>
        <v>6922879.3250000002</v>
      </c>
      <c r="I406" s="984">
        <f t="shared" ref="I406:I412" si="203">AI406+AJ406</f>
        <v>4588802.3250000002</v>
      </c>
      <c r="J406" s="984">
        <f t="shared" ref="J406:J412" si="204">AH406</f>
        <v>2334077</v>
      </c>
      <c r="K406" s="1686">
        <v>9727216</v>
      </c>
      <c r="L406" s="985">
        <f>H406/K406</f>
        <v>0.71170202501928614</v>
      </c>
      <c r="M406" s="1686">
        <v>1045331</v>
      </c>
      <c r="N406" s="986">
        <f t="shared" ref="N406:N414" si="205">M406/K406</f>
        <v>0.10746456128865649</v>
      </c>
      <c r="O406" s="986">
        <f t="shared" ref="O406:O414" si="206">P406/M406</f>
        <v>8.67524257866647E-2</v>
      </c>
      <c r="P406" s="1686">
        <v>90685</v>
      </c>
      <c r="Q406" s="1686">
        <v>64223</v>
      </c>
      <c r="R406" s="986">
        <f t="shared" ref="R406:R414" si="207">Q406/P406</f>
        <v>0.70819870981970556</v>
      </c>
      <c r="S406" s="987">
        <f t="shared" ref="S406:S413" si="208">H406/P406</f>
        <v>76.339850306004308</v>
      </c>
      <c r="T406" s="987">
        <f t="shared" ref="T406:T413" si="209">H406/Q406</f>
        <v>107.7943933637482</v>
      </c>
      <c r="U406" s="987">
        <v>64223000</v>
      </c>
      <c r="V406" s="988">
        <v>9.3000000000000007</v>
      </c>
      <c r="W406" s="1687">
        <v>1300</v>
      </c>
      <c r="X406" s="2222">
        <v>1000</v>
      </c>
      <c r="Y406" s="1686">
        <v>1013</v>
      </c>
      <c r="Z406" s="1686">
        <v>671</v>
      </c>
      <c r="AA406" s="986">
        <f>Z406/Y406</f>
        <v>0.6623889437314906</v>
      </c>
      <c r="AB406" s="987">
        <f t="shared" ref="AB406:AB413" si="210">H406/Y406</f>
        <v>6834.0368460019745</v>
      </c>
      <c r="AC406" s="987">
        <f t="shared" ref="AC406:AC413" si="211">H406/Z406</f>
        <v>10317.256818181819</v>
      </c>
      <c r="AD406" s="987">
        <f>Z406*AF406</f>
        <v>872300</v>
      </c>
      <c r="AE406" s="989">
        <f t="shared" ref="AE406:AE413" si="212">AD406/H406</f>
        <v>0.1260024852448226</v>
      </c>
      <c r="AF406" s="1687">
        <v>1300</v>
      </c>
      <c r="AG406" s="1688" t="s">
        <v>282</v>
      </c>
      <c r="AH406" s="1689">
        <v>2334077</v>
      </c>
      <c r="AI406" s="1689">
        <f>2459718-100000</f>
        <v>2359718</v>
      </c>
      <c r="AJ406" s="1689">
        <f>2156330.85+345506.95/2-100000</f>
        <v>2229084.3250000002</v>
      </c>
    </row>
    <row r="407" spans="1:36" s="1683" customFormat="1" ht="18" customHeight="1">
      <c r="B407" s="1684" t="s">
        <v>174</v>
      </c>
      <c r="C407" s="1685" t="s">
        <v>826</v>
      </c>
      <c r="D407" s="1684" t="s">
        <v>374</v>
      </c>
      <c r="E407" s="1684"/>
      <c r="F407" s="1684"/>
      <c r="G407" s="1684"/>
      <c r="H407" s="983">
        <f t="shared" ref="H407:H413" si="213">I407+J407</f>
        <v>4957683.74</v>
      </c>
      <c r="I407" s="984">
        <f t="shared" si="203"/>
        <v>3045619.74</v>
      </c>
      <c r="J407" s="984">
        <f t="shared" si="204"/>
        <v>1912064</v>
      </c>
      <c r="K407" s="1686">
        <v>4401604</v>
      </c>
      <c r="L407" s="985">
        <f t="shared" ref="L407:L413" si="214">H407/K407</f>
        <v>1.126335703984275</v>
      </c>
      <c r="M407" s="1686">
        <v>573947</v>
      </c>
      <c r="N407" s="986">
        <f t="shared" si="205"/>
        <v>0.13039496510817419</v>
      </c>
      <c r="O407" s="986">
        <f t="shared" si="206"/>
        <v>0.1274838965967241</v>
      </c>
      <c r="P407" s="1686">
        <v>73169</v>
      </c>
      <c r="Q407" s="1686">
        <v>52060</v>
      </c>
      <c r="R407" s="986">
        <f t="shared" si="207"/>
        <v>0.71150350558296549</v>
      </c>
      <c r="S407" s="987">
        <f t="shared" si="208"/>
        <v>67.756614686547579</v>
      </c>
      <c r="T407" s="987">
        <f t="shared" si="209"/>
        <v>95.230190933538225</v>
      </c>
      <c r="U407" s="987">
        <v>52060000</v>
      </c>
      <c r="V407" s="988">
        <v>10.5</v>
      </c>
      <c r="W407" s="1687">
        <v>1820</v>
      </c>
      <c r="X407" s="2222"/>
      <c r="Y407" s="1686">
        <v>865</v>
      </c>
      <c r="Z407" s="1686">
        <v>567</v>
      </c>
      <c r="AA407" s="986">
        <f t="shared" ref="AA407:AA413" si="215">Z407/Y407</f>
        <v>0.65549132947976874</v>
      </c>
      <c r="AB407" s="987">
        <f t="shared" si="210"/>
        <v>5731.4262890173413</v>
      </c>
      <c r="AC407" s="987">
        <f t="shared" si="211"/>
        <v>8743.7102998236332</v>
      </c>
      <c r="AD407" s="987">
        <f t="shared" ref="AD407:AD413" si="216">Z407*AF407</f>
        <v>1031940</v>
      </c>
      <c r="AE407" s="989">
        <f t="shared" si="212"/>
        <v>0.20814962271070561</v>
      </c>
      <c r="AF407" s="1687">
        <v>1820</v>
      </c>
      <c r="AG407" s="1713" t="s">
        <v>257</v>
      </c>
      <c r="AH407" s="1689">
        <v>1912064</v>
      </c>
      <c r="AI407" s="1689">
        <v>932809</v>
      </c>
      <c r="AJ407" s="1689">
        <f>1890010.33+445600.82/2</f>
        <v>2112810.7400000002</v>
      </c>
    </row>
    <row r="408" spans="1:36" s="1683" customFormat="1" ht="18" customHeight="1">
      <c r="B408" s="1684" t="s">
        <v>174</v>
      </c>
      <c r="C408" s="1714" t="s">
        <v>827</v>
      </c>
      <c r="D408" s="1684" t="s">
        <v>374</v>
      </c>
      <c r="E408" s="1684"/>
      <c r="F408" s="1684"/>
      <c r="G408" s="1684"/>
      <c r="H408" s="983">
        <f t="shared" si="213"/>
        <v>4535920.2</v>
      </c>
      <c r="I408" s="984">
        <f t="shared" si="203"/>
        <v>3117948.2</v>
      </c>
      <c r="J408" s="984">
        <f t="shared" si="204"/>
        <v>1417972</v>
      </c>
      <c r="K408" s="1686">
        <v>2999308</v>
      </c>
      <c r="L408" s="985">
        <f t="shared" si="214"/>
        <v>1.5123222423305642</v>
      </c>
      <c r="M408" s="1686">
        <v>349130</v>
      </c>
      <c r="N408" s="986">
        <f t="shared" si="205"/>
        <v>0.11640351707793931</v>
      </c>
      <c r="O408" s="986">
        <f t="shared" si="206"/>
        <v>0.11049752241285481</v>
      </c>
      <c r="P408" s="1686">
        <v>38578</v>
      </c>
      <c r="Q408" s="1686">
        <v>27805</v>
      </c>
      <c r="R408" s="986">
        <f t="shared" si="207"/>
        <v>0.72074757633884601</v>
      </c>
      <c r="S408" s="987">
        <f t="shared" si="208"/>
        <v>117.57789932085645</v>
      </c>
      <c r="T408" s="987">
        <f t="shared" si="209"/>
        <v>163.13325660852365</v>
      </c>
      <c r="U408" s="987">
        <v>27805000</v>
      </c>
      <c r="V408" s="988">
        <v>6.1</v>
      </c>
      <c r="W408" s="1715">
        <v>990</v>
      </c>
      <c r="X408" s="2222"/>
      <c r="Y408" s="1686">
        <v>2967</v>
      </c>
      <c r="Z408" s="1686">
        <v>2175</v>
      </c>
      <c r="AA408" s="986">
        <f t="shared" si="215"/>
        <v>0.73306370070778559</v>
      </c>
      <c r="AB408" s="987">
        <f t="shared" si="210"/>
        <v>1528.7900910010112</v>
      </c>
      <c r="AC408" s="987">
        <f t="shared" si="211"/>
        <v>2085.480551724138</v>
      </c>
      <c r="AD408" s="987">
        <f t="shared" si="216"/>
        <v>2153250</v>
      </c>
      <c r="AE408" s="989">
        <f t="shared" si="212"/>
        <v>0.47471073234489441</v>
      </c>
      <c r="AF408" s="1715">
        <v>990</v>
      </c>
      <c r="AG408" s="404" t="s">
        <v>290</v>
      </c>
      <c r="AH408" s="1689">
        <f>1917972-500000</f>
        <v>1417972</v>
      </c>
      <c r="AI408" s="1689">
        <v>762324</v>
      </c>
      <c r="AJ408" s="1689">
        <f>1151779.94+1203844.26</f>
        <v>2355624.2000000002</v>
      </c>
    </row>
    <row r="409" spans="1:36" s="1683" customFormat="1" ht="18" customHeight="1">
      <c r="B409" s="1684" t="s">
        <v>174</v>
      </c>
      <c r="C409" s="1685" t="s">
        <v>809</v>
      </c>
      <c r="D409" s="1684" t="s">
        <v>374</v>
      </c>
      <c r="E409" s="1684"/>
      <c r="F409" s="1684"/>
      <c r="G409" s="1684"/>
      <c r="H409" s="983">
        <f t="shared" si="213"/>
        <v>5390504.5800000001</v>
      </c>
      <c r="I409" s="984">
        <f t="shared" si="203"/>
        <v>4119547.62</v>
      </c>
      <c r="J409" s="984">
        <f t="shared" si="204"/>
        <v>1270956.96</v>
      </c>
      <c r="K409" s="1686">
        <v>4588271</v>
      </c>
      <c r="L409" s="985">
        <f t="shared" si="214"/>
        <v>1.1748444196081704</v>
      </c>
      <c r="M409" s="1686">
        <v>742681</v>
      </c>
      <c r="N409" s="986">
        <f t="shared" si="205"/>
        <v>0.16186511215226826</v>
      </c>
      <c r="O409" s="986">
        <f t="shared" si="206"/>
        <v>0.1470564077982337</v>
      </c>
      <c r="P409" s="1686">
        <v>109216</v>
      </c>
      <c r="Q409" s="1686">
        <v>75098</v>
      </c>
      <c r="R409" s="986">
        <f t="shared" si="207"/>
        <v>0.68760987401113394</v>
      </c>
      <c r="S409" s="987">
        <f t="shared" si="208"/>
        <v>49.356363353354823</v>
      </c>
      <c r="T409" s="987">
        <f t="shared" si="209"/>
        <v>71.779602386215345</v>
      </c>
      <c r="U409" s="987">
        <v>75098000</v>
      </c>
      <c r="V409" s="988">
        <v>13.9</v>
      </c>
      <c r="W409" s="1715">
        <v>930</v>
      </c>
      <c r="X409" s="2222"/>
      <c r="Y409" s="1686">
        <v>13888</v>
      </c>
      <c r="Z409" s="1686">
        <v>9711</v>
      </c>
      <c r="AA409" s="986">
        <f t="shared" si="215"/>
        <v>0.69923675115207373</v>
      </c>
      <c r="AB409" s="987">
        <f t="shared" si="210"/>
        <v>388.14117079493087</v>
      </c>
      <c r="AC409" s="987">
        <f t="shared" si="211"/>
        <v>555.09263515600867</v>
      </c>
      <c r="AD409" s="987">
        <f t="shared" si="216"/>
        <v>9031230</v>
      </c>
      <c r="AE409" s="989">
        <f t="shared" si="212"/>
        <v>1.6753960350034616</v>
      </c>
      <c r="AF409" s="1715">
        <v>930</v>
      </c>
      <c r="AG409" s="965" t="s">
        <v>290</v>
      </c>
      <c r="AH409" s="1689">
        <v>1270956.96</v>
      </c>
      <c r="AI409" s="1689">
        <v>605792</v>
      </c>
      <c r="AJ409" s="1689">
        <v>3513755.62</v>
      </c>
    </row>
    <row r="410" spans="1:36" s="1683" customFormat="1" ht="18" customHeight="1">
      <c r="B410" s="1684" t="s">
        <v>174</v>
      </c>
      <c r="C410" s="1685" t="s">
        <v>810</v>
      </c>
      <c r="D410" s="1684" t="s">
        <v>374</v>
      </c>
      <c r="E410" s="1684"/>
      <c r="F410" s="1684"/>
      <c r="G410" s="1684"/>
      <c r="H410" s="983">
        <f t="shared" si="213"/>
        <v>3019640.6500000004</v>
      </c>
      <c r="I410" s="984">
        <f t="shared" si="203"/>
        <v>1980482.59</v>
      </c>
      <c r="J410" s="984">
        <f t="shared" si="204"/>
        <v>1039158.06</v>
      </c>
      <c r="K410" s="1686">
        <v>2704286</v>
      </c>
      <c r="L410" s="985">
        <f t="shared" si="214"/>
        <v>1.1166129063272154</v>
      </c>
      <c r="M410" s="1686">
        <v>380691</v>
      </c>
      <c r="N410" s="986">
        <f t="shared" si="205"/>
        <v>0.14077320224266221</v>
      </c>
      <c r="O410" s="986">
        <f t="shared" si="206"/>
        <v>0.10851320362183503</v>
      </c>
      <c r="P410" s="1686">
        <v>41310</v>
      </c>
      <c r="Q410" s="1686">
        <v>29050</v>
      </c>
      <c r="R410" s="986">
        <f t="shared" si="207"/>
        <v>0.70321955942870973</v>
      </c>
      <c r="S410" s="987">
        <f t="shared" si="208"/>
        <v>73.09708666182523</v>
      </c>
      <c r="T410" s="987">
        <f t="shared" si="209"/>
        <v>103.94632185886404</v>
      </c>
      <c r="U410" s="987">
        <v>29050000</v>
      </c>
      <c r="V410" s="988">
        <v>9.6</v>
      </c>
      <c r="W410" s="1715">
        <v>1650</v>
      </c>
      <c r="X410" s="2222"/>
      <c r="Y410" s="1686">
        <v>1400</v>
      </c>
      <c r="Z410" s="1686">
        <v>1035</v>
      </c>
      <c r="AA410" s="986">
        <f t="shared" si="215"/>
        <v>0.73928571428571432</v>
      </c>
      <c r="AB410" s="987">
        <f t="shared" si="210"/>
        <v>2156.8861785714289</v>
      </c>
      <c r="AC410" s="987">
        <f t="shared" si="211"/>
        <v>2917.5271980676334</v>
      </c>
      <c r="AD410" s="987">
        <f t="shared" si="216"/>
        <v>1707750</v>
      </c>
      <c r="AE410" s="989">
        <f t="shared" si="212"/>
        <v>0.56554742697612037</v>
      </c>
      <c r="AF410" s="1715">
        <v>1650</v>
      </c>
      <c r="AG410" s="965" t="s">
        <v>292</v>
      </c>
      <c r="AH410" s="1689">
        <v>1039158.06</v>
      </c>
      <c r="AI410" s="1689">
        <v>290258</v>
      </c>
      <c r="AJ410" s="1689">
        <v>1690224.59</v>
      </c>
    </row>
    <row r="411" spans="1:36" s="1683" customFormat="1" ht="18" customHeight="1">
      <c r="B411" s="1684" t="s">
        <v>174</v>
      </c>
      <c r="C411" s="1685" t="s">
        <v>828</v>
      </c>
      <c r="D411" s="1684" t="s">
        <v>374</v>
      </c>
      <c r="E411" s="1684"/>
      <c r="F411" s="1684"/>
      <c r="G411" s="1684"/>
      <c r="H411" s="983">
        <f t="shared" si="213"/>
        <v>1908882.81</v>
      </c>
      <c r="I411" s="984">
        <f t="shared" si="203"/>
        <v>1382926.81</v>
      </c>
      <c r="J411" s="984">
        <f t="shared" si="204"/>
        <v>525956</v>
      </c>
      <c r="K411" s="1686">
        <v>3182384</v>
      </c>
      <c r="L411" s="985">
        <f t="shared" si="214"/>
        <v>0.59982793088451924</v>
      </c>
      <c r="M411" s="1686">
        <v>559294</v>
      </c>
      <c r="N411" s="986">
        <f t="shared" si="205"/>
        <v>0.17574686147240559</v>
      </c>
      <c r="O411" s="986">
        <f t="shared" si="206"/>
        <v>0.10543649672622986</v>
      </c>
      <c r="P411" s="1686">
        <v>58970</v>
      </c>
      <c r="Q411" s="1686">
        <v>44563</v>
      </c>
      <c r="R411" s="986">
        <f t="shared" si="207"/>
        <v>0.75568933355943702</v>
      </c>
      <c r="S411" s="987">
        <f t="shared" si="208"/>
        <v>32.370405460403596</v>
      </c>
      <c r="T411" s="987">
        <f t="shared" si="209"/>
        <v>42.835599263963381</v>
      </c>
      <c r="U411" s="987">
        <v>44563000</v>
      </c>
      <c r="V411" s="988">
        <v>23.3</v>
      </c>
      <c r="W411" s="1715">
        <v>550</v>
      </c>
      <c r="X411" s="2222"/>
      <c r="Y411" s="1686">
        <v>3751</v>
      </c>
      <c r="Z411" s="1686">
        <v>2907</v>
      </c>
      <c r="AA411" s="986">
        <f t="shared" si="215"/>
        <v>0.77499333511063717</v>
      </c>
      <c r="AB411" s="987">
        <f t="shared" si="210"/>
        <v>508.89970941082379</v>
      </c>
      <c r="AC411" s="987">
        <f t="shared" si="211"/>
        <v>656.65043343653258</v>
      </c>
      <c r="AD411" s="987">
        <f t="shared" si="216"/>
        <v>1598850</v>
      </c>
      <c r="AE411" s="989">
        <f t="shared" si="212"/>
        <v>0.83758415740566072</v>
      </c>
      <c r="AF411" s="1715">
        <v>550</v>
      </c>
      <c r="AG411" s="965" t="s">
        <v>257</v>
      </c>
      <c r="AH411" s="1689">
        <v>525956</v>
      </c>
      <c r="AI411" s="1689">
        <v>0</v>
      </c>
      <c r="AJ411" s="1689">
        <f>1482926.81-100000</f>
        <v>1382926.81</v>
      </c>
    </row>
    <row r="412" spans="1:36" s="1683" customFormat="1" ht="18" customHeight="1">
      <c r="B412" s="1684" t="s">
        <v>174</v>
      </c>
      <c r="C412" s="1685" t="s">
        <v>829</v>
      </c>
      <c r="D412" s="1684" t="s">
        <v>374</v>
      </c>
      <c r="E412" s="1684"/>
      <c r="F412" s="1684"/>
      <c r="G412" s="1684"/>
      <c r="H412" s="983">
        <f t="shared" si="213"/>
        <v>2126515.0949999997</v>
      </c>
      <c r="I412" s="984">
        <f t="shared" si="203"/>
        <v>1401762.99</v>
      </c>
      <c r="J412" s="984">
        <f t="shared" si="204"/>
        <v>724752.10499999998</v>
      </c>
      <c r="K412" s="1686">
        <v>2552231</v>
      </c>
      <c r="L412" s="985">
        <f t="shared" si="214"/>
        <v>0.83319852121536009</v>
      </c>
      <c r="M412" s="1686">
        <v>437803</v>
      </c>
      <c r="N412" s="986">
        <f t="shared" si="205"/>
        <v>0.17153737259675947</v>
      </c>
      <c r="O412" s="986">
        <f t="shared" si="206"/>
        <v>0.12797079965189823</v>
      </c>
      <c r="P412" s="1686">
        <v>56026</v>
      </c>
      <c r="Q412" s="1686">
        <v>41840</v>
      </c>
      <c r="R412" s="986">
        <f t="shared" si="207"/>
        <v>0.74679613036804338</v>
      </c>
      <c r="S412" s="987">
        <f t="shared" si="208"/>
        <v>37.955861475029444</v>
      </c>
      <c r="T412" s="987">
        <f t="shared" si="209"/>
        <v>50.824930568833643</v>
      </c>
      <c r="U412" s="987">
        <v>41840000</v>
      </c>
      <c r="V412" s="988">
        <v>19.7</v>
      </c>
      <c r="W412" s="1715">
        <v>470</v>
      </c>
      <c r="X412" s="2222"/>
      <c r="Y412" s="1686">
        <v>8493</v>
      </c>
      <c r="Z412" s="1686">
        <v>6699</v>
      </c>
      <c r="AA412" s="986">
        <f t="shared" si="215"/>
        <v>0.7887672200635818</v>
      </c>
      <c r="AB412" s="987">
        <f t="shared" si="210"/>
        <v>250.38444542564463</v>
      </c>
      <c r="AC412" s="987">
        <f t="shared" si="211"/>
        <v>317.43769144648451</v>
      </c>
      <c r="AD412" s="987">
        <f t="shared" si="216"/>
        <v>3148530</v>
      </c>
      <c r="AE412" s="989">
        <f t="shared" si="212"/>
        <v>1.480605525633478</v>
      </c>
      <c r="AF412" s="1715">
        <v>470</v>
      </c>
      <c r="AG412" s="965" t="s">
        <v>257</v>
      </c>
      <c r="AH412" s="1689">
        <v>724752.10499999998</v>
      </c>
      <c r="AI412" s="1689">
        <v>0</v>
      </c>
      <c r="AJ412" s="1689">
        <f>625107.39+738826.6+75658*50%</f>
        <v>1401762.99</v>
      </c>
    </row>
    <row r="413" spans="1:36" s="1683" customFormat="1" ht="18" customHeight="1">
      <c r="B413" s="1716"/>
      <c r="C413" s="2223" t="s">
        <v>0</v>
      </c>
      <c r="D413" s="2223"/>
      <c r="E413" s="1717"/>
      <c r="F413" s="1717"/>
      <c r="G413" s="1717"/>
      <c r="H413" s="1017">
        <f t="shared" si="213"/>
        <v>28862026.399999999</v>
      </c>
      <c r="I413" s="1018">
        <f>SUM(I406:I412)</f>
        <v>19637090.274999999</v>
      </c>
      <c r="J413" s="1018">
        <f>SUM(J406:J412)</f>
        <v>9224936.125</v>
      </c>
      <c r="K413" s="1018">
        <f>SUM(K406:K412)</f>
        <v>30155300</v>
      </c>
      <c r="L413" s="1019">
        <f t="shared" si="214"/>
        <v>0.95711289226106189</v>
      </c>
      <c r="M413" s="1018">
        <f>SUM(M406:M412)</f>
        <v>4088877</v>
      </c>
      <c r="N413" s="1020">
        <f t="shared" si="205"/>
        <v>0.13559397518844116</v>
      </c>
      <c r="O413" s="1020">
        <f t="shared" si="206"/>
        <v>0.11444560450216526</v>
      </c>
      <c r="P413" s="1018">
        <f>SUM(P406:P412)</f>
        <v>467954</v>
      </c>
      <c r="Q413" s="1018">
        <f>SUM(Q406:Q412)</f>
        <v>334639</v>
      </c>
      <c r="R413" s="1020">
        <f t="shared" si="207"/>
        <v>0.71511088696752245</v>
      </c>
      <c r="S413" s="1718">
        <f t="shared" si="208"/>
        <v>61.677058856212362</v>
      </c>
      <c r="T413" s="1718">
        <f t="shared" si="209"/>
        <v>86.248244825020393</v>
      </c>
      <c r="U413" s="1718">
        <v>334639000</v>
      </c>
      <c r="V413" s="1021">
        <v>11.6</v>
      </c>
      <c r="W413" s="1718">
        <f>X406</f>
        <v>1000</v>
      </c>
      <c r="X413" s="1718"/>
      <c r="Y413" s="1018">
        <f>SUM(Y406:Y412)</f>
        <v>32377</v>
      </c>
      <c r="Z413" s="1018">
        <f>SUM(Z406:Z412)</f>
        <v>23765</v>
      </c>
      <c r="AA413" s="1020">
        <f t="shared" si="215"/>
        <v>0.7340087098866479</v>
      </c>
      <c r="AB413" s="1719">
        <f t="shared" si="210"/>
        <v>891.43609352318003</v>
      </c>
      <c r="AC413" s="1719">
        <f t="shared" si="211"/>
        <v>1214.4761792552072</v>
      </c>
      <c r="AD413" s="1718">
        <f t="shared" si="216"/>
        <v>23765000</v>
      </c>
      <c r="AE413" s="1022">
        <f t="shared" si="212"/>
        <v>0.82340025854872068</v>
      </c>
      <c r="AF413" s="1718">
        <v>1000</v>
      </c>
      <c r="AG413" s="1694"/>
      <c r="AH413" s="1689"/>
      <c r="AI413" s="1689"/>
      <c r="AJ413" s="1689"/>
    </row>
    <row r="414" spans="1:36" s="1683" customFormat="1" ht="18" customHeight="1">
      <c r="A414" s="1695"/>
      <c r="B414" s="1696"/>
      <c r="C414" s="2226" t="s">
        <v>260</v>
      </c>
      <c r="D414" s="2226"/>
      <c r="E414" s="1697"/>
      <c r="F414" s="1697"/>
      <c r="G414" s="1697"/>
      <c r="H414" s="996"/>
      <c r="I414" s="997"/>
      <c r="J414" s="997"/>
      <c r="K414" s="997">
        <v>24481575</v>
      </c>
      <c r="L414" s="998">
        <f>H413/K414</f>
        <v>1.1789284962262436</v>
      </c>
      <c r="M414" s="997">
        <v>3095247</v>
      </c>
      <c r="N414" s="999">
        <f t="shared" si="205"/>
        <v>0.1264316940392928</v>
      </c>
      <c r="O414" s="999">
        <f t="shared" si="206"/>
        <v>0.10055578763181097</v>
      </c>
      <c r="P414" s="997">
        <v>311245</v>
      </c>
      <c r="Q414" s="997">
        <v>223266</v>
      </c>
      <c r="R414" s="999">
        <f t="shared" si="207"/>
        <v>0.71733200533341901</v>
      </c>
      <c r="S414" s="1698">
        <f>H413/P414</f>
        <v>92.730891741232782</v>
      </c>
      <c r="T414" s="1698">
        <f>H413/Q414</f>
        <v>129.27192855159316</v>
      </c>
      <c r="U414" s="1698">
        <v>223266000</v>
      </c>
      <c r="V414" s="1000">
        <v>7.7</v>
      </c>
      <c r="W414" s="1698">
        <f>W413</f>
        <v>1000</v>
      </c>
      <c r="X414" s="1698"/>
      <c r="Y414" s="997"/>
      <c r="Z414" s="997"/>
      <c r="AA414" s="999"/>
      <c r="AB414" s="1699"/>
      <c r="AC414" s="1699"/>
      <c r="AD414" s="1698"/>
      <c r="AE414" s="1001"/>
      <c r="AF414" s="1698"/>
      <c r="AG414" s="1694"/>
      <c r="AH414" s="1689"/>
      <c r="AI414" s="1689"/>
      <c r="AJ414" s="1689"/>
    </row>
    <row r="415" spans="1:36">
      <c r="B415" s="404"/>
      <c r="E415" s="1465"/>
      <c r="F415" s="1465"/>
      <c r="G415" s="1465"/>
      <c r="H415" s="1466"/>
      <c r="I415" s="1466"/>
      <c r="J415" s="1466"/>
      <c r="K415" s="942"/>
      <c r="L415" s="1006"/>
      <c r="M415" s="942"/>
      <c r="N415" s="845"/>
      <c r="R415" s="845"/>
      <c r="S415" s="1467"/>
      <c r="V415" s="1469"/>
      <c r="X415" s="1467"/>
      <c r="AA415" s="845"/>
      <c r="AB415" s="1467"/>
      <c r="AD415" s="1467"/>
      <c r="AE415" s="1469"/>
      <c r="AF415" s="1467"/>
      <c r="AG415" s="1470"/>
      <c r="AH415" s="1471"/>
      <c r="AI415" s="1471"/>
      <c r="AJ415" s="1471"/>
    </row>
    <row r="416" spans="1:36">
      <c r="B416" s="404"/>
      <c r="E416" s="1465"/>
      <c r="F416" s="1465"/>
      <c r="G416" s="1465"/>
      <c r="H416" s="1466"/>
      <c r="I416" s="1466"/>
      <c r="J416" s="1466"/>
      <c r="K416" s="942"/>
      <c r="L416" s="1006"/>
      <c r="M416" s="942"/>
      <c r="N416" s="845"/>
      <c r="R416" s="845"/>
      <c r="S416" s="1467"/>
      <c r="V416" s="1469"/>
      <c r="X416" s="1467"/>
      <c r="AA416" s="845"/>
      <c r="AB416" s="1467"/>
      <c r="AD416" s="1467"/>
      <c r="AE416" s="1469"/>
      <c r="AF416" s="1467"/>
      <c r="AG416" s="1470"/>
      <c r="AH416" s="1471"/>
      <c r="AI416" s="1471"/>
      <c r="AJ416" s="1471"/>
    </row>
    <row r="417" spans="2:36">
      <c r="B417" s="404"/>
      <c r="E417" s="1465"/>
      <c r="F417" s="1465"/>
      <c r="G417" s="1465"/>
      <c r="H417" s="1466"/>
      <c r="I417" s="1466"/>
      <c r="J417" s="1466"/>
      <c r="K417" s="942"/>
      <c r="L417" s="1006"/>
      <c r="M417" s="942"/>
      <c r="N417" s="845"/>
      <c r="R417" s="845"/>
      <c r="S417" s="1467"/>
      <c r="V417" s="1469"/>
      <c r="X417" s="1467"/>
      <c r="AA417" s="845"/>
      <c r="AB417" s="1467"/>
      <c r="AD417" s="1467"/>
      <c r="AE417" s="1469"/>
      <c r="AF417" s="1467"/>
      <c r="AG417" s="1470"/>
      <c r="AH417" s="1471"/>
      <c r="AI417" s="1471"/>
      <c r="AJ417" s="1471"/>
    </row>
    <row r="418" spans="2:36">
      <c r="B418" s="404"/>
      <c r="E418" s="1465"/>
      <c r="F418" s="1465"/>
      <c r="G418" s="1465"/>
      <c r="H418" s="1466"/>
      <c r="I418" s="1466"/>
      <c r="J418" s="1466"/>
      <c r="K418" s="942"/>
      <c r="L418" s="1006"/>
      <c r="M418" s="942"/>
      <c r="N418" s="845"/>
      <c r="R418" s="845"/>
      <c r="S418" s="1467"/>
      <c r="V418" s="1469"/>
      <c r="X418" s="1467"/>
      <c r="AA418" s="845"/>
      <c r="AB418" s="1467"/>
      <c r="AD418" s="1467"/>
      <c r="AE418" s="1469"/>
      <c r="AF418" s="1467"/>
      <c r="AG418" s="1470"/>
      <c r="AH418" s="1471"/>
      <c r="AI418" s="1471"/>
      <c r="AJ418" s="1471"/>
    </row>
    <row r="419" spans="2:36">
      <c r="C419" s="1463"/>
      <c r="E419" s="1465"/>
      <c r="F419" s="1465"/>
      <c r="G419" s="1465"/>
      <c r="H419" s="1466"/>
      <c r="I419" s="1466"/>
      <c r="J419" s="1466"/>
      <c r="K419" s="942"/>
      <c r="L419" s="1006"/>
      <c r="M419" s="942"/>
      <c r="N419" s="845"/>
      <c r="R419" s="845"/>
      <c r="S419" s="1467"/>
      <c r="V419" s="1469"/>
      <c r="X419" s="1467"/>
      <c r="AA419" s="845"/>
      <c r="AB419" s="1467"/>
      <c r="AD419" s="1467"/>
      <c r="AE419" s="1469"/>
      <c r="AF419" s="1467"/>
      <c r="AG419" s="1470"/>
      <c r="AH419" s="1471"/>
      <c r="AI419" s="1471"/>
      <c r="AJ419" s="1471"/>
    </row>
    <row r="420" spans="2:36" s="1473" customFormat="1" ht="22.5">
      <c r="B420" s="850" t="s">
        <v>822</v>
      </c>
      <c r="C420" s="1474"/>
      <c r="D420" s="1474"/>
      <c r="E420" s="1474"/>
      <c r="F420" s="1474"/>
      <c r="G420" s="1474"/>
      <c r="H420" s="1475"/>
      <c r="I420" s="1476"/>
      <c r="J420" s="1476"/>
      <c r="K420" s="1476"/>
      <c r="L420" s="1477"/>
      <c r="M420" s="1476"/>
      <c r="N420" s="851"/>
      <c r="O420" s="851"/>
      <c r="P420" s="1476"/>
      <c r="Q420" s="1476"/>
      <c r="R420" s="851"/>
      <c r="S420" s="1476"/>
      <c r="T420" s="1476"/>
      <c r="U420" s="1476"/>
      <c r="V420" s="1478"/>
      <c r="W420" s="1476"/>
      <c r="X420" s="1476"/>
      <c r="Y420" s="1476"/>
      <c r="Z420" s="1476"/>
      <c r="AA420" s="851"/>
      <c r="AB420" s="1476"/>
      <c r="AC420" s="1476"/>
      <c r="AD420" s="1476"/>
      <c r="AE420" s="1478"/>
      <c r="AF420" s="1476"/>
      <c r="AG420" s="1479"/>
      <c r="AH420" s="1476"/>
      <c r="AI420" s="1476"/>
      <c r="AJ420" s="1476"/>
    </row>
    <row r="421" spans="2:36" s="950" customFormat="1">
      <c r="B421" s="852" t="s">
        <v>238</v>
      </c>
      <c r="C421" s="853" t="s">
        <v>377</v>
      </c>
      <c r="D421" s="940"/>
      <c r="E421" s="940"/>
      <c r="F421" s="940"/>
      <c r="G421" s="940"/>
      <c r="H421" s="941"/>
      <c r="I421" s="942"/>
      <c r="J421" s="942"/>
      <c r="K421" s="943"/>
      <c r="L421" s="944"/>
      <c r="M421" s="945"/>
      <c r="N421" s="946"/>
      <c r="O421" s="845"/>
      <c r="P421" s="942"/>
      <c r="Q421" s="942"/>
      <c r="R421" s="845"/>
      <c r="S421" s="1467"/>
      <c r="T421" s="1467"/>
      <c r="U421" s="1467"/>
      <c r="V421" s="947"/>
      <c r="W421" s="942"/>
      <c r="X421" s="942"/>
      <c r="Y421" s="942"/>
      <c r="Z421" s="942"/>
      <c r="AA421" s="845"/>
      <c r="AB421" s="942"/>
      <c r="AC421" s="942"/>
      <c r="AD421" s="942"/>
      <c r="AE421" s="947"/>
      <c r="AF421" s="1519"/>
      <c r="AG421" s="948"/>
      <c r="AH421" s="949"/>
      <c r="AI421" s="949"/>
      <c r="AJ421" s="949"/>
    </row>
    <row r="422" spans="2:36" s="950" customFormat="1">
      <c r="B422" s="854" t="s">
        <v>82</v>
      </c>
      <c r="C422" s="855" t="s">
        <v>378</v>
      </c>
      <c r="D422" s="940"/>
      <c r="E422" s="940"/>
      <c r="F422" s="940"/>
      <c r="G422" s="940"/>
      <c r="H422" s="941"/>
      <c r="I422" s="942"/>
      <c r="J422" s="942"/>
      <c r="K422" s="1467"/>
      <c r="L422" s="1468"/>
      <c r="M422" s="1467"/>
      <c r="N422" s="845"/>
      <c r="O422" s="845"/>
      <c r="P422" s="942"/>
      <c r="Q422" s="942"/>
      <c r="R422" s="845"/>
      <c r="S422" s="1467"/>
      <c r="T422" s="1467"/>
      <c r="U422" s="1467"/>
      <c r="V422" s="947"/>
      <c r="W422" s="942"/>
      <c r="X422" s="942"/>
      <c r="Y422" s="942"/>
      <c r="Z422" s="942"/>
      <c r="AA422" s="845"/>
      <c r="AB422" s="942"/>
      <c r="AC422" s="942"/>
      <c r="AD422" s="942"/>
      <c r="AE422" s="947"/>
      <c r="AF422" s="1519"/>
      <c r="AG422" s="948"/>
      <c r="AH422" s="949"/>
      <c r="AI422" s="949"/>
      <c r="AJ422" s="949"/>
    </row>
    <row r="423" spans="2:36" s="1571" customFormat="1">
      <c r="B423" s="1705"/>
      <c r="C423" s="1636"/>
      <c r="D423" s="1636"/>
      <c r="E423" s="1636"/>
      <c r="F423" s="1636"/>
      <c r="G423" s="1636"/>
      <c r="H423" s="1637"/>
      <c r="I423" s="1638"/>
      <c r="J423" s="1638"/>
      <c r="K423" s="1467"/>
      <c r="L423" s="1468"/>
      <c r="M423" s="1467"/>
      <c r="N423" s="845"/>
      <c r="O423" s="845"/>
      <c r="P423" s="1638"/>
      <c r="Q423" s="1638"/>
      <c r="R423" s="845"/>
      <c r="S423" s="1467"/>
      <c r="T423" s="1467"/>
      <c r="U423" s="1467"/>
      <c r="V423" s="1639"/>
      <c r="W423" s="1638"/>
      <c r="X423" s="1638"/>
      <c r="Y423" s="1638"/>
      <c r="Z423" s="1638"/>
      <c r="AA423" s="969"/>
      <c r="AB423" s="1638"/>
      <c r="AC423" s="1638"/>
      <c r="AD423" s="1638"/>
      <c r="AE423" s="1639"/>
      <c r="AF423" s="1519"/>
      <c r="AG423" s="1640"/>
      <c r="AH423" s="1641"/>
      <c r="AI423" s="1641"/>
      <c r="AJ423" s="1641"/>
    </row>
    <row r="424" spans="2:36" s="1480" customFormat="1">
      <c r="B424" s="1011"/>
      <c r="C424" s="1608"/>
      <c r="D424" s="1608"/>
      <c r="E424" s="1608"/>
      <c r="F424" s="1608"/>
      <c r="G424" s="1608"/>
      <c r="H424" s="1609"/>
      <c r="I424" s="1609"/>
      <c r="J424" s="1609"/>
      <c r="K424" s="1610"/>
      <c r="L424" s="1611"/>
      <c r="M424" s="1012"/>
      <c r="N424" s="953"/>
      <c r="O424" s="953"/>
      <c r="P424" s="1012"/>
      <c r="Q424" s="1610"/>
      <c r="R424" s="954"/>
      <c r="S424" s="1610"/>
      <c r="T424" s="1610"/>
      <c r="U424" s="1610"/>
      <c r="V424" s="1612"/>
      <c r="W424" s="1610"/>
      <c r="X424" s="1610"/>
      <c r="Y424" s="1012"/>
      <c r="Z424" s="1610"/>
      <c r="AA424" s="954"/>
      <c r="AB424" s="1610"/>
      <c r="AC424" s="1610"/>
      <c r="AD424" s="1610"/>
      <c r="AE424" s="1612"/>
      <c r="AF424" s="1610"/>
      <c r="AG424" s="1470"/>
      <c r="AH424" s="1613"/>
      <c r="AI424" s="1613"/>
      <c r="AJ424" s="1613"/>
    </row>
    <row r="425" spans="2:36" ht="18" customHeight="1">
      <c r="B425" s="2224" t="s">
        <v>32</v>
      </c>
      <c r="C425" s="2224" t="s">
        <v>31</v>
      </c>
      <c r="D425" s="2224" t="s">
        <v>30</v>
      </c>
      <c r="E425" s="2224" t="s">
        <v>242</v>
      </c>
      <c r="F425" s="2224"/>
      <c r="G425" s="2224"/>
      <c r="H425" s="2210" t="s">
        <v>29</v>
      </c>
      <c r="I425" s="2210"/>
      <c r="J425" s="2210"/>
      <c r="K425" s="2224" t="s">
        <v>243</v>
      </c>
      <c r="L425" s="2224"/>
      <c r="M425" s="2224"/>
      <c r="N425" s="2224"/>
      <c r="O425" s="2224"/>
      <c r="P425" s="2224"/>
      <c r="Q425" s="2224"/>
      <c r="R425" s="2224"/>
      <c r="S425" s="2224"/>
      <c r="T425" s="2224"/>
      <c r="U425" s="2224"/>
      <c r="V425" s="2224"/>
      <c r="W425" s="2224"/>
      <c r="X425" s="2224"/>
      <c r="Y425" s="2224" t="s">
        <v>27</v>
      </c>
      <c r="Z425" s="2224"/>
      <c r="AA425" s="2224"/>
      <c r="AB425" s="2224"/>
      <c r="AC425" s="2224"/>
      <c r="AD425" s="2224"/>
      <c r="AE425" s="2224"/>
      <c r="AF425" s="2224"/>
      <c r="AG425" s="1676"/>
      <c r="AH425" s="1677" t="s">
        <v>244</v>
      </c>
      <c r="AI425" s="1677" t="s">
        <v>245</v>
      </c>
      <c r="AJ425" s="1677" t="s">
        <v>246</v>
      </c>
    </row>
    <row r="426" spans="2:36" ht="50.25" customHeight="1">
      <c r="B426" s="2224"/>
      <c r="C426" s="2224"/>
      <c r="D426" s="2224"/>
      <c r="E426" s="1706" t="s">
        <v>247</v>
      </c>
      <c r="F426" s="1706" t="s">
        <v>248</v>
      </c>
      <c r="G426" s="1706" t="s">
        <v>249</v>
      </c>
      <c r="H426" s="1708" t="s">
        <v>26</v>
      </c>
      <c r="I426" s="1708" t="s">
        <v>25</v>
      </c>
      <c r="J426" s="1708" t="s">
        <v>250</v>
      </c>
      <c r="K426" s="1708" t="s">
        <v>23</v>
      </c>
      <c r="L426" s="1709" t="s">
        <v>22</v>
      </c>
      <c r="M426" s="1708" t="s">
        <v>251</v>
      </c>
      <c r="N426" s="1013" t="s">
        <v>20</v>
      </c>
      <c r="O426" s="1013" t="s">
        <v>19</v>
      </c>
      <c r="P426" s="1708" t="s">
        <v>18</v>
      </c>
      <c r="Q426" s="1708" t="s">
        <v>17</v>
      </c>
      <c r="R426" s="1014" t="s">
        <v>16</v>
      </c>
      <c r="S426" s="1708" t="s">
        <v>15</v>
      </c>
      <c r="T426" s="1710" t="s">
        <v>14</v>
      </c>
      <c r="U426" s="1710" t="s">
        <v>13</v>
      </c>
      <c r="V426" s="1711" t="s">
        <v>12</v>
      </c>
      <c r="W426" s="1707" t="s">
        <v>3</v>
      </c>
      <c r="X426" s="1707" t="s">
        <v>11</v>
      </c>
      <c r="Y426" s="1707" t="s">
        <v>10</v>
      </c>
      <c r="Z426" s="1708" t="s">
        <v>9</v>
      </c>
      <c r="AA426" s="1015" t="s">
        <v>8</v>
      </c>
      <c r="AB426" s="1707" t="s">
        <v>7</v>
      </c>
      <c r="AC426" s="1707" t="s">
        <v>6</v>
      </c>
      <c r="AD426" s="1707" t="s">
        <v>5</v>
      </c>
      <c r="AE426" s="1712" t="s">
        <v>4</v>
      </c>
      <c r="AF426" s="1707" t="s">
        <v>3</v>
      </c>
      <c r="AG426" s="1676"/>
      <c r="AH426" s="1471"/>
      <c r="AI426" s="1471"/>
      <c r="AJ426" s="1471"/>
    </row>
    <row r="427" spans="2:36" s="1683" customFormat="1" ht="18" customHeight="1">
      <c r="B427" s="1684" t="s">
        <v>175</v>
      </c>
      <c r="C427" s="1685" t="s">
        <v>825</v>
      </c>
      <c r="D427" s="1684" t="s">
        <v>374</v>
      </c>
      <c r="E427" s="1684"/>
      <c r="F427" s="1684"/>
      <c r="G427" s="1684"/>
      <c r="H427" s="983">
        <f>I427+J427</f>
        <v>6748256.0350000001</v>
      </c>
      <c r="I427" s="984">
        <f t="shared" ref="I427:I433" si="217">AI427+AJ427</f>
        <v>4466712.0350000001</v>
      </c>
      <c r="J427" s="984">
        <f t="shared" ref="J427:J433" si="218">AH427</f>
        <v>2281544</v>
      </c>
      <c r="K427" s="1686">
        <v>9100639</v>
      </c>
      <c r="L427" s="985">
        <f>H427/K427</f>
        <v>0.74151452826554265</v>
      </c>
      <c r="M427" s="1686">
        <v>811006</v>
      </c>
      <c r="N427" s="986">
        <f t="shared" ref="N427:N435" si="219">M427/K427</f>
        <v>8.9115280806106034E-2</v>
      </c>
      <c r="O427" s="986">
        <f t="shared" ref="O427:O435" si="220">P427/M427</f>
        <v>9.4789680964135897E-2</v>
      </c>
      <c r="P427" s="1686">
        <v>76875</v>
      </c>
      <c r="Q427" s="1686">
        <v>53919</v>
      </c>
      <c r="R427" s="986">
        <f t="shared" ref="R427:R435" si="221">Q427/P427</f>
        <v>0.70138536585365852</v>
      </c>
      <c r="S427" s="987">
        <f t="shared" ref="S427:S434" si="222">H427/P427</f>
        <v>87.782192325203255</v>
      </c>
      <c r="T427" s="987">
        <f t="shared" ref="T427:T434" si="223">H427/Q427</f>
        <v>125.15543750811402</v>
      </c>
      <c r="U427" s="987">
        <v>53919000</v>
      </c>
      <c r="V427" s="988">
        <v>8</v>
      </c>
      <c r="W427" s="1687">
        <v>1300</v>
      </c>
      <c r="X427" s="2222">
        <v>1000</v>
      </c>
      <c r="Y427" s="1686">
        <v>819</v>
      </c>
      <c r="Z427" s="1686">
        <v>555</v>
      </c>
      <c r="AA427" s="986">
        <f>Z427/Y427</f>
        <v>0.67765567765567769</v>
      </c>
      <c r="AB427" s="987">
        <f t="shared" ref="AB427:AB434" si="224">H427/Y427</f>
        <v>8239.6288583638579</v>
      </c>
      <c r="AC427" s="987">
        <f t="shared" ref="AC427:AC434" si="225">H427/Z427</f>
        <v>12159.019882882883</v>
      </c>
      <c r="AD427" s="987">
        <f>Z427*AF427</f>
        <v>721500</v>
      </c>
      <c r="AE427" s="989">
        <f t="shared" ref="AE427:AE434" si="226">AD427/H427</f>
        <v>0.10691651239341277</v>
      </c>
      <c r="AF427" s="1687">
        <v>1300</v>
      </c>
      <c r="AG427" s="1688" t="s">
        <v>282</v>
      </c>
      <c r="AH427" s="1689">
        <v>2281544</v>
      </c>
      <c r="AI427" s="1689">
        <v>2459718</v>
      </c>
      <c r="AJ427" s="1689">
        <f>1848901.96+316184.15/2</f>
        <v>2006994.0349999999</v>
      </c>
    </row>
    <row r="428" spans="2:36" s="1683" customFormat="1" ht="18" customHeight="1">
      <c r="B428" s="1684" t="s">
        <v>175</v>
      </c>
      <c r="C428" s="1685" t="s">
        <v>826</v>
      </c>
      <c r="D428" s="1684" t="s">
        <v>374</v>
      </c>
      <c r="E428" s="1684"/>
      <c r="F428" s="1684"/>
      <c r="G428" s="1684"/>
      <c r="H428" s="983">
        <f t="shared" ref="H428:H434" si="227">I428+J428</f>
        <v>3630889.6150000002</v>
      </c>
      <c r="I428" s="984">
        <f t="shared" si="217"/>
        <v>2899656.6150000002</v>
      </c>
      <c r="J428" s="984">
        <f t="shared" si="218"/>
        <v>731233</v>
      </c>
      <c r="K428" s="1686">
        <v>2290733</v>
      </c>
      <c r="L428" s="985">
        <f t="shared" ref="L428:L434" si="228">H428/K428</f>
        <v>1.5850339672934386</v>
      </c>
      <c r="M428" s="1686">
        <v>316707</v>
      </c>
      <c r="N428" s="986">
        <f t="shared" si="219"/>
        <v>0.13825574608651467</v>
      </c>
      <c r="O428" s="986">
        <f t="shared" si="220"/>
        <v>0.16295503414828216</v>
      </c>
      <c r="P428" s="1686">
        <v>51609</v>
      </c>
      <c r="Q428" s="1686">
        <v>36144</v>
      </c>
      <c r="R428" s="986">
        <f t="shared" si="221"/>
        <v>0.70034296343660984</v>
      </c>
      <c r="S428" s="987">
        <f t="shared" si="222"/>
        <v>70.353806797264042</v>
      </c>
      <c r="T428" s="987">
        <f t="shared" si="223"/>
        <v>100.45621998118636</v>
      </c>
      <c r="U428" s="987">
        <v>36144000</v>
      </c>
      <c r="V428" s="988">
        <v>10</v>
      </c>
      <c r="W428" s="1687">
        <v>1820</v>
      </c>
      <c r="X428" s="2222"/>
      <c r="Y428" s="1686">
        <v>617</v>
      </c>
      <c r="Z428" s="1686">
        <v>406</v>
      </c>
      <c r="AA428" s="986">
        <f t="shared" ref="AA428:AA434" si="229">Z428/Y428</f>
        <v>0.65802269043760131</v>
      </c>
      <c r="AB428" s="987">
        <f t="shared" si="224"/>
        <v>5884.7481604538089</v>
      </c>
      <c r="AC428" s="987">
        <f t="shared" si="225"/>
        <v>8943.0778694581295</v>
      </c>
      <c r="AD428" s="987">
        <f t="shared" ref="AD428:AD434" si="230">Z428*AF428</f>
        <v>738920</v>
      </c>
      <c r="AE428" s="989">
        <f t="shared" si="226"/>
        <v>0.20350935400166384</v>
      </c>
      <c r="AF428" s="1687">
        <v>1820</v>
      </c>
      <c r="AG428" s="1713" t="s">
        <v>257</v>
      </c>
      <c r="AH428" s="1689">
        <v>731233</v>
      </c>
      <c r="AI428" s="1689">
        <v>932809</v>
      </c>
      <c r="AJ428" s="1689">
        <f>1756165.47+421364.29/2</f>
        <v>1966847.615</v>
      </c>
    </row>
    <row r="429" spans="2:36" s="1683" customFormat="1" ht="18" customHeight="1">
      <c r="B429" s="1684" t="s">
        <v>379</v>
      </c>
      <c r="C429" s="1714" t="s">
        <v>827</v>
      </c>
      <c r="D429" s="1684" t="s">
        <v>374</v>
      </c>
      <c r="E429" s="1684"/>
      <c r="F429" s="1684"/>
      <c r="G429" s="1684"/>
      <c r="H429" s="983">
        <f t="shared" si="227"/>
        <v>4192847.02</v>
      </c>
      <c r="I429" s="984">
        <f t="shared" si="217"/>
        <v>2870156.02</v>
      </c>
      <c r="J429" s="984">
        <f t="shared" si="218"/>
        <v>1322691</v>
      </c>
      <c r="K429" s="1686">
        <v>2295869</v>
      </c>
      <c r="L429" s="985">
        <f t="shared" si="228"/>
        <v>1.8262570817411621</v>
      </c>
      <c r="M429" s="1686">
        <v>217835</v>
      </c>
      <c r="N429" s="986">
        <f t="shared" si="219"/>
        <v>9.4881284602910704E-2</v>
      </c>
      <c r="O429" s="986">
        <f t="shared" si="220"/>
        <v>0.13248559689673375</v>
      </c>
      <c r="P429" s="1686">
        <v>28860</v>
      </c>
      <c r="Q429" s="1686">
        <v>20618</v>
      </c>
      <c r="R429" s="986">
        <f t="shared" si="221"/>
        <v>0.71441441441441444</v>
      </c>
      <c r="S429" s="987">
        <f t="shared" si="222"/>
        <v>145.28229452529453</v>
      </c>
      <c r="T429" s="987">
        <f t="shared" si="223"/>
        <v>203.3585711514211</v>
      </c>
      <c r="U429" s="987">
        <v>20618000</v>
      </c>
      <c r="V429" s="988">
        <v>4.9000000000000004</v>
      </c>
      <c r="W429" s="1715">
        <v>990</v>
      </c>
      <c r="X429" s="2222"/>
      <c r="Y429" s="1686">
        <v>1949</v>
      </c>
      <c r="Z429" s="1686">
        <v>1423</v>
      </c>
      <c r="AA429" s="986">
        <f t="shared" si="229"/>
        <v>0.73011800923550541</v>
      </c>
      <c r="AB429" s="987">
        <f t="shared" si="224"/>
        <v>2151.281180092355</v>
      </c>
      <c r="AC429" s="987">
        <f t="shared" si="225"/>
        <v>2946.4842023893184</v>
      </c>
      <c r="AD429" s="987">
        <f t="shared" si="230"/>
        <v>1408770</v>
      </c>
      <c r="AE429" s="989">
        <f t="shared" si="226"/>
        <v>0.33599365616730753</v>
      </c>
      <c r="AF429" s="1715">
        <v>990</v>
      </c>
      <c r="AG429" s="404" t="s">
        <v>290</v>
      </c>
      <c r="AH429" s="1689">
        <v>1322691</v>
      </c>
      <c r="AI429" s="1689">
        <v>762324</v>
      </c>
      <c r="AJ429" s="1689">
        <v>2107832.02</v>
      </c>
    </row>
    <row r="430" spans="2:36" s="1683" customFormat="1" ht="18" customHeight="1">
      <c r="B430" s="1684" t="s">
        <v>175</v>
      </c>
      <c r="C430" s="1685" t="s">
        <v>809</v>
      </c>
      <c r="D430" s="1684" t="s">
        <v>374</v>
      </c>
      <c r="E430" s="1684"/>
      <c r="F430" s="1684"/>
      <c r="G430" s="1684"/>
      <c r="H430" s="983">
        <f t="shared" si="227"/>
        <v>5184164.5299999993</v>
      </c>
      <c r="I430" s="984">
        <f t="shared" si="217"/>
        <v>3913207.57</v>
      </c>
      <c r="J430" s="984">
        <f t="shared" si="218"/>
        <v>1270956.96</v>
      </c>
      <c r="K430" s="1686">
        <v>4330694</v>
      </c>
      <c r="L430" s="985">
        <f t="shared" si="228"/>
        <v>1.1970747713876804</v>
      </c>
      <c r="M430" s="1686">
        <v>612156</v>
      </c>
      <c r="N430" s="986">
        <f t="shared" si="219"/>
        <v>0.1413528639982414</v>
      </c>
      <c r="O430" s="986">
        <f t="shared" si="220"/>
        <v>0.1606600278360418</v>
      </c>
      <c r="P430" s="1686">
        <v>98349</v>
      </c>
      <c r="Q430" s="1686">
        <v>67086</v>
      </c>
      <c r="R430" s="986">
        <f t="shared" si="221"/>
        <v>0.68212183143702532</v>
      </c>
      <c r="S430" s="987">
        <f t="shared" si="222"/>
        <v>52.711919084078126</v>
      </c>
      <c r="T430" s="987">
        <f t="shared" si="223"/>
        <v>77.276399397787898</v>
      </c>
      <c r="U430" s="987">
        <v>67086000</v>
      </c>
      <c r="V430" s="988">
        <v>12.9</v>
      </c>
      <c r="W430" s="1715">
        <v>930</v>
      </c>
      <c r="X430" s="2222"/>
      <c r="Y430" s="1686">
        <v>11071</v>
      </c>
      <c r="Z430" s="1686">
        <v>7694</v>
      </c>
      <c r="AA430" s="986">
        <f t="shared" si="229"/>
        <v>0.69496883750338723</v>
      </c>
      <c r="AB430" s="987">
        <f t="shared" si="224"/>
        <v>468.26524523529935</v>
      </c>
      <c r="AC430" s="987">
        <f t="shared" si="225"/>
        <v>673.79315440603057</v>
      </c>
      <c r="AD430" s="987">
        <f t="shared" si="230"/>
        <v>7155420</v>
      </c>
      <c r="AE430" s="989">
        <f t="shared" si="226"/>
        <v>1.3802455455633467</v>
      </c>
      <c r="AF430" s="1715">
        <v>930</v>
      </c>
      <c r="AG430" s="965" t="s">
        <v>290</v>
      </c>
      <c r="AH430" s="1689">
        <v>1270956.96</v>
      </c>
      <c r="AI430" s="1689">
        <v>605792</v>
      </c>
      <c r="AJ430" s="1689">
        <v>3307415.57</v>
      </c>
    </row>
    <row r="431" spans="2:36" s="1683" customFormat="1" ht="18" customHeight="1">
      <c r="B431" s="1684" t="s">
        <v>175</v>
      </c>
      <c r="C431" s="1685" t="s">
        <v>810</v>
      </c>
      <c r="D431" s="1684" t="s">
        <v>374</v>
      </c>
      <c r="E431" s="1684"/>
      <c r="F431" s="1684"/>
      <c r="G431" s="1684"/>
      <c r="H431" s="983">
        <f t="shared" si="227"/>
        <v>2797970.76</v>
      </c>
      <c r="I431" s="984">
        <f t="shared" si="217"/>
        <v>1790554.18</v>
      </c>
      <c r="J431" s="984">
        <f t="shared" si="218"/>
        <v>1007416.58</v>
      </c>
      <c r="K431" s="1686">
        <v>1690358</v>
      </c>
      <c r="L431" s="985">
        <f t="shared" si="228"/>
        <v>1.6552533605307276</v>
      </c>
      <c r="M431" s="1686">
        <v>218857</v>
      </c>
      <c r="N431" s="986">
        <f t="shared" si="219"/>
        <v>0.12947375644685918</v>
      </c>
      <c r="O431" s="986">
        <f t="shared" si="220"/>
        <v>0.13001183421138005</v>
      </c>
      <c r="P431" s="1686">
        <v>28454</v>
      </c>
      <c r="Q431" s="1686">
        <v>20178</v>
      </c>
      <c r="R431" s="986">
        <f t="shared" si="221"/>
        <v>0.7091445842412315</v>
      </c>
      <c r="S431" s="987">
        <f t="shared" si="222"/>
        <v>98.33312574681942</v>
      </c>
      <c r="T431" s="987">
        <f t="shared" si="223"/>
        <v>138.6644246208742</v>
      </c>
      <c r="U431" s="987">
        <v>20178000</v>
      </c>
      <c r="V431" s="988">
        <v>7.2</v>
      </c>
      <c r="W431" s="1715">
        <v>1650</v>
      </c>
      <c r="X431" s="2222"/>
      <c r="Y431" s="1686">
        <v>1028</v>
      </c>
      <c r="Z431" s="1686">
        <v>754</v>
      </c>
      <c r="AA431" s="986">
        <f t="shared" si="229"/>
        <v>0.7334630350194552</v>
      </c>
      <c r="AB431" s="987">
        <f t="shared" si="224"/>
        <v>2721.7614396887157</v>
      </c>
      <c r="AC431" s="987">
        <f t="shared" si="225"/>
        <v>3710.8365517241377</v>
      </c>
      <c r="AD431" s="987">
        <f t="shared" si="230"/>
        <v>1244100</v>
      </c>
      <c r="AE431" s="989">
        <f t="shared" si="226"/>
        <v>0.44464367454647741</v>
      </c>
      <c r="AF431" s="1715">
        <v>1650</v>
      </c>
      <c r="AG431" s="965" t="s">
        <v>292</v>
      </c>
      <c r="AH431" s="1689">
        <v>1007416.58</v>
      </c>
      <c r="AI431" s="1689">
        <v>290258</v>
      </c>
      <c r="AJ431" s="1689">
        <v>1500296.18</v>
      </c>
    </row>
    <row r="432" spans="2:36" s="1683" customFormat="1" ht="18" customHeight="1">
      <c r="B432" s="1684" t="s">
        <v>175</v>
      </c>
      <c r="C432" s="1685" t="s">
        <v>828</v>
      </c>
      <c r="D432" s="1684" t="s">
        <v>374</v>
      </c>
      <c r="E432" s="1684"/>
      <c r="F432" s="1684"/>
      <c r="G432" s="1684"/>
      <c r="H432" s="983">
        <f t="shared" si="227"/>
        <v>1762524.85</v>
      </c>
      <c r="I432" s="984">
        <f t="shared" si="217"/>
        <v>1236569.3500000001</v>
      </c>
      <c r="J432" s="984">
        <f t="shared" si="218"/>
        <v>525955.5</v>
      </c>
      <c r="K432" s="1686">
        <v>2823005</v>
      </c>
      <c r="L432" s="985">
        <f t="shared" si="228"/>
        <v>0.62434350984146325</v>
      </c>
      <c r="M432" s="1686">
        <v>435662</v>
      </c>
      <c r="N432" s="986">
        <f t="shared" si="219"/>
        <v>0.154325621102336</v>
      </c>
      <c r="O432" s="986">
        <f t="shared" si="220"/>
        <v>0.11285354242509101</v>
      </c>
      <c r="P432" s="1686">
        <v>49166</v>
      </c>
      <c r="Q432" s="1686">
        <v>36996</v>
      </c>
      <c r="R432" s="986">
        <f t="shared" si="221"/>
        <v>0.75247121994874511</v>
      </c>
      <c r="S432" s="987">
        <f t="shared" si="222"/>
        <v>35.848449131513647</v>
      </c>
      <c r="T432" s="987">
        <f t="shared" si="223"/>
        <v>47.640957130500595</v>
      </c>
      <c r="U432" s="987">
        <v>36996000</v>
      </c>
      <c r="V432" s="988">
        <v>21</v>
      </c>
      <c r="W432" s="1715">
        <v>550</v>
      </c>
      <c r="X432" s="2222"/>
      <c r="Y432" s="1686">
        <v>2914</v>
      </c>
      <c r="Z432" s="1686">
        <v>2249</v>
      </c>
      <c r="AA432" s="986">
        <f t="shared" si="229"/>
        <v>0.77179135209334249</v>
      </c>
      <c r="AB432" s="987">
        <f t="shared" si="224"/>
        <v>604.84723747426222</v>
      </c>
      <c r="AC432" s="987">
        <f t="shared" si="225"/>
        <v>783.69268563806145</v>
      </c>
      <c r="AD432" s="987">
        <f t="shared" si="230"/>
        <v>1236950</v>
      </c>
      <c r="AE432" s="989">
        <f t="shared" si="226"/>
        <v>0.70180570787413288</v>
      </c>
      <c r="AF432" s="1715">
        <v>550</v>
      </c>
      <c r="AG432" s="965" t="s">
        <v>257</v>
      </c>
      <c r="AH432" s="1689">
        <v>525955.5</v>
      </c>
      <c r="AI432" s="1689">
        <v>0</v>
      </c>
      <c r="AJ432" s="1689">
        <v>1236569.3500000001</v>
      </c>
    </row>
    <row r="433" spans="1:36" s="1683" customFormat="1" ht="18" customHeight="1">
      <c r="B433" s="1684" t="s">
        <v>175</v>
      </c>
      <c r="C433" s="1685" t="s">
        <v>829</v>
      </c>
      <c r="D433" s="1684" t="s">
        <v>374</v>
      </c>
      <c r="E433" s="1684"/>
      <c r="F433" s="1684"/>
      <c r="G433" s="1684"/>
      <c r="H433" s="983">
        <f t="shared" si="227"/>
        <v>1791669.95</v>
      </c>
      <c r="I433" s="984">
        <f t="shared" si="217"/>
        <v>1213371.845</v>
      </c>
      <c r="J433" s="984">
        <f t="shared" si="218"/>
        <v>578298.10499999998</v>
      </c>
      <c r="K433" s="1686">
        <v>1624253</v>
      </c>
      <c r="L433" s="985">
        <f t="shared" si="228"/>
        <v>1.1030731973405621</v>
      </c>
      <c r="M433" s="1686">
        <v>284304</v>
      </c>
      <c r="N433" s="986">
        <f t="shared" si="219"/>
        <v>0.17503677074938448</v>
      </c>
      <c r="O433" s="986">
        <f t="shared" si="220"/>
        <v>0.14967077494512915</v>
      </c>
      <c r="P433" s="1686">
        <v>42552</v>
      </c>
      <c r="Q433" s="1686">
        <v>31555</v>
      </c>
      <c r="R433" s="986">
        <f t="shared" si="221"/>
        <v>0.74156326377138559</v>
      </c>
      <c r="S433" s="987">
        <f t="shared" si="222"/>
        <v>42.105422776837749</v>
      </c>
      <c r="T433" s="987">
        <f t="shared" si="223"/>
        <v>56.779272698462997</v>
      </c>
      <c r="U433" s="987">
        <v>31555000</v>
      </c>
      <c r="V433" s="988">
        <v>17.600000000000001</v>
      </c>
      <c r="W433" s="1715">
        <v>470</v>
      </c>
      <c r="X433" s="2222"/>
      <c r="Y433" s="1686">
        <v>5709</v>
      </c>
      <c r="Z433" s="1686">
        <v>4461</v>
      </c>
      <c r="AA433" s="986">
        <f t="shared" si="229"/>
        <v>0.78139779295848655</v>
      </c>
      <c r="AB433" s="987">
        <f t="shared" si="224"/>
        <v>313.83253634612015</v>
      </c>
      <c r="AC433" s="987">
        <f t="shared" si="225"/>
        <v>401.62966823582155</v>
      </c>
      <c r="AD433" s="987">
        <f t="shared" si="230"/>
        <v>2096670</v>
      </c>
      <c r="AE433" s="989">
        <f t="shared" si="226"/>
        <v>1.1702322740859721</v>
      </c>
      <c r="AF433" s="1715">
        <v>470</v>
      </c>
      <c r="AG433" s="965" t="s">
        <v>257</v>
      </c>
      <c r="AH433" s="1689">
        <v>578298.10499999998</v>
      </c>
      <c r="AI433" s="1689">
        <v>0</v>
      </c>
      <c r="AJ433" s="1689">
        <f>1175542.69+75658.31/2</f>
        <v>1213371.845</v>
      </c>
    </row>
    <row r="434" spans="1:36" s="1683" customFormat="1" ht="18" customHeight="1">
      <c r="B434" s="1716"/>
      <c r="C434" s="2223" t="s">
        <v>0</v>
      </c>
      <c r="D434" s="2223"/>
      <c r="E434" s="1717"/>
      <c r="F434" s="1717"/>
      <c r="G434" s="1717"/>
      <c r="H434" s="1017">
        <f t="shared" si="227"/>
        <v>26108322.759999998</v>
      </c>
      <c r="I434" s="1018">
        <f>SUM(I427:I433)</f>
        <v>18390227.614999998</v>
      </c>
      <c r="J434" s="1018">
        <f>SUM(J427:J433)</f>
        <v>7718095.1449999996</v>
      </c>
      <c r="K434" s="1018">
        <f>SUM(K427:K433)</f>
        <v>24155551</v>
      </c>
      <c r="L434" s="1019">
        <f t="shared" si="228"/>
        <v>1.0808415324494149</v>
      </c>
      <c r="M434" s="1018">
        <f>SUM(M427:M433)</f>
        <v>2896527</v>
      </c>
      <c r="N434" s="1020">
        <f t="shared" si="219"/>
        <v>0.11991144395754003</v>
      </c>
      <c r="O434" s="1020">
        <f t="shared" si="220"/>
        <v>0.12976402429530262</v>
      </c>
      <c r="P434" s="1018">
        <f>SUM(P427:P433)</f>
        <v>375865</v>
      </c>
      <c r="Q434" s="1018">
        <f>SUM(Q427:Q433)</f>
        <v>266496</v>
      </c>
      <c r="R434" s="1020">
        <f t="shared" si="221"/>
        <v>0.70902052598672394</v>
      </c>
      <c r="S434" s="1718">
        <f t="shared" si="222"/>
        <v>69.461968419512317</v>
      </c>
      <c r="T434" s="1718">
        <f t="shared" si="223"/>
        <v>97.968910452689713</v>
      </c>
      <c r="U434" s="1718">
        <v>266496000</v>
      </c>
      <c r="V434" s="1021">
        <v>10.199999999999999</v>
      </c>
      <c r="W434" s="1718">
        <f>X427</f>
        <v>1000</v>
      </c>
      <c r="X434" s="1718"/>
      <c r="Y434" s="1018">
        <f>SUM(Y427:Y433)</f>
        <v>24107</v>
      </c>
      <c r="Z434" s="1018">
        <f>SUM(Z427:Z433)</f>
        <v>17542</v>
      </c>
      <c r="AA434" s="1020">
        <f t="shared" si="229"/>
        <v>0.7276724602812461</v>
      </c>
      <c r="AB434" s="1719">
        <f t="shared" si="224"/>
        <v>1083.0183249678516</v>
      </c>
      <c r="AC434" s="1719">
        <f t="shared" si="225"/>
        <v>1488.3321605290159</v>
      </c>
      <c r="AD434" s="1718">
        <f t="shared" si="230"/>
        <v>17542000</v>
      </c>
      <c r="AE434" s="1022">
        <f t="shared" si="226"/>
        <v>0.67189302665109241</v>
      </c>
      <c r="AF434" s="1718">
        <v>1000</v>
      </c>
      <c r="AG434" s="1694"/>
      <c r="AH434" s="1689"/>
      <c r="AI434" s="1689"/>
      <c r="AJ434" s="1689"/>
    </row>
    <row r="435" spans="1:36" s="1683" customFormat="1" ht="18" customHeight="1">
      <c r="A435" s="1695"/>
      <c r="B435" s="1696"/>
      <c r="C435" s="2226" t="s">
        <v>260</v>
      </c>
      <c r="D435" s="2226"/>
      <c r="E435" s="1697"/>
      <c r="F435" s="1697"/>
      <c r="G435" s="1697"/>
      <c r="H435" s="996"/>
      <c r="I435" s="997"/>
      <c r="J435" s="997"/>
      <c r="K435" s="997">
        <v>20677182</v>
      </c>
      <c r="L435" s="998">
        <f>H434/K435</f>
        <v>1.2626634886707482</v>
      </c>
      <c r="M435" s="997">
        <v>2265896</v>
      </c>
      <c r="N435" s="999">
        <f t="shared" si="219"/>
        <v>0.10958437179689186</v>
      </c>
      <c r="O435" s="999">
        <f t="shared" si="220"/>
        <v>0.11440375021625</v>
      </c>
      <c r="P435" s="997">
        <v>259227</v>
      </c>
      <c r="Q435" s="997">
        <v>184208</v>
      </c>
      <c r="R435" s="999">
        <f t="shared" si="221"/>
        <v>0.71060499099245067</v>
      </c>
      <c r="S435" s="1698">
        <f>H434/P435</f>
        <v>100.71606260150369</v>
      </c>
      <c r="T435" s="1698">
        <f>H434/Q435</f>
        <v>141.73283874750283</v>
      </c>
      <c r="U435" s="1698">
        <v>184208000</v>
      </c>
      <c r="V435" s="1000">
        <v>7.1</v>
      </c>
      <c r="W435" s="1698">
        <f>W434</f>
        <v>1000</v>
      </c>
      <c r="X435" s="1698"/>
      <c r="Y435" s="997"/>
      <c r="Z435" s="997"/>
      <c r="AA435" s="999"/>
      <c r="AB435" s="1699"/>
      <c r="AC435" s="1699"/>
      <c r="AD435" s="1698"/>
      <c r="AE435" s="1001"/>
      <c r="AF435" s="1698"/>
      <c r="AG435" s="1694"/>
      <c r="AH435" s="1689"/>
      <c r="AI435" s="1689"/>
      <c r="AJ435" s="1689"/>
    </row>
    <row r="436" spans="1:36">
      <c r="A436" s="1723"/>
      <c r="B436" s="1512"/>
      <c r="C436" s="1724"/>
      <c r="D436" s="1724"/>
      <c r="E436" s="1724"/>
      <c r="F436" s="1724"/>
      <c r="G436" s="1724"/>
      <c r="H436" s="1025"/>
      <c r="I436" s="1026"/>
      <c r="J436" s="1026"/>
      <c r="K436" s="1026"/>
      <c r="L436" s="1027"/>
      <c r="M436" s="1026"/>
      <c r="N436" s="1028"/>
      <c r="O436" s="1028"/>
      <c r="P436" s="1026"/>
      <c r="Q436" s="1026"/>
      <c r="R436" s="1028"/>
      <c r="S436" s="1725"/>
      <c r="T436" s="1725"/>
      <c r="U436" s="1725"/>
      <c r="V436" s="1029"/>
      <c r="W436" s="1725"/>
      <c r="X436" s="1725"/>
      <c r="Y436" s="1725"/>
      <c r="Z436" s="1725"/>
      <c r="AA436" s="1030"/>
      <c r="AB436" s="1725"/>
      <c r="AC436" s="1725"/>
      <c r="AD436" s="1725"/>
      <c r="AE436" s="1726"/>
      <c r="AF436" s="1725"/>
      <c r="AG436" s="1727"/>
      <c r="AH436" s="1471"/>
      <c r="AI436" s="1471"/>
      <c r="AJ436" s="1471"/>
    </row>
    <row r="437" spans="1:36">
      <c r="A437" s="1723"/>
      <c r="B437" s="1512"/>
      <c r="C437" s="1724"/>
      <c r="D437" s="1724"/>
      <c r="E437" s="1724"/>
      <c r="F437" s="1724"/>
      <c r="G437" s="1724"/>
      <c r="H437" s="1025"/>
      <c r="I437" s="1026"/>
      <c r="J437" s="1026"/>
      <c r="K437" s="1026"/>
      <c r="L437" s="1027"/>
      <c r="M437" s="1026"/>
      <c r="N437" s="1028"/>
      <c r="O437" s="1028"/>
      <c r="P437" s="1026"/>
      <c r="Q437" s="1026"/>
      <c r="R437" s="1028"/>
      <c r="S437" s="1725"/>
      <c r="T437" s="1725"/>
      <c r="U437" s="1725"/>
      <c r="V437" s="1029"/>
      <c r="W437" s="1725"/>
      <c r="X437" s="1725"/>
      <c r="Y437" s="1725"/>
      <c r="Z437" s="1725"/>
      <c r="AA437" s="1030"/>
      <c r="AB437" s="1725"/>
      <c r="AC437" s="1725"/>
      <c r="AD437" s="1725"/>
      <c r="AE437" s="1726"/>
      <c r="AF437" s="1725"/>
      <c r="AG437" s="1727"/>
      <c r="AH437" s="1471"/>
      <c r="AI437" s="1471"/>
      <c r="AJ437" s="1471"/>
    </row>
    <row r="438" spans="1:36">
      <c r="A438" s="1723"/>
      <c r="B438" s="1512"/>
      <c r="C438" s="1724"/>
      <c r="D438" s="1724"/>
      <c r="E438" s="1724"/>
      <c r="F438" s="1724"/>
      <c r="G438" s="1724"/>
      <c r="H438" s="1025"/>
      <c r="I438" s="1026"/>
      <c r="J438" s="1026"/>
      <c r="K438" s="1026"/>
      <c r="L438" s="1027"/>
      <c r="M438" s="1026"/>
      <c r="N438" s="1028"/>
      <c r="O438" s="1028"/>
      <c r="P438" s="1026"/>
      <c r="Q438" s="1026"/>
      <c r="R438" s="1028"/>
      <c r="S438" s="1725"/>
      <c r="T438" s="1725"/>
      <c r="U438" s="1725"/>
      <c r="V438" s="1029"/>
      <c r="W438" s="1725"/>
      <c r="X438" s="1725"/>
      <c r="Y438" s="1725"/>
      <c r="Z438" s="1725"/>
      <c r="AA438" s="1030"/>
      <c r="AB438" s="1725"/>
      <c r="AC438" s="1725"/>
      <c r="AD438" s="1725"/>
      <c r="AE438" s="1726"/>
      <c r="AF438" s="1725"/>
      <c r="AG438" s="1727"/>
      <c r="AH438" s="1471"/>
      <c r="AI438" s="1471"/>
      <c r="AJ438" s="1471"/>
    </row>
    <row r="439" spans="1:36">
      <c r="B439" s="404"/>
      <c r="E439" s="1465"/>
      <c r="F439" s="1465"/>
      <c r="G439" s="1465"/>
      <c r="H439" s="1466"/>
      <c r="I439" s="1466"/>
      <c r="J439" s="1466"/>
      <c r="K439" s="942"/>
      <c r="L439" s="1006"/>
      <c r="M439" s="942"/>
      <c r="N439" s="845"/>
      <c r="R439" s="845"/>
      <c r="S439" s="1467"/>
      <c r="V439" s="1469"/>
      <c r="X439" s="1467"/>
      <c r="AA439" s="845"/>
      <c r="AB439" s="1467"/>
      <c r="AD439" s="1467"/>
      <c r="AE439" s="1469"/>
      <c r="AF439" s="1467"/>
      <c r="AG439" s="1470"/>
      <c r="AH439" s="1471"/>
      <c r="AI439" s="1471"/>
      <c r="AJ439" s="1471"/>
    </row>
    <row r="440" spans="1:36">
      <c r="E440" s="1465"/>
      <c r="F440" s="1465"/>
      <c r="G440" s="1465"/>
      <c r="H440" s="1466"/>
      <c r="I440" s="1466"/>
      <c r="J440" s="1466"/>
      <c r="K440" s="1467"/>
      <c r="L440" s="1468"/>
      <c r="N440" s="845"/>
      <c r="P440" s="1466"/>
      <c r="Q440" s="1466"/>
      <c r="R440" s="815"/>
      <c r="S440" s="1466"/>
      <c r="T440" s="1466"/>
      <c r="V440" s="1469"/>
      <c r="X440" s="1467"/>
      <c r="Y440" s="1703"/>
      <c r="Z440" s="1703"/>
      <c r="AA440" s="1031"/>
      <c r="AB440" s="1466"/>
      <c r="AC440" s="1466"/>
      <c r="AD440" s="1467"/>
      <c r="AE440" s="1469"/>
      <c r="AF440" s="1467"/>
      <c r="AG440" s="1470"/>
      <c r="AH440" s="1471"/>
      <c r="AI440" s="1471"/>
      <c r="AJ440" s="1471"/>
    </row>
    <row r="441" spans="1:36" s="1473" customFormat="1" ht="22.5">
      <c r="B441" s="850" t="s">
        <v>822</v>
      </c>
      <c r="C441" s="1474"/>
      <c r="D441" s="1474"/>
      <c r="E441" s="1474"/>
      <c r="F441" s="1474"/>
      <c r="G441" s="1474"/>
      <c r="H441" s="1475"/>
      <c r="I441" s="1476"/>
      <c r="J441" s="1476"/>
      <c r="K441" s="1476"/>
      <c r="L441" s="1477"/>
      <c r="M441" s="1476"/>
      <c r="N441" s="851"/>
      <c r="O441" s="851"/>
      <c r="P441" s="1476"/>
      <c r="Q441" s="1476"/>
      <c r="R441" s="851"/>
      <c r="S441" s="1476"/>
      <c r="T441" s="1476"/>
      <c r="U441" s="1476"/>
      <c r="V441" s="1478"/>
      <c r="W441" s="1476"/>
      <c r="X441" s="1476"/>
      <c r="Y441" s="1476"/>
      <c r="Z441" s="1476"/>
      <c r="AA441" s="851"/>
      <c r="AB441" s="1476"/>
      <c r="AC441" s="1476"/>
      <c r="AD441" s="1476"/>
      <c r="AE441" s="1478"/>
      <c r="AF441" s="1476"/>
      <c r="AG441" s="1479"/>
      <c r="AH441" s="1476"/>
      <c r="AI441" s="1476"/>
      <c r="AJ441" s="1476"/>
    </row>
    <row r="442" spans="1:36" s="950" customFormat="1">
      <c r="B442" s="852" t="s">
        <v>238</v>
      </c>
      <c r="C442" s="853" t="s">
        <v>380</v>
      </c>
      <c r="D442" s="940"/>
      <c r="E442" s="940"/>
      <c r="F442" s="940"/>
      <c r="G442" s="940"/>
      <c r="H442" s="941"/>
      <c r="I442" s="942"/>
      <c r="J442" s="942"/>
      <c r="K442" s="943"/>
      <c r="L442" s="944"/>
      <c r="M442" s="945"/>
      <c r="N442" s="946"/>
      <c r="O442" s="845"/>
      <c r="P442" s="942"/>
      <c r="Q442" s="942"/>
      <c r="R442" s="845"/>
      <c r="S442" s="1467"/>
      <c r="T442" s="1467"/>
      <c r="U442" s="1467"/>
      <c r="V442" s="947"/>
      <c r="W442" s="942"/>
      <c r="X442" s="942"/>
      <c r="Y442" s="942"/>
      <c r="Z442" s="942"/>
      <c r="AA442" s="845"/>
      <c r="AB442" s="942"/>
      <c r="AC442" s="942"/>
      <c r="AD442" s="942"/>
      <c r="AE442" s="947"/>
      <c r="AF442" s="1519"/>
      <c r="AG442" s="948"/>
      <c r="AH442" s="949"/>
      <c r="AI442" s="949"/>
      <c r="AJ442" s="949"/>
    </row>
    <row r="443" spans="1:36" s="950" customFormat="1">
      <c r="B443" s="854" t="s">
        <v>82</v>
      </c>
      <c r="C443" s="855" t="s">
        <v>381</v>
      </c>
      <c r="D443" s="940"/>
      <c r="E443" s="940"/>
      <c r="F443" s="940"/>
      <c r="G443" s="940"/>
      <c r="H443" s="941"/>
      <c r="I443" s="942"/>
      <c r="J443" s="942"/>
      <c r="K443" s="1467"/>
      <c r="L443" s="1468"/>
      <c r="M443" s="1467"/>
      <c r="N443" s="845"/>
      <c r="O443" s="845"/>
      <c r="P443" s="942"/>
      <c r="Q443" s="942"/>
      <c r="R443" s="845"/>
      <c r="S443" s="1467"/>
      <c r="T443" s="1467"/>
      <c r="U443" s="1467"/>
      <c r="V443" s="947"/>
      <c r="W443" s="942"/>
      <c r="X443" s="942"/>
      <c r="Y443" s="942"/>
      <c r="Z443" s="942"/>
      <c r="AA443" s="845"/>
      <c r="AB443" s="942"/>
      <c r="AC443" s="942"/>
      <c r="AD443" s="942"/>
      <c r="AE443" s="947"/>
      <c r="AF443" s="1519"/>
      <c r="AG443" s="948"/>
      <c r="AH443" s="949"/>
      <c r="AI443" s="949"/>
      <c r="AJ443" s="949"/>
    </row>
    <row r="444" spans="1:36" s="1571" customFormat="1">
      <c r="B444" s="1705"/>
      <c r="C444" s="1636"/>
      <c r="D444" s="1636"/>
      <c r="E444" s="1636"/>
      <c r="F444" s="1636"/>
      <c r="G444" s="1636"/>
      <c r="H444" s="1637"/>
      <c r="I444" s="1638"/>
      <c r="J444" s="1638"/>
      <c r="K444" s="1467"/>
      <c r="L444" s="1468"/>
      <c r="M444" s="1467"/>
      <c r="N444" s="845"/>
      <c r="O444" s="845"/>
      <c r="P444" s="1638"/>
      <c r="Q444" s="1638"/>
      <c r="R444" s="845"/>
      <c r="S444" s="1467"/>
      <c r="T444" s="1467"/>
      <c r="U444" s="1467"/>
      <c r="V444" s="1639"/>
      <c r="W444" s="1638"/>
      <c r="X444" s="1638"/>
      <c r="Y444" s="1638"/>
      <c r="Z444" s="1638"/>
      <c r="AA444" s="969"/>
      <c r="AB444" s="1638"/>
      <c r="AC444" s="1638"/>
      <c r="AD444" s="1638"/>
      <c r="AE444" s="1639"/>
      <c r="AF444" s="1519"/>
      <c r="AG444" s="1640"/>
      <c r="AH444" s="1641"/>
      <c r="AI444" s="1641"/>
      <c r="AJ444" s="1641"/>
    </row>
    <row r="445" spans="1:36" s="1480" customFormat="1">
      <c r="B445" s="1011"/>
      <c r="C445" s="1608"/>
      <c r="D445" s="1608"/>
      <c r="E445" s="1608"/>
      <c r="F445" s="1608"/>
      <c r="G445" s="1608"/>
      <c r="H445" s="1609"/>
      <c r="I445" s="1609"/>
      <c r="J445" s="1609"/>
      <c r="K445" s="1610"/>
      <c r="L445" s="1611"/>
      <c r="M445" s="1012"/>
      <c r="N445" s="953"/>
      <c r="O445" s="953"/>
      <c r="P445" s="1012"/>
      <c r="Q445" s="1610"/>
      <c r="R445" s="954"/>
      <c r="S445" s="1610"/>
      <c r="T445" s="1610"/>
      <c r="U445" s="1610"/>
      <c r="V445" s="1612"/>
      <c r="W445" s="1610"/>
      <c r="X445" s="1610"/>
      <c r="Y445" s="1012"/>
      <c r="Z445" s="1610"/>
      <c r="AA445" s="954"/>
      <c r="AB445" s="1610"/>
      <c r="AC445" s="1610"/>
      <c r="AD445" s="1610"/>
      <c r="AE445" s="1612"/>
      <c r="AF445" s="1610"/>
      <c r="AG445" s="1470"/>
      <c r="AH445" s="1613"/>
      <c r="AI445" s="1613"/>
      <c r="AJ445" s="1613"/>
    </row>
    <row r="446" spans="1:36" s="1721" customFormat="1" ht="18" customHeight="1">
      <c r="B446" s="2224" t="s">
        <v>32</v>
      </c>
      <c r="C446" s="2224" t="s">
        <v>31</v>
      </c>
      <c r="D446" s="2224" t="s">
        <v>30</v>
      </c>
      <c r="E446" s="2224" t="s">
        <v>242</v>
      </c>
      <c r="F446" s="2224"/>
      <c r="G446" s="2224"/>
      <c r="H446" s="2210" t="s">
        <v>29</v>
      </c>
      <c r="I446" s="2210"/>
      <c r="J446" s="2210"/>
      <c r="K446" s="2224" t="s">
        <v>243</v>
      </c>
      <c r="L446" s="2224"/>
      <c r="M446" s="2224"/>
      <c r="N446" s="2224"/>
      <c r="O446" s="2224"/>
      <c r="P446" s="2224"/>
      <c r="Q446" s="2224"/>
      <c r="R446" s="2224"/>
      <c r="S446" s="2224"/>
      <c r="T446" s="2224"/>
      <c r="U446" s="2224"/>
      <c r="V446" s="2224"/>
      <c r="W446" s="2224"/>
      <c r="X446" s="2224"/>
      <c r="Y446" s="2224" t="s">
        <v>27</v>
      </c>
      <c r="Z446" s="2224"/>
      <c r="AA446" s="2224"/>
      <c r="AB446" s="2224"/>
      <c r="AC446" s="2224"/>
      <c r="AD446" s="2224"/>
      <c r="AE446" s="2224"/>
      <c r="AF446" s="2224"/>
      <c r="AG446" s="1676"/>
      <c r="AH446" s="1677" t="s">
        <v>244</v>
      </c>
      <c r="AI446" s="1677" t="s">
        <v>245</v>
      </c>
      <c r="AJ446" s="1677" t="s">
        <v>246</v>
      </c>
    </row>
    <row r="447" spans="1:36" ht="50.25" customHeight="1">
      <c r="A447" s="1722"/>
      <c r="B447" s="2224"/>
      <c r="C447" s="2224"/>
      <c r="D447" s="2224"/>
      <c r="E447" s="1706" t="s">
        <v>247</v>
      </c>
      <c r="F447" s="1706" t="s">
        <v>248</v>
      </c>
      <c r="G447" s="1706" t="s">
        <v>249</v>
      </c>
      <c r="H447" s="1708" t="s">
        <v>26</v>
      </c>
      <c r="I447" s="1708" t="s">
        <v>25</v>
      </c>
      <c r="J447" s="1708" t="s">
        <v>250</v>
      </c>
      <c r="K447" s="1708" t="s">
        <v>23</v>
      </c>
      <c r="L447" s="1709" t="s">
        <v>22</v>
      </c>
      <c r="M447" s="1708" t="s">
        <v>251</v>
      </c>
      <c r="N447" s="1013" t="s">
        <v>20</v>
      </c>
      <c r="O447" s="1013" t="s">
        <v>19</v>
      </c>
      <c r="P447" s="1708" t="s">
        <v>18</v>
      </c>
      <c r="Q447" s="1708" t="s">
        <v>17</v>
      </c>
      <c r="R447" s="1014" t="s">
        <v>16</v>
      </c>
      <c r="S447" s="1708" t="s">
        <v>15</v>
      </c>
      <c r="T447" s="1710" t="s">
        <v>14</v>
      </c>
      <c r="U447" s="1710" t="s">
        <v>13</v>
      </c>
      <c r="V447" s="1711" t="s">
        <v>12</v>
      </c>
      <c r="W447" s="1707" t="s">
        <v>3</v>
      </c>
      <c r="X447" s="1707" t="s">
        <v>11</v>
      </c>
      <c r="Y447" s="1707" t="s">
        <v>10</v>
      </c>
      <c r="Z447" s="1708" t="s">
        <v>9</v>
      </c>
      <c r="AA447" s="1015" t="s">
        <v>8</v>
      </c>
      <c r="AB447" s="1707" t="s">
        <v>7</v>
      </c>
      <c r="AC447" s="1707" t="s">
        <v>6</v>
      </c>
      <c r="AD447" s="1707" t="s">
        <v>5</v>
      </c>
      <c r="AE447" s="1712" t="s">
        <v>4</v>
      </c>
      <c r="AF447" s="1707" t="s">
        <v>3</v>
      </c>
      <c r="AG447" s="1676"/>
      <c r="AH447" s="1471"/>
      <c r="AI447" s="1471"/>
      <c r="AJ447" s="1471"/>
    </row>
    <row r="448" spans="1:36" s="1683" customFormat="1" ht="18" customHeight="1">
      <c r="A448" s="1728"/>
      <c r="B448" s="1684" t="s">
        <v>176</v>
      </c>
      <c r="C448" s="1685" t="s">
        <v>825</v>
      </c>
      <c r="D448" s="1684" t="s">
        <v>374</v>
      </c>
      <c r="E448" s="1684"/>
      <c r="F448" s="1684"/>
      <c r="G448" s="1684"/>
      <c r="H448" s="983">
        <f t="shared" ref="H448:H455" si="231">I448+J448</f>
        <v>6434890.6850000005</v>
      </c>
      <c r="I448" s="984">
        <v>3876444.6850000001</v>
      </c>
      <c r="J448" s="984">
        <v>2558446</v>
      </c>
      <c r="K448" s="1686">
        <v>6121302</v>
      </c>
      <c r="L448" s="985">
        <f t="shared" ref="L448:L455" si="232">H448/K448</f>
        <v>1.0512290824729773</v>
      </c>
      <c r="M448" s="1686">
        <v>430980</v>
      </c>
      <c r="N448" s="986">
        <f t="shared" ref="N448:N455" si="233">M448/K448</f>
        <v>7.0406589970565092E-2</v>
      </c>
      <c r="O448" s="986">
        <f t="shared" ref="O448:O455" si="234">P448/M448</f>
        <v>8.8946122789920645E-2</v>
      </c>
      <c r="P448" s="1686">
        <v>38334</v>
      </c>
      <c r="Q448" s="1686">
        <v>26571</v>
      </c>
      <c r="R448" s="986">
        <f t="shared" ref="R448:R455" si="235">Q448/P448</f>
        <v>0.6931444670527469</v>
      </c>
      <c r="S448" s="987">
        <f t="shared" ref="S448:S455" si="236">H448/P448</f>
        <v>167.86379415140607</v>
      </c>
      <c r="T448" s="987">
        <f t="shared" ref="T448:T455" si="237">H448/Q448</f>
        <v>242.17721143351775</v>
      </c>
      <c r="U448" s="987">
        <v>26571000</v>
      </c>
      <c r="V448" s="988">
        <v>4.0999999999999996</v>
      </c>
      <c r="W448" s="1687">
        <v>1300</v>
      </c>
      <c r="X448" s="2222">
        <v>1000</v>
      </c>
      <c r="Y448" s="1686">
        <v>389</v>
      </c>
      <c r="Z448" s="1686">
        <v>261</v>
      </c>
      <c r="AA448" s="986">
        <f>Z448/Y448</f>
        <v>0.6709511568123393</v>
      </c>
      <c r="AB448" s="987">
        <f t="shared" ref="AB448:AB455" si="238">H448/Y448</f>
        <v>16542.135437017998</v>
      </c>
      <c r="AC448" s="987">
        <f t="shared" ref="AC448:AC455" si="239">H448/Z448</f>
        <v>24654.753582375481</v>
      </c>
      <c r="AD448" s="987">
        <f>Z448*AF448</f>
        <v>339300</v>
      </c>
      <c r="AE448" s="989">
        <f t="shared" ref="AE448:AE455" si="240">AD448/H448</f>
        <v>5.2728168450619138E-2</v>
      </c>
      <c r="AF448" s="1687">
        <v>1300</v>
      </c>
      <c r="AG448" s="1688" t="s">
        <v>282</v>
      </c>
      <c r="AH448" s="1689">
        <v>2558446</v>
      </c>
      <c r="AI448" s="1689">
        <v>2459718</v>
      </c>
      <c r="AJ448" s="1689">
        <f>1279302.82+274847.73/2</f>
        <v>1416726.6850000001</v>
      </c>
    </row>
    <row r="449" spans="1:36" s="1683" customFormat="1" ht="18" customHeight="1">
      <c r="A449" s="1728"/>
      <c r="B449" s="1684" t="s">
        <v>176</v>
      </c>
      <c r="C449" s="1685" t="s">
        <v>826</v>
      </c>
      <c r="D449" s="1684" t="s">
        <v>374</v>
      </c>
      <c r="E449" s="1684"/>
      <c r="F449" s="1684"/>
      <c r="G449" s="1684"/>
      <c r="H449" s="983">
        <f t="shared" si="231"/>
        <v>2710204.0350000001</v>
      </c>
      <c r="I449" s="984">
        <v>2379846.5350000001</v>
      </c>
      <c r="J449" s="984">
        <v>330357.5</v>
      </c>
      <c r="K449" s="1686">
        <v>1252962</v>
      </c>
      <c r="L449" s="985">
        <f t="shared" si="232"/>
        <v>2.1630376938805806</v>
      </c>
      <c r="M449" s="1686">
        <v>186888</v>
      </c>
      <c r="N449" s="986">
        <f t="shared" si="233"/>
        <v>0.14915695767309783</v>
      </c>
      <c r="O449" s="986">
        <f t="shared" si="234"/>
        <v>0.1648795000214032</v>
      </c>
      <c r="P449" s="1686">
        <v>30814</v>
      </c>
      <c r="Q449" s="1686">
        <v>21297</v>
      </c>
      <c r="R449" s="986">
        <f t="shared" si="235"/>
        <v>0.69114688128772639</v>
      </c>
      <c r="S449" s="987">
        <f t="shared" si="236"/>
        <v>87.953658564288958</v>
      </c>
      <c r="T449" s="987">
        <f t="shared" si="237"/>
        <v>127.25754965488098</v>
      </c>
      <c r="U449" s="987">
        <v>21297000</v>
      </c>
      <c r="V449" s="988">
        <v>7.9</v>
      </c>
      <c r="W449" s="1687">
        <v>1820</v>
      </c>
      <c r="X449" s="2222"/>
      <c r="Y449" s="1686">
        <v>306</v>
      </c>
      <c r="Z449" s="1686">
        <v>168</v>
      </c>
      <c r="AA449" s="986">
        <f t="shared" ref="AA449:AA455" si="241">Z449/Y449</f>
        <v>0.5490196078431373</v>
      </c>
      <c r="AB449" s="987">
        <f t="shared" si="238"/>
        <v>8856.8759313725495</v>
      </c>
      <c r="AC449" s="987">
        <f t="shared" si="239"/>
        <v>16132.166875000001</v>
      </c>
      <c r="AD449" s="987">
        <f t="shared" ref="AD449:AD455" si="242">Z449*AF449</f>
        <v>305760</v>
      </c>
      <c r="AE449" s="989">
        <f t="shared" si="240"/>
        <v>0.11281807423034111</v>
      </c>
      <c r="AF449" s="1687">
        <v>1820</v>
      </c>
      <c r="AG449" s="1713" t="s">
        <v>257</v>
      </c>
      <c r="AH449" s="1689">
        <v>330357.5</v>
      </c>
      <c r="AI449" s="1689">
        <v>932809</v>
      </c>
      <c r="AJ449" s="1689">
        <f>1460724.1+372626.87/2</f>
        <v>1647037.5350000001</v>
      </c>
    </row>
    <row r="450" spans="1:36" s="1729" customFormat="1" ht="18" customHeight="1">
      <c r="A450" s="1728"/>
      <c r="B450" s="1684" t="s">
        <v>176</v>
      </c>
      <c r="C450" s="1714" t="s">
        <v>827</v>
      </c>
      <c r="D450" s="1684" t="s">
        <v>374</v>
      </c>
      <c r="E450" s="1684"/>
      <c r="F450" s="1684"/>
      <c r="G450" s="1684"/>
      <c r="H450" s="983">
        <f t="shared" si="231"/>
        <v>2723218.97</v>
      </c>
      <c r="I450" s="984">
        <v>2164109.9700000002</v>
      </c>
      <c r="J450" s="984">
        <v>559109</v>
      </c>
      <c r="K450" s="1686">
        <v>1653180</v>
      </c>
      <c r="L450" s="985">
        <f t="shared" si="232"/>
        <v>1.6472610181589422</v>
      </c>
      <c r="M450" s="1686">
        <v>108432</v>
      </c>
      <c r="N450" s="986">
        <f t="shared" si="233"/>
        <v>6.5589953907015566E-2</v>
      </c>
      <c r="O450" s="986">
        <f t="shared" si="234"/>
        <v>0.14544599380256751</v>
      </c>
      <c r="P450" s="1686">
        <v>15771</v>
      </c>
      <c r="Q450" s="1686">
        <v>11208</v>
      </c>
      <c r="R450" s="986">
        <f t="shared" si="235"/>
        <v>0.71067148563819671</v>
      </c>
      <c r="S450" s="987">
        <f t="shared" si="236"/>
        <v>172.67256166381335</v>
      </c>
      <c r="T450" s="987">
        <f t="shared" si="237"/>
        <v>242.971000178444</v>
      </c>
      <c r="U450" s="987">
        <v>11208000</v>
      </c>
      <c r="V450" s="988">
        <v>4.0999999999999996</v>
      </c>
      <c r="W450" s="1715">
        <v>990</v>
      </c>
      <c r="X450" s="2222"/>
      <c r="Y450" s="1686">
        <v>878</v>
      </c>
      <c r="Z450" s="1686">
        <v>641</v>
      </c>
      <c r="AA450" s="986">
        <f t="shared" si="241"/>
        <v>0.73006833712984054</v>
      </c>
      <c r="AB450" s="987">
        <f t="shared" si="238"/>
        <v>3101.6161389521644</v>
      </c>
      <c r="AC450" s="987">
        <f t="shared" si="239"/>
        <v>4248.3915288611552</v>
      </c>
      <c r="AD450" s="987">
        <f t="shared" si="242"/>
        <v>634590</v>
      </c>
      <c r="AE450" s="989">
        <f t="shared" si="240"/>
        <v>0.23302936965072624</v>
      </c>
      <c r="AF450" s="1715">
        <v>990</v>
      </c>
      <c r="AG450" s="404" t="s">
        <v>290</v>
      </c>
      <c r="AH450" s="1689">
        <v>559109</v>
      </c>
      <c r="AI450" s="1689">
        <v>334990</v>
      </c>
      <c r="AJ450" s="1689">
        <v>1829119.97</v>
      </c>
    </row>
    <row r="451" spans="1:36" s="1729" customFormat="1" ht="18" customHeight="1">
      <c r="A451" s="1728"/>
      <c r="B451" s="1684" t="s">
        <v>176</v>
      </c>
      <c r="C451" s="1685" t="s">
        <v>809</v>
      </c>
      <c r="D451" s="1684" t="s">
        <v>374</v>
      </c>
      <c r="E451" s="1684"/>
      <c r="F451" s="1684"/>
      <c r="G451" s="1684"/>
      <c r="H451" s="983">
        <f t="shared" si="231"/>
        <v>4400609.0889999997</v>
      </c>
      <c r="I451" s="984">
        <v>3129652.1290000002</v>
      </c>
      <c r="J451" s="984">
        <v>1270956.96</v>
      </c>
      <c r="K451" s="1686">
        <v>3036431</v>
      </c>
      <c r="L451" s="985">
        <f t="shared" si="232"/>
        <v>1.4492702416093104</v>
      </c>
      <c r="M451" s="1686">
        <v>324289</v>
      </c>
      <c r="N451" s="986">
        <f t="shared" si="233"/>
        <v>0.10679939705529287</v>
      </c>
      <c r="O451" s="986">
        <f t="shared" si="234"/>
        <v>0.18264264282784801</v>
      </c>
      <c r="P451" s="1686">
        <v>59229</v>
      </c>
      <c r="Q451" s="1686">
        <v>40156</v>
      </c>
      <c r="R451" s="986">
        <f t="shared" si="235"/>
        <v>0.67797869287004675</v>
      </c>
      <c r="S451" s="987">
        <f t="shared" si="236"/>
        <v>74.298216903881539</v>
      </c>
      <c r="T451" s="987">
        <f t="shared" si="237"/>
        <v>109.58783466978782</v>
      </c>
      <c r="U451" s="987">
        <v>40156000</v>
      </c>
      <c r="V451" s="988">
        <v>9.1</v>
      </c>
      <c r="W451" s="1715">
        <v>930</v>
      </c>
      <c r="X451" s="2222"/>
      <c r="Y451" s="1686">
        <v>4639</v>
      </c>
      <c r="Z451" s="1686">
        <v>3129</v>
      </c>
      <c r="AA451" s="986">
        <f t="shared" si="241"/>
        <v>0.67449881439965509</v>
      </c>
      <c r="AB451" s="987">
        <f t="shared" si="238"/>
        <v>948.61157339943952</v>
      </c>
      <c r="AC451" s="987">
        <f t="shared" si="239"/>
        <v>1406.39472323426</v>
      </c>
      <c r="AD451" s="987">
        <f t="shared" si="242"/>
        <v>2909970</v>
      </c>
      <c r="AE451" s="989">
        <f t="shared" si="240"/>
        <v>0.66126527968001481</v>
      </c>
      <c r="AF451" s="1715">
        <v>930</v>
      </c>
      <c r="AG451" s="1032" t="s">
        <v>290</v>
      </c>
      <c r="AH451" s="1689">
        <v>1270956.96</v>
      </c>
      <c r="AI451" s="1689">
        <v>610577</v>
      </c>
      <c r="AJ451" s="1689">
        <f>2478305.68+58242.07*0.7</f>
        <v>2519075.1290000002</v>
      </c>
    </row>
    <row r="452" spans="1:36" s="1729" customFormat="1" ht="18" customHeight="1">
      <c r="A452" s="1728"/>
      <c r="B452" s="1684" t="s">
        <v>176</v>
      </c>
      <c r="C452" s="1685" t="s">
        <v>810</v>
      </c>
      <c r="D452" s="1684" t="s">
        <v>374</v>
      </c>
      <c r="E452" s="1684"/>
      <c r="F452" s="1684"/>
      <c r="G452" s="1684"/>
      <c r="H452" s="983">
        <f t="shared" si="231"/>
        <v>1487620</v>
      </c>
      <c r="I452" s="984">
        <v>1059339.32</v>
      </c>
      <c r="J452" s="984">
        <v>428280.68</v>
      </c>
      <c r="K452" s="1686">
        <v>656545</v>
      </c>
      <c r="L452" s="985">
        <f t="shared" si="232"/>
        <v>2.2658309788361803</v>
      </c>
      <c r="M452" s="1686">
        <v>104729</v>
      </c>
      <c r="N452" s="986">
        <f t="shared" si="233"/>
        <v>0.15951534167498038</v>
      </c>
      <c r="O452" s="986">
        <f t="shared" si="234"/>
        <v>0.13504377965988409</v>
      </c>
      <c r="P452" s="1686">
        <v>14143</v>
      </c>
      <c r="Q452" s="1686">
        <v>10013</v>
      </c>
      <c r="R452" s="986">
        <f t="shared" si="235"/>
        <v>0.7079827476490137</v>
      </c>
      <c r="S452" s="987">
        <f t="shared" si="236"/>
        <v>105.18419005868627</v>
      </c>
      <c r="T452" s="987">
        <f t="shared" si="237"/>
        <v>148.5688604813742</v>
      </c>
      <c r="U452" s="987">
        <v>10013000</v>
      </c>
      <c r="V452" s="988">
        <v>6.7</v>
      </c>
      <c r="W452" s="1715">
        <v>1650</v>
      </c>
      <c r="X452" s="2222"/>
      <c r="Y452" s="1686">
        <v>489</v>
      </c>
      <c r="Z452" s="1686">
        <v>374</v>
      </c>
      <c r="AA452" s="986">
        <f t="shared" si="241"/>
        <v>0.76482617586912061</v>
      </c>
      <c r="AB452" s="987">
        <f t="shared" si="238"/>
        <v>3042.1676891615543</v>
      </c>
      <c r="AC452" s="987">
        <f t="shared" si="239"/>
        <v>3977.5935828877004</v>
      </c>
      <c r="AD452" s="987">
        <f t="shared" si="242"/>
        <v>617100</v>
      </c>
      <c r="AE452" s="989">
        <f t="shared" si="240"/>
        <v>0.41482367808983478</v>
      </c>
      <c r="AF452" s="1715">
        <v>1650</v>
      </c>
      <c r="AG452" s="1032" t="s">
        <v>292</v>
      </c>
      <c r="AH452" s="1689">
        <v>528280.68000000005</v>
      </c>
      <c r="AI452" s="1689">
        <v>424034</v>
      </c>
      <c r="AJ452" s="1689">
        <v>1075305.32</v>
      </c>
    </row>
    <row r="453" spans="1:36" s="1729" customFormat="1" ht="18" customHeight="1">
      <c r="A453" s="1728"/>
      <c r="B453" s="1684" t="s">
        <v>176</v>
      </c>
      <c r="C453" s="1685" t="s">
        <v>828</v>
      </c>
      <c r="D453" s="1684" t="s">
        <v>374</v>
      </c>
      <c r="E453" s="1684"/>
      <c r="F453" s="1684"/>
      <c r="G453" s="1684"/>
      <c r="H453" s="983">
        <f t="shared" si="231"/>
        <v>1245437.5449999999</v>
      </c>
      <c r="I453" s="984">
        <v>998981.54500000004</v>
      </c>
      <c r="J453" s="984">
        <v>246456</v>
      </c>
      <c r="K453" s="1686">
        <v>1438655</v>
      </c>
      <c r="L453" s="985">
        <f t="shared" si="232"/>
        <v>0.86569576792212166</v>
      </c>
      <c r="M453" s="1686">
        <v>205894</v>
      </c>
      <c r="N453" s="986">
        <f t="shared" si="233"/>
        <v>0.14311561840747086</v>
      </c>
      <c r="O453" s="986">
        <f t="shared" si="234"/>
        <v>0.12931411308731677</v>
      </c>
      <c r="P453" s="1686">
        <v>26625</v>
      </c>
      <c r="Q453" s="1686">
        <v>20107</v>
      </c>
      <c r="R453" s="986">
        <f t="shared" si="235"/>
        <v>0.75519248826291074</v>
      </c>
      <c r="S453" s="987">
        <f t="shared" si="236"/>
        <v>46.776996995305161</v>
      </c>
      <c r="T453" s="987">
        <f t="shared" si="237"/>
        <v>61.940495598547763</v>
      </c>
      <c r="U453" s="987">
        <v>20107000</v>
      </c>
      <c r="V453" s="988">
        <v>16.100000000000001</v>
      </c>
      <c r="W453" s="1715">
        <v>550</v>
      </c>
      <c r="X453" s="2222"/>
      <c r="Y453" s="1686">
        <v>1439</v>
      </c>
      <c r="Z453" s="1686">
        <v>1111</v>
      </c>
      <c r="AA453" s="986">
        <f t="shared" si="241"/>
        <v>0.77206393328700484</v>
      </c>
      <c r="AB453" s="987">
        <f t="shared" si="238"/>
        <v>865.48821751216121</v>
      </c>
      <c r="AC453" s="987">
        <f t="shared" si="239"/>
        <v>1121.0058910891089</v>
      </c>
      <c r="AD453" s="987">
        <f t="shared" si="242"/>
        <v>611050</v>
      </c>
      <c r="AE453" s="989">
        <f t="shared" si="240"/>
        <v>0.49063078470145211</v>
      </c>
      <c r="AF453" s="1715">
        <v>550</v>
      </c>
      <c r="AG453" s="1032" t="s">
        <v>257</v>
      </c>
      <c r="AH453" s="1689">
        <v>246456</v>
      </c>
      <c r="AI453" s="1689">
        <v>0</v>
      </c>
      <c r="AJ453" s="1689">
        <v>998981.54500000004</v>
      </c>
    </row>
    <row r="454" spans="1:36" s="1729" customFormat="1" ht="18" customHeight="1">
      <c r="A454" s="1728"/>
      <c r="B454" s="1684" t="s">
        <v>176</v>
      </c>
      <c r="C454" s="1685" t="s">
        <v>829</v>
      </c>
      <c r="D454" s="1684" t="s">
        <v>374</v>
      </c>
      <c r="E454" s="1684"/>
      <c r="F454" s="1684"/>
      <c r="G454" s="1684"/>
      <c r="H454" s="983">
        <f t="shared" si="231"/>
        <v>1521799.7350000001</v>
      </c>
      <c r="I454" s="984">
        <v>1056878.7350000001</v>
      </c>
      <c r="J454" s="984">
        <v>464921</v>
      </c>
      <c r="K454" s="1686">
        <v>1150579</v>
      </c>
      <c r="L454" s="985">
        <f t="shared" si="232"/>
        <v>1.3226381978117105</v>
      </c>
      <c r="M454" s="1686">
        <v>185168</v>
      </c>
      <c r="N454" s="986">
        <f t="shared" si="233"/>
        <v>0.16093462508875966</v>
      </c>
      <c r="O454" s="986">
        <f t="shared" si="234"/>
        <v>0.13857145943143523</v>
      </c>
      <c r="P454" s="1686">
        <v>25659</v>
      </c>
      <c r="Q454" s="1686">
        <v>18870</v>
      </c>
      <c r="R454" s="986">
        <f t="shared" si="235"/>
        <v>0.73541447445340813</v>
      </c>
      <c r="S454" s="987">
        <f t="shared" si="236"/>
        <v>59.30861432635723</v>
      </c>
      <c r="T454" s="987">
        <f t="shared" si="237"/>
        <v>80.646514838367779</v>
      </c>
      <c r="U454" s="987">
        <v>18870000</v>
      </c>
      <c r="V454" s="988">
        <v>12.4</v>
      </c>
      <c r="W454" s="1715">
        <v>470</v>
      </c>
      <c r="X454" s="2222"/>
      <c r="Y454" s="1686">
        <v>2265</v>
      </c>
      <c r="Z454" s="1686">
        <v>1716</v>
      </c>
      <c r="AA454" s="986">
        <f t="shared" si="241"/>
        <v>0.75761589403973506</v>
      </c>
      <c r="AB454" s="987">
        <f t="shared" si="238"/>
        <v>671.87626269315683</v>
      </c>
      <c r="AC454" s="987">
        <f t="shared" si="239"/>
        <v>886.82968240093248</v>
      </c>
      <c r="AD454" s="987">
        <f t="shared" si="242"/>
        <v>806520</v>
      </c>
      <c r="AE454" s="989">
        <f t="shared" si="240"/>
        <v>0.52997775032468375</v>
      </c>
      <c r="AF454" s="1715">
        <v>470</v>
      </c>
      <c r="AG454" s="1032" t="s">
        <v>257</v>
      </c>
      <c r="AH454" s="1689">
        <v>464921</v>
      </c>
      <c r="AI454" s="1689">
        <v>0</v>
      </c>
      <c r="AJ454" s="1689">
        <v>1056878.7350000001</v>
      </c>
    </row>
    <row r="455" spans="1:36" s="1683" customFormat="1" ht="18" customHeight="1">
      <c r="A455" s="1695"/>
      <c r="B455" s="1730"/>
      <c r="C455" s="2223" t="s">
        <v>0</v>
      </c>
      <c r="D455" s="2223"/>
      <c r="E455" s="1717"/>
      <c r="F455" s="1717"/>
      <c r="G455" s="1717"/>
      <c r="H455" s="1017">
        <f t="shared" si="231"/>
        <v>20523780.059</v>
      </c>
      <c r="I455" s="1018">
        <f>SUM(I448:I454)</f>
        <v>14665252.919000002</v>
      </c>
      <c r="J455" s="1018">
        <f>SUM(J448:J454)</f>
        <v>5858527.1399999997</v>
      </c>
      <c r="K455" s="1018">
        <f>SUM(K448:K454)</f>
        <v>15309654</v>
      </c>
      <c r="L455" s="1019">
        <f t="shared" si="232"/>
        <v>1.3405776550534716</v>
      </c>
      <c r="M455" s="1018">
        <f>SUM(M448:M454)</f>
        <v>1546380</v>
      </c>
      <c r="N455" s="1020">
        <f t="shared" si="233"/>
        <v>0.10100685489038486</v>
      </c>
      <c r="O455" s="1020">
        <f t="shared" si="234"/>
        <v>0.13617286824713201</v>
      </c>
      <c r="P455" s="1018">
        <f>SUM(P448:P454)</f>
        <v>210575</v>
      </c>
      <c r="Q455" s="1018">
        <f>SUM(Q448:Q454)</f>
        <v>148222</v>
      </c>
      <c r="R455" s="1020">
        <f t="shared" si="235"/>
        <v>0.70389172503858488</v>
      </c>
      <c r="S455" s="1718">
        <f t="shared" si="236"/>
        <v>97.465416402706879</v>
      </c>
      <c r="T455" s="1718">
        <f t="shared" si="237"/>
        <v>138.46648985305825</v>
      </c>
      <c r="U455" s="1718">
        <v>148222000</v>
      </c>
      <c r="V455" s="1021">
        <v>7.2</v>
      </c>
      <c r="W455" s="1718">
        <f>X448</f>
        <v>1000</v>
      </c>
      <c r="X455" s="1718"/>
      <c r="Y455" s="1018">
        <f>SUM(Y448:Y454)</f>
        <v>10405</v>
      </c>
      <c r="Z455" s="1018">
        <f>SUM(Z448:Z454)</f>
        <v>7400</v>
      </c>
      <c r="AA455" s="1020">
        <f t="shared" si="241"/>
        <v>0.71119654012493994</v>
      </c>
      <c r="AB455" s="1719">
        <f t="shared" si="238"/>
        <v>1972.4920767900048</v>
      </c>
      <c r="AC455" s="1719">
        <f t="shared" si="239"/>
        <v>2773.483791756757</v>
      </c>
      <c r="AD455" s="1718">
        <f t="shared" si="242"/>
        <v>7400000</v>
      </c>
      <c r="AE455" s="1022">
        <f t="shared" si="240"/>
        <v>0.36055736217826906</v>
      </c>
      <c r="AF455" s="1718">
        <v>1000</v>
      </c>
      <c r="AG455" s="1694"/>
      <c r="AH455" s="1689"/>
      <c r="AI455" s="1689"/>
      <c r="AJ455" s="1689"/>
    </row>
    <row r="456" spans="1:36" s="1683" customFormat="1" ht="18" customHeight="1">
      <c r="C456" s="1731"/>
      <c r="D456" s="1731"/>
      <c r="E456" s="1731"/>
      <c r="F456" s="1731"/>
      <c r="G456" s="1731"/>
      <c r="H456" s="1732"/>
      <c r="I456" s="1732"/>
      <c r="J456" s="1732"/>
      <c r="K456" s="1733"/>
      <c r="L456" s="1734"/>
      <c r="M456" s="1735" t="s">
        <v>830</v>
      </c>
      <c r="N456" s="1033">
        <v>4.7E-2</v>
      </c>
      <c r="O456" s="1033">
        <v>4.8000000000000001E-2</v>
      </c>
      <c r="P456" s="1733"/>
      <c r="Q456" s="1733"/>
      <c r="R456" s="1034"/>
      <c r="S456" s="1733"/>
      <c r="T456" s="1733"/>
      <c r="U456" s="1733"/>
      <c r="V456" s="1736"/>
      <c r="W456" s="1733"/>
      <c r="X456" s="1733"/>
      <c r="Y456" s="1733"/>
      <c r="Z456" s="1733"/>
      <c r="AA456" s="1034"/>
      <c r="AB456" s="1733"/>
      <c r="AC456" s="1733"/>
      <c r="AD456" s="1733"/>
      <c r="AE456" s="1736"/>
      <c r="AF456" s="1733"/>
      <c r="AG456" s="1470"/>
      <c r="AH456" s="1689"/>
      <c r="AI456" s="1689"/>
      <c r="AJ456" s="1689"/>
    </row>
    <row r="457" spans="1:36" s="1683" customFormat="1" ht="18" customHeight="1">
      <c r="C457" s="1731"/>
      <c r="D457" s="1731"/>
      <c r="E457" s="1731"/>
      <c r="F457" s="1731"/>
      <c r="G457" s="1731"/>
      <c r="H457" s="1732"/>
      <c r="I457" s="1732"/>
      <c r="J457" s="1732"/>
      <c r="K457" s="1733"/>
      <c r="L457" s="1734"/>
      <c r="M457" s="1735" t="s">
        <v>831</v>
      </c>
      <c r="N457" s="1033">
        <v>5.1999999999999998E-2</v>
      </c>
      <c r="O457" s="1033">
        <v>2.7E-2</v>
      </c>
      <c r="P457" s="1733"/>
      <c r="Q457" s="1733"/>
      <c r="R457" s="1034"/>
      <c r="S457" s="1733"/>
      <c r="T457" s="1733"/>
      <c r="U457" s="1733"/>
      <c r="V457" s="1736"/>
      <c r="W457" s="1733"/>
      <c r="X457" s="1733"/>
      <c r="Y457" s="1733"/>
      <c r="Z457" s="1733"/>
      <c r="AA457" s="1034"/>
      <c r="AB457" s="1733"/>
      <c r="AC457" s="1733"/>
      <c r="AD457" s="1733"/>
      <c r="AE457" s="1736"/>
      <c r="AF457" s="1733"/>
      <c r="AG457" s="1470"/>
      <c r="AH457" s="1689"/>
      <c r="AI457" s="1689"/>
      <c r="AJ457" s="1689"/>
    </row>
    <row r="458" spans="1:36" s="1683" customFormat="1" ht="18" customHeight="1">
      <c r="C458" s="1731"/>
      <c r="D458" s="1731"/>
      <c r="E458" s="1731"/>
      <c r="F458" s="1731"/>
      <c r="G458" s="1731"/>
      <c r="H458" s="1732"/>
      <c r="I458" s="1732"/>
      <c r="J458" s="1732"/>
      <c r="K458" s="1733"/>
      <c r="L458" s="1734"/>
      <c r="M458" s="1735" t="s">
        <v>832</v>
      </c>
      <c r="N458" s="1033">
        <v>4.8000000000000001E-2</v>
      </c>
      <c r="O458" s="1033">
        <v>5.8000000000000003E-2</v>
      </c>
      <c r="P458" s="1733"/>
      <c r="Q458" s="1733"/>
      <c r="R458" s="1034"/>
      <c r="S458" s="1733"/>
      <c r="T458" s="1733"/>
      <c r="U458" s="1733"/>
      <c r="V458" s="1736"/>
      <c r="W458" s="1733"/>
      <c r="X458" s="1733"/>
      <c r="Y458" s="1733"/>
      <c r="Z458" s="1733"/>
      <c r="AA458" s="1034"/>
      <c r="AB458" s="1733"/>
      <c r="AC458" s="1733"/>
      <c r="AD458" s="1733"/>
      <c r="AE458" s="1736"/>
      <c r="AF458" s="1733"/>
      <c r="AG458" s="1470"/>
      <c r="AH458" s="1689"/>
      <c r="AI458" s="1689"/>
      <c r="AJ458" s="1689"/>
    </row>
    <row r="459" spans="1:36">
      <c r="E459" s="1465"/>
      <c r="F459" s="1465"/>
      <c r="G459" s="1465"/>
      <c r="H459" s="1466"/>
      <c r="I459" s="1466"/>
      <c r="J459" s="1466"/>
      <c r="K459" s="1467"/>
      <c r="L459" s="1468"/>
      <c r="M459" s="1737"/>
      <c r="N459" s="828"/>
      <c r="O459" s="815"/>
      <c r="R459" s="845"/>
      <c r="S459" s="1467"/>
      <c r="V459" s="1469"/>
      <c r="X459" s="1467"/>
      <c r="AA459" s="845"/>
      <c r="AB459" s="1467"/>
      <c r="AD459" s="1467"/>
      <c r="AE459" s="1469"/>
      <c r="AF459" s="1467"/>
      <c r="AG459" s="1470"/>
      <c r="AH459" s="1471"/>
      <c r="AI459" s="1471"/>
      <c r="AJ459" s="1471"/>
    </row>
    <row r="460" spans="1:36">
      <c r="E460" s="1465"/>
      <c r="F460" s="1465"/>
      <c r="G460" s="1465"/>
      <c r="H460" s="1466"/>
      <c r="I460" s="1466"/>
      <c r="J460" s="1466"/>
      <c r="K460" s="1467"/>
      <c r="L460" s="1468"/>
      <c r="M460" s="1737"/>
      <c r="N460" s="828"/>
      <c r="O460" s="815"/>
      <c r="R460" s="845"/>
      <c r="S460" s="1467"/>
      <c r="V460" s="1469"/>
      <c r="X460" s="1467"/>
      <c r="AA460" s="845"/>
      <c r="AB460" s="1467"/>
      <c r="AD460" s="1467"/>
      <c r="AE460" s="1469"/>
      <c r="AF460" s="1467"/>
      <c r="AG460" s="1470"/>
      <c r="AH460" s="1471"/>
      <c r="AI460" s="1471"/>
      <c r="AJ460" s="1471"/>
    </row>
    <row r="461" spans="1:36">
      <c r="E461" s="1465"/>
      <c r="F461" s="1465"/>
      <c r="G461" s="1465"/>
      <c r="H461" s="1466"/>
      <c r="I461" s="1466"/>
      <c r="J461" s="1466"/>
      <c r="K461" s="1467"/>
      <c r="L461" s="1468"/>
      <c r="M461" s="1737"/>
      <c r="N461" s="828"/>
      <c r="O461" s="815"/>
      <c r="R461" s="845"/>
      <c r="S461" s="1467"/>
      <c r="V461" s="1469"/>
      <c r="X461" s="1467"/>
      <c r="AA461" s="845"/>
      <c r="AB461" s="1467"/>
      <c r="AD461" s="1467"/>
      <c r="AE461" s="1469"/>
      <c r="AF461" s="1467"/>
      <c r="AG461" s="1470"/>
      <c r="AH461" s="1471"/>
      <c r="AI461" s="1471"/>
      <c r="AJ461" s="1471"/>
    </row>
    <row r="462" spans="1:36">
      <c r="E462" s="1465"/>
      <c r="F462" s="1465"/>
      <c r="G462" s="1465"/>
      <c r="H462" s="1466"/>
      <c r="I462" s="1466"/>
      <c r="J462" s="1466"/>
      <c r="K462" s="1467"/>
      <c r="L462" s="1468"/>
      <c r="M462" s="1737"/>
      <c r="N462" s="828"/>
      <c r="O462" s="815"/>
      <c r="R462" s="845"/>
      <c r="S462" s="1467"/>
      <c r="V462" s="1469"/>
      <c r="X462" s="1467"/>
      <c r="AA462" s="845"/>
      <c r="AB462" s="1467"/>
      <c r="AD462" s="1467"/>
      <c r="AE462" s="1469"/>
      <c r="AF462" s="1467"/>
      <c r="AG462" s="1470"/>
      <c r="AH462" s="1471"/>
      <c r="AI462" s="1471"/>
      <c r="AJ462" s="1471"/>
    </row>
    <row r="463" spans="1:36">
      <c r="E463" s="1465"/>
      <c r="F463" s="1465"/>
      <c r="G463" s="1465"/>
      <c r="H463" s="1466"/>
      <c r="I463" s="1466"/>
      <c r="J463" s="1466"/>
      <c r="K463" s="1467"/>
      <c r="L463" s="1468"/>
      <c r="M463" s="1737"/>
      <c r="N463" s="828"/>
      <c r="O463" s="815"/>
      <c r="R463" s="845"/>
      <c r="S463" s="1467"/>
      <c r="V463" s="1469"/>
      <c r="X463" s="1467"/>
      <c r="AA463" s="845"/>
      <c r="AB463" s="1467"/>
      <c r="AD463" s="1467"/>
      <c r="AE463" s="1469"/>
      <c r="AF463" s="1467"/>
      <c r="AG463" s="1470"/>
      <c r="AH463" s="1471"/>
      <c r="AI463" s="1471"/>
      <c r="AJ463" s="1471"/>
    </row>
    <row r="464" spans="1:36" s="1473" customFormat="1" ht="22.5">
      <c r="B464" s="850" t="s">
        <v>822</v>
      </c>
      <c r="C464" s="1474"/>
      <c r="D464" s="1474"/>
      <c r="E464" s="1474"/>
      <c r="F464" s="1474"/>
      <c r="G464" s="1474"/>
      <c r="H464" s="1475"/>
      <c r="I464" s="1476"/>
      <c r="J464" s="1476"/>
      <c r="K464" s="1476"/>
      <c r="L464" s="1477"/>
      <c r="M464" s="1476"/>
      <c r="N464" s="851"/>
      <c r="O464" s="851"/>
      <c r="P464" s="1476"/>
      <c r="Q464" s="1476"/>
      <c r="R464" s="851"/>
      <c r="S464" s="1476"/>
      <c r="T464" s="1476"/>
      <c r="U464" s="1476"/>
      <c r="V464" s="1478"/>
      <c r="W464" s="1476"/>
      <c r="X464" s="1476"/>
      <c r="Y464" s="1476"/>
      <c r="Z464" s="1476"/>
      <c r="AA464" s="851"/>
      <c r="AB464" s="1476"/>
      <c r="AC464" s="1476"/>
      <c r="AD464" s="1476"/>
      <c r="AE464" s="1478"/>
      <c r="AF464" s="1476"/>
      <c r="AG464" s="1479"/>
      <c r="AH464" s="1476"/>
      <c r="AI464" s="1476"/>
      <c r="AJ464" s="1476"/>
    </row>
    <row r="465" spans="2:36" s="950" customFormat="1">
      <c r="B465" s="852" t="s">
        <v>238</v>
      </c>
      <c r="C465" s="853" t="s">
        <v>382</v>
      </c>
      <c r="D465" s="940"/>
      <c r="E465" s="940"/>
      <c r="F465" s="940"/>
      <c r="G465" s="940"/>
      <c r="H465" s="941"/>
      <c r="I465" s="942"/>
      <c r="J465" s="942"/>
      <c r="K465" s="943"/>
      <c r="L465" s="944"/>
      <c r="M465" s="945"/>
      <c r="N465" s="946"/>
      <c r="O465" s="845"/>
      <c r="P465" s="942"/>
      <c r="Q465" s="942"/>
      <c r="R465" s="845"/>
      <c r="S465" s="1467"/>
      <c r="T465" s="1467"/>
      <c r="U465" s="1467"/>
      <c r="V465" s="947"/>
      <c r="W465" s="942"/>
      <c r="X465" s="942"/>
      <c r="Y465" s="942"/>
      <c r="Z465" s="942"/>
      <c r="AA465" s="845"/>
      <c r="AB465" s="942"/>
      <c r="AC465" s="942"/>
      <c r="AD465" s="942"/>
      <c r="AE465" s="947"/>
      <c r="AF465" s="1519"/>
      <c r="AG465" s="948"/>
      <c r="AH465" s="949"/>
      <c r="AI465" s="949"/>
      <c r="AJ465" s="949"/>
    </row>
    <row r="466" spans="2:36" s="950" customFormat="1">
      <c r="B466" s="854" t="s">
        <v>82</v>
      </c>
      <c r="C466" s="855" t="s">
        <v>383</v>
      </c>
      <c r="D466" s="940"/>
      <c r="E466" s="940"/>
      <c r="F466" s="940"/>
      <c r="G466" s="940"/>
      <c r="H466" s="941"/>
      <c r="I466" s="942"/>
      <c r="J466" s="942"/>
      <c r="K466" s="1467"/>
      <c r="L466" s="1468"/>
      <c r="M466" s="1467"/>
      <c r="N466" s="845"/>
      <c r="O466" s="845"/>
      <c r="P466" s="942"/>
      <c r="Q466" s="942"/>
      <c r="R466" s="845"/>
      <c r="S466" s="1467"/>
      <c r="T466" s="1467"/>
      <c r="U466" s="1467"/>
      <c r="V466" s="947"/>
      <c r="W466" s="942"/>
      <c r="X466" s="942"/>
      <c r="Y466" s="942"/>
      <c r="Z466" s="942"/>
      <c r="AA466" s="845"/>
      <c r="AB466" s="942"/>
      <c r="AC466" s="942"/>
      <c r="AD466" s="942"/>
      <c r="AE466" s="947"/>
      <c r="AF466" s="1519"/>
      <c r="AG466" s="948"/>
      <c r="AH466" s="949"/>
      <c r="AI466" s="949"/>
      <c r="AJ466" s="949"/>
    </row>
    <row r="467" spans="2:36" s="950" customFormat="1">
      <c r="B467" s="854"/>
      <c r="C467" s="855"/>
      <c r="D467" s="940"/>
      <c r="E467" s="940"/>
      <c r="F467" s="940"/>
      <c r="G467" s="940"/>
      <c r="H467" s="941"/>
      <c r="I467" s="942"/>
      <c r="J467" s="942"/>
      <c r="K467" s="1467"/>
      <c r="L467" s="1468"/>
      <c r="M467" s="1467"/>
      <c r="N467" s="845"/>
      <c r="O467" s="845"/>
      <c r="P467" s="942"/>
      <c r="Q467" s="942"/>
      <c r="R467" s="845"/>
      <c r="S467" s="1467"/>
      <c r="T467" s="1467"/>
      <c r="U467" s="1467"/>
      <c r="V467" s="947"/>
      <c r="W467" s="942"/>
      <c r="X467" s="942"/>
      <c r="Y467" s="942"/>
      <c r="Z467" s="942"/>
      <c r="AA467" s="845"/>
      <c r="AB467" s="942"/>
      <c r="AC467" s="942"/>
      <c r="AD467" s="942"/>
      <c r="AE467" s="947"/>
      <c r="AF467" s="1519"/>
      <c r="AG467" s="948"/>
      <c r="AH467" s="949"/>
      <c r="AI467" s="949"/>
      <c r="AJ467" s="949"/>
    </row>
    <row r="468" spans="2:36">
      <c r="E468" s="1465"/>
      <c r="F468" s="1465"/>
      <c r="G468" s="1465"/>
      <c r="H468" s="1466"/>
      <c r="I468" s="1466"/>
      <c r="J468" s="1466"/>
      <c r="K468" s="1467"/>
      <c r="L468" s="1468"/>
      <c r="N468" s="845"/>
      <c r="R468" s="845"/>
      <c r="S468" s="1467"/>
      <c r="V468" s="1469"/>
      <c r="X468" s="1467"/>
      <c r="AA468" s="845"/>
      <c r="AB468" s="1467"/>
      <c r="AD468" s="1467"/>
      <c r="AE468" s="1469"/>
      <c r="AF468" s="1467"/>
      <c r="AG468" s="1470"/>
      <c r="AH468" s="1471"/>
      <c r="AI468" s="1471"/>
      <c r="AJ468" s="1471"/>
    </row>
    <row r="469" spans="2:36" ht="18" customHeight="1">
      <c r="B469" s="2224" t="s">
        <v>32</v>
      </c>
      <c r="C469" s="2224" t="s">
        <v>31</v>
      </c>
      <c r="D469" s="2224" t="s">
        <v>30</v>
      </c>
      <c r="E469" s="2224" t="s">
        <v>242</v>
      </c>
      <c r="F469" s="2224"/>
      <c r="G469" s="2224"/>
      <c r="H469" s="2210" t="s">
        <v>29</v>
      </c>
      <c r="I469" s="2210"/>
      <c r="J469" s="2210"/>
      <c r="K469" s="2224" t="s">
        <v>243</v>
      </c>
      <c r="L469" s="2224"/>
      <c r="M469" s="2224"/>
      <c r="N469" s="2224"/>
      <c r="O469" s="2224"/>
      <c r="P469" s="2224"/>
      <c r="Q469" s="2224"/>
      <c r="R469" s="2224"/>
      <c r="S469" s="2224"/>
      <c r="T469" s="2224"/>
      <c r="U469" s="2224"/>
      <c r="V469" s="2224"/>
      <c r="W469" s="2224"/>
      <c r="X469" s="2224"/>
      <c r="AA469" s="845"/>
      <c r="AB469" s="1467"/>
      <c r="AD469" s="1467"/>
      <c r="AE469" s="1469"/>
      <c r="AF469" s="1467"/>
      <c r="AG469" s="1470"/>
      <c r="AH469" s="1471"/>
      <c r="AI469" s="1471"/>
      <c r="AJ469" s="1471"/>
    </row>
    <row r="470" spans="2:36" ht="33">
      <c r="B470" s="2224"/>
      <c r="C470" s="2224"/>
      <c r="D470" s="2224"/>
      <c r="E470" s="1706" t="s">
        <v>247</v>
      </c>
      <c r="F470" s="1706" t="s">
        <v>248</v>
      </c>
      <c r="G470" s="1706" t="s">
        <v>249</v>
      </c>
      <c r="H470" s="1708" t="s">
        <v>26</v>
      </c>
      <c r="I470" s="1708" t="s">
        <v>25</v>
      </c>
      <c r="J470" s="1708" t="s">
        <v>250</v>
      </c>
      <c r="K470" s="1708" t="s">
        <v>23</v>
      </c>
      <c r="L470" s="1709" t="s">
        <v>22</v>
      </c>
      <c r="M470" s="1708" t="s">
        <v>21</v>
      </c>
      <c r="N470" s="1013" t="s">
        <v>20</v>
      </c>
      <c r="O470" s="1013" t="s">
        <v>19</v>
      </c>
      <c r="P470" s="1708" t="s">
        <v>18</v>
      </c>
      <c r="Q470" s="1708" t="s">
        <v>17</v>
      </c>
      <c r="R470" s="1014" t="s">
        <v>16</v>
      </c>
      <c r="S470" s="1708" t="s">
        <v>15</v>
      </c>
      <c r="T470" s="1710" t="s">
        <v>14</v>
      </c>
      <c r="U470" s="1710" t="s">
        <v>13</v>
      </c>
      <c r="V470" s="1711" t="s">
        <v>12</v>
      </c>
      <c r="W470" s="1707" t="s">
        <v>3</v>
      </c>
      <c r="X470" s="1707" t="s">
        <v>11</v>
      </c>
      <c r="AA470" s="845"/>
      <c r="AB470" s="1467"/>
      <c r="AD470" s="1467"/>
      <c r="AE470" s="1469"/>
      <c r="AF470" s="1467"/>
      <c r="AG470" s="1470"/>
      <c r="AH470" s="1471"/>
      <c r="AI470" s="1471"/>
      <c r="AJ470" s="1471"/>
    </row>
    <row r="471" spans="2:36" s="1683" customFormat="1" ht="18" customHeight="1">
      <c r="B471" s="1684" t="s">
        <v>384</v>
      </c>
      <c r="C471" s="1685" t="s">
        <v>825</v>
      </c>
      <c r="D471" s="1684" t="s">
        <v>374</v>
      </c>
      <c r="E471" s="1684"/>
      <c r="F471" s="1684"/>
      <c r="G471" s="1684"/>
      <c r="H471" s="983">
        <v>2870993.11</v>
      </c>
      <c r="I471" s="984">
        <v>2049525.11</v>
      </c>
      <c r="J471" s="984">
        <v>821468</v>
      </c>
      <c r="K471" s="1687">
        <v>2828628</v>
      </c>
      <c r="L471" s="985">
        <f>H471/K471</f>
        <v>1.0149772645961221</v>
      </c>
      <c r="M471" s="1686">
        <v>202756</v>
      </c>
      <c r="N471" s="986">
        <f t="shared" ref="N471:N478" si="243">M471/K471</f>
        <v>7.1679980541803301E-2</v>
      </c>
      <c r="O471" s="1035"/>
      <c r="P471" s="1687"/>
      <c r="Q471" s="1687"/>
      <c r="R471" s="1035"/>
      <c r="S471" s="1687"/>
      <c r="T471" s="1687"/>
      <c r="U471" s="1687"/>
      <c r="V471" s="1036"/>
      <c r="W471" s="1687"/>
      <c r="X471" s="2222"/>
      <c r="Y471" s="1467"/>
      <c r="Z471" s="1467"/>
      <c r="AA471" s="845"/>
      <c r="AB471" s="1467"/>
      <c r="AC471" s="1467"/>
      <c r="AD471" s="1467"/>
      <c r="AE471" s="1469"/>
      <c r="AF471" s="1467"/>
      <c r="AG471" s="1470"/>
      <c r="AH471" s="1689"/>
      <c r="AI471" s="1689"/>
      <c r="AJ471" s="1689"/>
    </row>
    <row r="472" spans="2:36" s="1683" customFormat="1" ht="18" customHeight="1">
      <c r="B472" s="1684" t="s">
        <v>384</v>
      </c>
      <c r="C472" s="1685" t="s">
        <v>833</v>
      </c>
      <c r="D472" s="1684" t="s">
        <v>374</v>
      </c>
      <c r="E472" s="1684"/>
      <c r="F472" s="1684"/>
      <c r="G472" s="1684"/>
      <c r="H472" s="983">
        <v>1194875.79</v>
      </c>
      <c r="I472" s="984">
        <v>1031595.79</v>
      </c>
      <c r="J472" s="984">
        <v>163280</v>
      </c>
      <c r="K472" s="1687">
        <v>841206</v>
      </c>
      <c r="L472" s="985">
        <f>H472/K472</f>
        <v>1.4204318442807113</v>
      </c>
      <c r="M472" s="1686">
        <v>84491</v>
      </c>
      <c r="N472" s="986">
        <f t="shared" si="243"/>
        <v>0.10044032020694099</v>
      </c>
      <c r="O472" s="1035"/>
      <c r="P472" s="1687"/>
      <c r="Q472" s="1687"/>
      <c r="R472" s="1035"/>
      <c r="S472" s="1687"/>
      <c r="T472" s="1687"/>
      <c r="U472" s="1687"/>
      <c r="V472" s="1036"/>
      <c r="W472" s="1687"/>
      <c r="X472" s="2222"/>
      <c r="Y472" s="1467"/>
      <c r="Z472" s="1467"/>
      <c r="AA472" s="845"/>
      <c r="AB472" s="1467"/>
      <c r="AC472" s="1467"/>
      <c r="AD472" s="1467"/>
      <c r="AE472" s="1469"/>
      <c r="AF472" s="1467"/>
      <c r="AG472" s="1470"/>
      <c r="AH472" s="1689"/>
      <c r="AI472" s="1689"/>
      <c r="AJ472" s="1689"/>
    </row>
    <row r="473" spans="2:36" s="1683" customFormat="1" ht="18" customHeight="1">
      <c r="B473" s="1684" t="s">
        <v>384</v>
      </c>
      <c r="C473" s="1685" t="s">
        <v>827</v>
      </c>
      <c r="D473" s="1684" t="s">
        <v>374</v>
      </c>
      <c r="E473" s="1684"/>
      <c r="F473" s="1684"/>
      <c r="G473" s="1684"/>
      <c r="H473" s="983">
        <v>909530.17</v>
      </c>
      <c r="I473" s="984">
        <v>661302.17000000004</v>
      </c>
      <c r="J473" s="984">
        <v>248228</v>
      </c>
      <c r="K473" s="1738">
        <v>608930</v>
      </c>
      <c r="L473" s="985">
        <f>H473/K473</f>
        <v>1.4936530799927743</v>
      </c>
      <c r="M473" s="1687">
        <v>60752</v>
      </c>
      <c r="N473" s="986">
        <f t="shared" si="243"/>
        <v>9.9768446291035096E-2</v>
      </c>
      <c r="O473" s="1035"/>
      <c r="P473" s="1687"/>
      <c r="Q473" s="1687"/>
      <c r="R473" s="1035"/>
      <c r="S473" s="1739"/>
      <c r="T473" s="1687"/>
      <c r="U473" s="1687"/>
      <c r="V473" s="1036"/>
      <c r="W473" s="1687"/>
      <c r="X473" s="2222"/>
      <c r="Y473" s="1467"/>
      <c r="Z473" s="1467"/>
      <c r="AA473" s="845"/>
      <c r="AB473" s="1467"/>
      <c r="AC473" s="1467"/>
      <c r="AD473" s="1467"/>
      <c r="AE473" s="1469"/>
      <c r="AF473" s="1467"/>
      <c r="AG473" s="1470"/>
      <c r="AH473" s="1689"/>
      <c r="AI473" s="1689"/>
      <c r="AJ473" s="1689"/>
    </row>
    <row r="474" spans="2:36" s="1683" customFormat="1" ht="18" customHeight="1">
      <c r="B474" s="1684" t="s">
        <v>384</v>
      </c>
      <c r="C474" s="1685" t="s">
        <v>809</v>
      </c>
      <c r="D474" s="1684" t="s">
        <v>374</v>
      </c>
      <c r="E474" s="1684"/>
      <c r="F474" s="1684"/>
      <c r="G474" s="1684"/>
      <c r="H474" s="983">
        <v>1337032.845</v>
      </c>
      <c r="I474" s="984">
        <v>1067407.845</v>
      </c>
      <c r="J474" s="984">
        <v>269625</v>
      </c>
      <c r="K474" s="1687">
        <v>1149410</v>
      </c>
      <c r="L474" s="985">
        <f t="shared" ref="L474:L478" si="244">H474/K474</f>
        <v>1.1632340461628139</v>
      </c>
      <c r="M474" s="1687">
        <v>169430</v>
      </c>
      <c r="N474" s="986">
        <f t="shared" si="243"/>
        <v>0.14740606050060465</v>
      </c>
      <c r="O474" s="1035"/>
      <c r="P474" s="1687"/>
      <c r="Q474" s="1687"/>
      <c r="R474" s="1035"/>
      <c r="S474" s="1687"/>
      <c r="T474" s="1687"/>
      <c r="U474" s="1687"/>
      <c r="V474" s="1036"/>
      <c r="W474" s="1687"/>
      <c r="X474" s="2222"/>
      <c r="Y474" s="1467"/>
      <c r="Z474" s="1467"/>
      <c r="AA474" s="845"/>
      <c r="AB474" s="1467"/>
      <c r="AC474" s="1467"/>
      <c r="AD474" s="1467"/>
      <c r="AE474" s="1469"/>
      <c r="AF474" s="1467"/>
      <c r="AG474" s="1470"/>
      <c r="AH474" s="1689"/>
      <c r="AI474" s="1689"/>
      <c r="AJ474" s="1689"/>
    </row>
    <row r="475" spans="2:36" s="1683" customFormat="1" ht="18" customHeight="1">
      <c r="B475" s="1684" t="s">
        <v>384</v>
      </c>
      <c r="C475" s="1685" t="s">
        <v>810</v>
      </c>
      <c r="D475" s="1684" t="s">
        <v>374</v>
      </c>
      <c r="E475" s="1684"/>
      <c r="F475" s="1684"/>
      <c r="G475" s="1684"/>
      <c r="H475" s="983">
        <v>685183.95</v>
      </c>
      <c r="I475" s="984">
        <v>468752.95</v>
      </c>
      <c r="J475" s="984">
        <v>216431</v>
      </c>
      <c r="K475" s="1687">
        <v>229082</v>
      </c>
      <c r="L475" s="985">
        <f t="shared" si="244"/>
        <v>2.9909986380422731</v>
      </c>
      <c r="M475" s="1687">
        <v>38459</v>
      </c>
      <c r="N475" s="986">
        <f t="shared" si="243"/>
        <v>0.16788311608943524</v>
      </c>
      <c r="O475" s="1035"/>
      <c r="P475" s="1687"/>
      <c r="Q475" s="1687"/>
      <c r="R475" s="1035"/>
      <c r="S475" s="1687"/>
      <c r="T475" s="1687"/>
      <c r="U475" s="1687"/>
      <c r="V475" s="1036"/>
      <c r="W475" s="1687"/>
      <c r="X475" s="2222"/>
      <c r="Y475" s="1467"/>
      <c r="Z475" s="1467"/>
      <c r="AA475" s="845"/>
      <c r="AB475" s="1467"/>
      <c r="AC475" s="1467"/>
      <c r="AD475" s="1467"/>
      <c r="AE475" s="1469"/>
      <c r="AF475" s="1467"/>
      <c r="AG475" s="1470"/>
      <c r="AH475" s="1689"/>
      <c r="AI475" s="1689"/>
      <c r="AJ475" s="1689"/>
    </row>
    <row r="476" spans="2:36" s="1683" customFormat="1" ht="18" customHeight="1">
      <c r="B476" s="1684" t="s">
        <v>384</v>
      </c>
      <c r="C476" s="1685" t="s">
        <v>828</v>
      </c>
      <c r="D476" s="1684" t="s">
        <v>374</v>
      </c>
      <c r="E476" s="1684"/>
      <c r="F476" s="1684"/>
      <c r="G476" s="1684"/>
      <c r="H476" s="983">
        <v>501507.56</v>
      </c>
      <c r="I476" s="984">
        <v>409159.56</v>
      </c>
      <c r="J476" s="984">
        <v>92348</v>
      </c>
      <c r="K476" s="1687">
        <v>802865</v>
      </c>
      <c r="L476" s="985">
        <f t="shared" si="244"/>
        <v>0.6246474313863476</v>
      </c>
      <c r="M476" s="1738">
        <v>86327</v>
      </c>
      <c r="N476" s="986">
        <f t="shared" si="243"/>
        <v>0.10752368081807029</v>
      </c>
      <c r="O476" s="1035"/>
      <c r="P476" s="1687"/>
      <c r="Q476" s="1687"/>
      <c r="R476" s="1035"/>
      <c r="S476" s="1687"/>
      <c r="T476" s="1687"/>
      <c r="U476" s="1687"/>
      <c r="V476" s="1036"/>
      <c r="W476" s="1687"/>
      <c r="X476" s="2222"/>
      <c r="Y476" s="1467"/>
      <c r="Z476" s="1467"/>
      <c r="AA476" s="845"/>
      <c r="AB476" s="1467"/>
      <c r="AC476" s="1467"/>
      <c r="AD476" s="1467"/>
      <c r="AE476" s="1469"/>
      <c r="AF476" s="1467"/>
      <c r="AG476" s="1470"/>
      <c r="AH476" s="1689"/>
      <c r="AI476" s="1689"/>
      <c r="AJ476" s="1689"/>
    </row>
    <row r="477" spans="2:36" s="1683" customFormat="1" ht="18" customHeight="1">
      <c r="B477" s="1684" t="s">
        <v>384</v>
      </c>
      <c r="C477" s="1684" t="s">
        <v>829</v>
      </c>
      <c r="D477" s="1684" t="s">
        <v>374</v>
      </c>
      <c r="E477" s="1684"/>
      <c r="F477" s="1684"/>
      <c r="G477" s="1684"/>
      <c r="H477" s="983">
        <v>555179.63</v>
      </c>
      <c r="I477" s="984">
        <v>454268.63</v>
      </c>
      <c r="J477" s="984">
        <v>100911</v>
      </c>
      <c r="K477" s="1687">
        <v>661137</v>
      </c>
      <c r="L477" s="985">
        <f t="shared" si="244"/>
        <v>0.83973462383741948</v>
      </c>
      <c r="M477" s="1687">
        <v>90611</v>
      </c>
      <c r="N477" s="986">
        <f t="shared" si="243"/>
        <v>0.1370532885014755</v>
      </c>
      <c r="O477" s="1035"/>
      <c r="P477" s="1687"/>
      <c r="Q477" s="1687"/>
      <c r="R477" s="1035"/>
      <c r="S477" s="1687"/>
      <c r="T477" s="1687"/>
      <c r="U477" s="1687"/>
      <c r="V477" s="1036"/>
      <c r="W477" s="1687"/>
      <c r="X477" s="2222"/>
      <c r="Y477" s="1467"/>
      <c r="Z477" s="1467"/>
      <c r="AA477" s="845"/>
      <c r="AB477" s="1467"/>
      <c r="AC477" s="1467"/>
      <c r="AD477" s="1467"/>
      <c r="AE477" s="1469"/>
      <c r="AF477" s="1467"/>
      <c r="AG477" s="1470"/>
      <c r="AH477" s="1689"/>
      <c r="AI477" s="1689"/>
      <c r="AJ477" s="1689"/>
    </row>
    <row r="478" spans="2:36" s="1683" customFormat="1" ht="18" customHeight="1">
      <c r="B478" s="1740"/>
      <c r="C478" s="2225" t="s">
        <v>0</v>
      </c>
      <c r="D478" s="2225"/>
      <c r="E478" s="1741"/>
      <c r="F478" s="1741"/>
      <c r="G478" s="1741"/>
      <c r="H478" s="1037">
        <f>I478+J478</f>
        <v>8054303.0549999997</v>
      </c>
      <c r="I478" s="1038">
        <f>SUM(I471:I477)</f>
        <v>6142012.0549999997</v>
      </c>
      <c r="J478" s="1038">
        <f>SUM(J471:J477)</f>
        <v>1912291</v>
      </c>
      <c r="K478" s="1038">
        <f>SUM(K471:K477)</f>
        <v>7121258</v>
      </c>
      <c r="L478" s="1039">
        <f t="shared" si="244"/>
        <v>1.1310225040294846</v>
      </c>
      <c r="M478" s="1038">
        <f>SUM(M471:M477)</f>
        <v>732826</v>
      </c>
      <c r="N478" s="1040">
        <f t="shared" si="243"/>
        <v>0.10290681786841595</v>
      </c>
      <c r="O478" s="1040"/>
      <c r="P478" s="1038"/>
      <c r="Q478" s="1038"/>
      <c r="R478" s="1040"/>
      <c r="S478" s="1742"/>
      <c r="T478" s="1742"/>
      <c r="U478" s="1742"/>
      <c r="V478" s="1041"/>
      <c r="W478" s="1742"/>
      <c r="X478" s="1742"/>
      <c r="Y478" s="1467"/>
      <c r="Z478" s="1467"/>
      <c r="AA478" s="845"/>
      <c r="AB478" s="1467"/>
      <c r="AC478" s="1467"/>
      <c r="AD478" s="1467"/>
      <c r="AE478" s="1469"/>
      <c r="AF478" s="1467"/>
      <c r="AG478" s="1470"/>
      <c r="AH478" s="1689"/>
      <c r="AI478" s="1689"/>
      <c r="AJ478" s="1689"/>
    </row>
    <row r="479" spans="2:36" s="1571" customFormat="1">
      <c r="B479" s="1472"/>
      <c r="C479" s="940"/>
      <c r="D479" s="940"/>
      <c r="E479" s="940"/>
      <c r="F479" s="940"/>
      <c r="G479" s="940"/>
      <c r="H479" s="1466"/>
      <c r="I479" s="941"/>
      <c r="J479" s="941"/>
      <c r="K479" s="942"/>
      <c r="L479" s="1006"/>
      <c r="M479" s="942"/>
      <c r="N479" s="845"/>
      <c r="O479" s="845"/>
      <c r="P479" s="1704"/>
      <c r="Q479" s="1704"/>
      <c r="R479" s="1007"/>
      <c r="S479" s="942"/>
      <c r="T479" s="942"/>
      <c r="U479" s="942"/>
      <c r="V479" s="947"/>
      <c r="W479" s="942"/>
      <c r="X479" s="942"/>
      <c r="Y479" s="1008"/>
      <c r="Z479" s="1010"/>
      <c r="AA479" s="946"/>
      <c r="AB479" s="1467"/>
      <c r="AC479" s="1467"/>
      <c r="AD479" s="1467"/>
      <c r="AE479" s="1469"/>
      <c r="AF479" s="1467"/>
      <c r="AG479" s="1470"/>
      <c r="AH479" s="1471"/>
      <c r="AI479" s="1471"/>
      <c r="AJ479" s="1471"/>
    </row>
    <row r="480" spans="2:36" s="1571" customFormat="1">
      <c r="B480" s="1472"/>
      <c r="C480" s="940"/>
      <c r="D480" s="940"/>
      <c r="E480" s="940"/>
      <c r="F480" s="940"/>
      <c r="G480" s="940"/>
      <c r="H480" s="1466"/>
      <c r="I480" s="941"/>
      <c r="J480" s="941"/>
      <c r="K480" s="942"/>
      <c r="L480" s="1006"/>
      <c r="M480" s="942"/>
      <c r="N480" s="845"/>
      <c r="O480" s="845"/>
      <c r="P480" s="1704"/>
      <c r="Q480" s="1704"/>
      <c r="R480" s="1007"/>
      <c r="S480" s="942"/>
      <c r="T480" s="942"/>
      <c r="U480" s="942"/>
      <c r="V480" s="947"/>
      <c r="W480" s="942"/>
      <c r="X480" s="942"/>
      <c r="Y480" s="1008"/>
      <c r="Z480" s="1010"/>
      <c r="AA480" s="946"/>
      <c r="AB480" s="1467"/>
      <c r="AC480" s="1467"/>
      <c r="AD480" s="1467"/>
      <c r="AE480" s="1469"/>
      <c r="AF480" s="1467"/>
      <c r="AG480" s="1470"/>
      <c r="AH480" s="1471"/>
      <c r="AI480" s="1471"/>
      <c r="AJ480" s="1471"/>
    </row>
    <row r="481" spans="2:37" s="1571" customFormat="1">
      <c r="B481" s="1472"/>
      <c r="C481" s="940"/>
      <c r="D481" s="940"/>
      <c r="E481" s="940"/>
      <c r="F481" s="940"/>
      <c r="G481" s="940"/>
      <c r="H481" s="1466"/>
      <c r="I481" s="941"/>
      <c r="J481" s="941"/>
      <c r="K481" s="942"/>
      <c r="L481" s="1743"/>
      <c r="M481" s="942"/>
      <c r="N481" s="845"/>
      <c r="O481" s="845"/>
      <c r="P481" s="1704"/>
      <c r="Q481" s="1704"/>
      <c r="R481" s="1007"/>
      <c r="S481" s="942"/>
      <c r="T481" s="942"/>
      <c r="U481" s="942"/>
      <c r="V481" s="947"/>
      <c r="W481" s="942"/>
      <c r="X481" s="942"/>
      <c r="Y481" s="1008"/>
      <c r="Z481" s="1010"/>
      <c r="AA481" s="946"/>
      <c r="AB481" s="1467"/>
      <c r="AC481" s="1467"/>
      <c r="AD481" s="1467"/>
      <c r="AE481" s="1469"/>
      <c r="AF481" s="1467"/>
      <c r="AG481" s="1470"/>
      <c r="AH481" s="1471"/>
      <c r="AI481" s="1471"/>
      <c r="AJ481" s="1471"/>
    </row>
    <row r="482" spans="2:37" s="1571" customFormat="1">
      <c r="D482" s="940"/>
      <c r="E482" s="940"/>
      <c r="F482" s="940"/>
      <c r="G482" s="940"/>
      <c r="H482" s="1466"/>
      <c r="I482" s="941"/>
      <c r="J482" s="941"/>
      <c r="K482" s="942"/>
      <c r="L482" s="1006"/>
      <c r="M482" s="942"/>
      <c r="N482" s="845"/>
      <c r="O482" s="845"/>
      <c r="P482" s="1704"/>
      <c r="Q482" s="1704"/>
      <c r="R482" s="1007"/>
      <c r="S482" s="942"/>
      <c r="T482" s="942"/>
      <c r="U482" s="942"/>
      <c r="V482" s="947"/>
      <c r="W482" s="942"/>
      <c r="X482" s="942"/>
      <c r="Y482" s="1008"/>
      <c r="Z482" s="1010"/>
      <c r="AA482" s="946"/>
      <c r="AB482" s="1467"/>
      <c r="AC482" s="1467"/>
      <c r="AD482" s="1467"/>
      <c r="AE482" s="1469"/>
      <c r="AF482" s="1467"/>
      <c r="AG482" s="1470"/>
      <c r="AH482" s="1471"/>
      <c r="AI482" s="1471"/>
      <c r="AJ482" s="1471"/>
    </row>
    <row r="483" spans="2:37" s="1571" customFormat="1">
      <c r="D483" s="940"/>
      <c r="E483" s="940"/>
      <c r="F483" s="940"/>
      <c r="G483" s="940"/>
      <c r="H483" s="1466"/>
      <c r="I483" s="941"/>
      <c r="J483" s="941"/>
      <c r="K483" s="942"/>
      <c r="L483" s="1006"/>
      <c r="M483" s="942"/>
      <c r="N483" s="845"/>
      <c r="O483" s="845"/>
      <c r="P483" s="1704"/>
      <c r="Q483" s="1704"/>
      <c r="R483" s="1007"/>
      <c r="S483" s="942"/>
      <c r="T483" s="942"/>
      <c r="U483" s="942"/>
      <c r="V483" s="947"/>
      <c r="W483" s="942"/>
      <c r="X483" s="942"/>
      <c r="Y483" s="1008"/>
      <c r="Z483" s="1010"/>
      <c r="AA483" s="946"/>
      <c r="AB483" s="1467"/>
      <c r="AC483" s="1467"/>
      <c r="AD483" s="1467"/>
      <c r="AE483" s="1469"/>
      <c r="AF483" s="1467"/>
      <c r="AG483" s="1470"/>
      <c r="AH483" s="1471"/>
      <c r="AI483" s="1471"/>
      <c r="AJ483" s="1471"/>
    </row>
    <row r="484" spans="2:37" s="1473" customFormat="1" ht="22.5">
      <c r="B484" s="850" t="s">
        <v>822</v>
      </c>
      <c r="C484" s="1474"/>
      <c r="D484" s="1474"/>
      <c r="E484" s="1474"/>
      <c r="F484" s="1474"/>
      <c r="G484" s="1474"/>
      <c r="H484" s="1475"/>
      <c r="I484" s="1476"/>
      <c r="J484" s="1476"/>
      <c r="K484" s="1476"/>
      <c r="L484" s="1477"/>
      <c r="M484" s="1476"/>
      <c r="N484" s="851"/>
      <c r="O484" s="851"/>
      <c r="P484" s="1476"/>
      <c r="Q484" s="1476"/>
      <c r="R484" s="851"/>
      <c r="S484" s="1476"/>
      <c r="T484" s="1476"/>
      <c r="U484" s="1476"/>
      <c r="V484" s="1478"/>
      <c r="W484" s="1476"/>
      <c r="X484" s="1476"/>
      <c r="Y484" s="1476"/>
      <c r="Z484" s="1476"/>
      <c r="AA484" s="851"/>
      <c r="AB484" s="1476"/>
      <c r="AC484" s="1476"/>
      <c r="AD484" s="1476"/>
      <c r="AE484" s="1478"/>
      <c r="AF484" s="1476"/>
      <c r="AG484" s="1479"/>
      <c r="AH484" s="1476"/>
      <c r="AI484" s="1476"/>
      <c r="AJ484" s="1476"/>
    </row>
    <row r="485" spans="2:37" s="950" customFormat="1">
      <c r="B485" s="852" t="s">
        <v>238</v>
      </c>
      <c r="C485" s="853" t="s">
        <v>385</v>
      </c>
      <c r="D485" s="940"/>
      <c r="E485" s="940"/>
      <c r="F485" s="940"/>
      <c r="G485" s="940"/>
      <c r="H485" s="941"/>
      <c r="I485" s="942"/>
      <c r="J485" s="942"/>
      <c r="K485" s="943"/>
      <c r="L485" s="944"/>
      <c r="M485" s="945"/>
      <c r="N485" s="946"/>
      <c r="O485" s="845"/>
      <c r="P485" s="942"/>
      <c r="Q485" s="942"/>
      <c r="R485" s="845"/>
      <c r="S485" s="1467"/>
      <c r="T485" s="1467"/>
      <c r="U485" s="1467"/>
      <c r="V485" s="947"/>
      <c r="W485" s="942"/>
      <c r="X485" s="942"/>
      <c r="Y485" s="942"/>
      <c r="Z485" s="942"/>
      <c r="AA485" s="845"/>
      <c r="AB485" s="942"/>
      <c r="AC485" s="942"/>
      <c r="AD485" s="942"/>
      <c r="AE485" s="947"/>
      <c r="AF485" s="1519"/>
      <c r="AG485" s="948"/>
      <c r="AH485" s="949"/>
      <c r="AI485" s="949"/>
      <c r="AJ485" s="949"/>
    </row>
    <row r="486" spans="2:37" s="950" customFormat="1">
      <c r="B486" s="854" t="s">
        <v>82</v>
      </c>
      <c r="C486" s="855" t="s">
        <v>386</v>
      </c>
      <c r="D486" s="940"/>
      <c r="E486" s="940"/>
      <c r="F486" s="940"/>
      <c r="G486" s="940"/>
      <c r="H486" s="941"/>
      <c r="I486" s="942"/>
      <c r="J486" s="942"/>
      <c r="K486" s="1467"/>
      <c r="L486" s="1468"/>
      <c r="M486" s="1467"/>
      <c r="N486" s="845"/>
      <c r="O486" s="845"/>
      <c r="P486" s="942"/>
      <c r="Q486" s="942"/>
      <c r="R486" s="845"/>
      <c r="S486" s="1467"/>
      <c r="T486" s="1467"/>
      <c r="U486" s="1467"/>
      <c r="V486" s="947"/>
      <c r="W486" s="942"/>
      <c r="X486" s="942"/>
      <c r="Y486" s="942"/>
      <c r="Z486" s="942"/>
      <c r="AA486" s="845"/>
      <c r="AB486" s="942"/>
      <c r="AC486" s="942"/>
      <c r="AD486" s="942"/>
      <c r="AE486" s="947"/>
      <c r="AF486" s="1519"/>
      <c r="AG486" s="948"/>
      <c r="AH486" s="949"/>
      <c r="AI486" s="949"/>
      <c r="AJ486" s="949"/>
    </row>
    <row r="487" spans="2:37" s="950" customFormat="1">
      <c r="B487" s="854"/>
      <c r="C487" s="855"/>
      <c r="D487" s="940"/>
      <c r="E487" s="940"/>
      <c r="F487" s="940"/>
      <c r="G487" s="940"/>
      <c r="H487" s="941"/>
      <c r="I487" s="942"/>
      <c r="J487" s="942"/>
      <c r="K487" s="1467"/>
      <c r="L487" s="1468"/>
      <c r="M487" s="1467"/>
      <c r="N487" s="845"/>
      <c r="O487" s="845"/>
      <c r="P487" s="942"/>
      <c r="Q487" s="942"/>
      <c r="R487" s="845"/>
      <c r="S487" s="1467"/>
      <c r="T487" s="1467"/>
      <c r="U487" s="1467"/>
      <c r="V487" s="947"/>
      <c r="W487" s="942"/>
      <c r="X487" s="942"/>
      <c r="Y487" s="942"/>
      <c r="Z487" s="942"/>
      <c r="AA487" s="845"/>
      <c r="AB487" s="942"/>
      <c r="AC487" s="942"/>
      <c r="AD487" s="942"/>
      <c r="AE487" s="947"/>
      <c r="AF487" s="1519"/>
      <c r="AG487" s="948"/>
      <c r="AH487" s="949"/>
      <c r="AI487" s="949"/>
      <c r="AJ487" s="949"/>
    </row>
    <row r="488" spans="2:37">
      <c r="E488" s="1465"/>
      <c r="F488" s="1465"/>
      <c r="G488" s="1465"/>
      <c r="H488" s="1466"/>
      <c r="I488" s="1466"/>
      <c r="J488" s="1466"/>
      <c r="K488" s="1467"/>
      <c r="L488" s="1468"/>
      <c r="N488" s="845"/>
      <c r="R488" s="845"/>
      <c r="S488" s="1467"/>
      <c r="V488" s="1469"/>
      <c r="X488" s="1467"/>
      <c r="AA488" s="845"/>
      <c r="AB488" s="1467"/>
      <c r="AD488" s="1467"/>
      <c r="AE488" s="1469"/>
      <c r="AF488" s="1467"/>
      <c r="AG488" s="1470"/>
      <c r="AH488" s="1471"/>
      <c r="AI488" s="1471"/>
      <c r="AJ488" s="1471"/>
    </row>
    <row r="489" spans="2:37" s="1571" customFormat="1" ht="18" customHeight="1">
      <c r="B489" s="2220" t="s">
        <v>32</v>
      </c>
      <c r="C489" s="2220" t="s">
        <v>31</v>
      </c>
      <c r="D489" s="2220" t="s">
        <v>30</v>
      </c>
      <c r="E489" s="2220" t="s">
        <v>242</v>
      </c>
      <c r="F489" s="2220"/>
      <c r="G489" s="2220"/>
      <c r="H489" s="2210" t="s">
        <v>29</v>
      </c>
      <c r="I489" s="2210"/>
      <c r="J489" s="2210"/>
      <c r="K489" s="2220" t="s">
        <v>387</v>
      </c>
      <c r="L489" s="2220"/>
      <c r="M489" s="2220"/>
      <c r="N489" s="2220"/>
      <c r="O489" s="2220"/>
      <c r="P489" s="2220"/>
      <c r="Q489" s="2220"/>
      <c r="R489" s="2220"/>
      <c r="S489" s="2220"/>
      <c r="T489" s="2220"/>
      <c r="U489" s="2220"/>
      <c r="V489" s="2220"/>
      <c r="W489" s="2220"/>
      <c r="X489" s="2220"/>
      <c r="Y489" s="2220" t="s">
        <v>27</v>
      </c>
      <c r="Z489" s="2220"/>
      <c r="AA489" s="2220"/>
      <c r="AB489" s="2220"/>
      <c r="AC489" s="2220"/>
      <c r="AD489" s="2220"/>
      <c r="AE489" s="2220"/>
      <c r="AF489" s="2220"/>
      <c r="AG489" s="1470"/>
      <c r="AH489" s="1043" t="s">
        <v>244</v>
      </c>
      <c r="AI489" s="1043" t="s">
        <v>245</v>
      </c>
      <c r="AJ489" s="1043" t="s">
        <v>246</v>
      </c>
      <c r="AK489" s="1044"/>
    </row>
    <row r="490" spans="2:37" s="1571" customFormat="1" ht="50.25" customHeight="1">
      <c r="B490" s="2220"/>
      <c r="C490" s="2220"/>
      <c r="D490" s="2220"/>
      <c r="E490" s="1042" t="s">
        <v>247</v>
      </c>
      <c r="F490" s="1042" t="s">
        <v>248</v>
      </c>
      <c r="G490" s="1042" t="s">
        <v>249</v>
      </c>
      <c r="H490" s="1045" t="s">
        <v>26</v>
      </c>
      <c r="I490" s="1045" t="s">
        <v>25</v>
      </c>
      <c r="J490" s="1045" t="s">
        <v>250</v>
      </c>
      <c r="K490" s="1046" t="s">
        <v>23</v>
      </c>
      <c r="L490" s="1047" t="s">
        <v>22</v>
      </c>
      <c r="M490" s="1046" t="s">
        <v>21</v>
      </c>
      <c r="N490" s="1013" t="s">
        <v>20</v>
      </c>
      <c r="O490" s="1013" t="s">
        <v>19</v>
      </c>
      <c r="P490" s="1046" t="s">
        <v>18</v>
      </c>
      <c r="Q490" s="1046" t="s">
        <v>17</v>
      </c>
      <c r="R490" s="1013" t="s">
        <v>16</v>
      </c>
      <c r="S490" s="1045" t="s">
        <v>15</v>
      </c>
      <c r="T490" s="1046" t="s">
        <v>14</v>
      </c>
      <c r="U490" s="1046" t="s">
        <v>13</v>
      </c>
      <c r="V490" s="1048" t="s">
        <v>12</v>
      </c>
      <c r="W490" s="1049" t="s">
        <v>3</v>
      </c>
      <c r="X490" s="1049" t="s">
        <v>11</v>
      </c>
      <c r="Y490" s="1049" t="s">
        <v>10</v>
      </c>
      <c r="Z490" s="1045" t="s">
        <v>9</v>
      </c>
      <c r="AA490" s="1050" t="s">
        <v>8</v>
      </c>
      <c r="AB490" s="1049" t="s">
        <v>7</v>
      </c>
      <c r="AC490" s="1049" t="s">
        <v>6</v>
      </c>
      <c r="AD490" s="1049" t="s">
        <v>5</v>
      </c>
      <c r="AE490" s="1051" t="s">
        <v>4</v>
      </c>
      <c r="AF490" s="1049" t="s">
        <v>3</v>
      </c>
      <c r="AG490" s="1470"/>
      <c r="AH490" s="1052"/>
      <c r="AI490" s="1052"/>
      <c r="AJ490" s="1052"/>
      <c r="AK490" s="1053"/>
    </row>
    <row r="491" spans="2:37" s="1744" customFormat="1" ht="18" customHeight="1">
      <c r="B491" s="1054" t="s">
        <v>388</v>
      </c>
      <c r="C491" s="1054" t="s">
        <v>834</v>
      </c>
      <c r="D491" s="1054" t="s">
        <v>389</v>
      </c>
      <c r="E491" s="1054"/>
      <c r="F491" s="1054"/>
      <c r="G491" s="1054"/>
      <c r="H491" s="1055">
        <v>10749814.630000001</v>
      </c>
      <c r="I491" s="1056">
        <v>6272107.6299999999</v>
      </c>
      <c r="J491" s="1056">
        <v>4477707</v>
      </c>
      <c r="K491" s="987">
        <v>12851511</v>
      </c>
      <c r="L491" s="1057">
        <f>H491/K491</f>
        <v>0.83646309216091408</v>
      </c>
      <c r="M491" s="987">
        <v>889005</v>
      </c>
      <c r="N491" s="986">
        <f t="shared" ref="N491:N498" si="245">M491/K491</f>
        <v>6.9175134348015574E-2</v>
      </c>
      <c r="O491" s="986">
        <f t="shared" ref="O491:O498" si="246">P491/M491</f>
        <v>5.6442877149172392E-2</v>
      </c>
      <c r="P491" s="987">
        <v>50178</v>
      </c>
      <c r="Q491" s="987">
        <v>31263</v>
      </c>
      <c r="R491" s="986">
        <f t="shared" ref="R491:R498" si="247">Q491/P491</f>
        <v>0.62304197058471844</v>
      </c>
      <c r="S491" s="987">
        <f t="shared" ref="S491:S498" si="248">H491/P491</f>
        <v>214.23362090956198</v>
      </c>
      <c r="T491" s="987">
        <f t="shared" ref="T491:T498" si="249">H491/Q491</f>
        <v>343.85102613312864</v>
      </c>
      <c r="U491" s="987">
        <v>31263000</v>
      </c>
      <c r="V491" s="988">
        <v>2.9</v>
      </c>
      <c r="W491" s="987">
        <v>1400</v>
      </c>
      <c r="X491" s="2221">
        <v>1000</v>
      </c>
      <c r="Y491" s="987">
        <v>2637</v>
      </c>
      <c r="Z491" s="987">
        <v>1727</v>
      </c>
      <c r="AA491" s="986">
        <f t="shared" ref="AA491:AA498" si="250">Z491/Y491</f>
        <v>0.65491088357982552</v>
      </c>
      <c r="AB491" s="987">
        <f t="shared" ref="AB491:AB498" si="251">H491/Y491</f>
        <v>4076.5319036784226</v>
      </c>
      <c r="AC491" s="987">
        <f t="shared" ref="AC491:AC498" si="252">H491/Z491</f>
        <v>6224.559716270991</v>
      </c>
      <c r="AD491" s="987">
        <f>Z491*AF491</f>
        <v>2417800</v>
      </c>
      <c r="AE491" s="989">
        <f t="shared" ref="AE491:AE498" si="253">AD491/H491</f>
        <v>0.22491550628720003</v>
      </c>
      <c r="AF491" s="987">
        <v>1400</v>
      </c>
      <c r="AG491" s="1032" t="s">
        <v>288</v>
      </c>
      <c r="AH491" s="1058"/>
      <c r="AI491" s="1058"/>
      <c r="AJ491" s="1058"/>
      <c r="AK491" s="1059"/>
    </row>
    <row r="492" spans="2:37" s="1683" customFormat="1" ht="18" customHeight="1">
      <c r="B492" s="1054" t="s">
        <v>390</v>
      </c>
      <c r="C492" s="1054" t="s">
        <v>835</v>
      </c>
      <c r="D492" s="1054" t="s">
        <v>391</v>
      </c>
      <c r="E492" s="1054"/>
      <c r="F492" s="1054"/>
      <c r="G492" s="1054"/>
      <c r="H492" s="1055">
        <v>3386826.92</v>
      </c>
      <c r="I492" s="1056">
        <v>1810938.92</v>
      </c>
      <c r="J492" s="1056">
        <v>1575888</v>
      </c>
      <c r="K492" s="987">
        <v>5750147</v>
      </c>
      <c r="L492" s="1057">
        <f t="shared" ref="L492:L498" si="254">H492/K492</f>
        <v>0.58899831952122261</v>
      </c>
      <c r="M492" s="1060">
        <v>377750</v>
      </c>
      <c r="N492" s="986">
        <f t="shared" si="245"/>
        <v>6.5693972693219846E-2</v>
      </c>
      <c r="O492" s="986">
        <f t="shared" si="246"/>
        <v>3.2873593646591662E-2</v>
      </c>
      <c r="P492" s="987">
        <v>12418</v>
      </c>
      <c r="Q492" s="987">
        <v>8932</v>
      </c>
      <c r="R492" s="986">
        <f t="shared" si="247"/>
        <v>0.71927846674182638</v>
      </c>
      <c r="S492" s="987">
        <f t="shared" si="248"/>
        <v>272.73529714929941</v>
      </c>
      <c r="T492" s="987">
        <f t="shared" si="249"/>
        <v>379.17901030004475</v>
      </c>
      <c r="U492" s="987">
        <v>8932000</v>
      </c>
      <c r="V492" s="988">
        <v>2.6</v>
      </c>
      <c r="W492" s="987">
        <v>1300</v>
      </c>
      <c r="X492" s="2221"/>
      <c r="Y492" s="987">
        <v>809</v>
      </c>
      <c r="Z492" s="987">
        <v>670</v>
      </c>
      <c r="AA492" s="986">
        <f t="shared" si="250"/>
        <v>0.82818294190358466</v>
      </c>
      <c r="AB492" s="987">
        <f t="shared" si="251"/>
        <v>4186.4362422744125</v>
      </c>
      <c r="AC492" s="987">
        <f t="shared" si="252"/>
        <v>5054.9655522388057</v>
      </c>
      <c r="AD492" s="987">
        <f t="shared" ref="AD492:AD498" si="255">Z492*AF492</f>
        <v>871000</v>
      </c>
      <c r="AE492" s="989">
        <f t="shared" si="253"/>
        <v>0.25717287023335694</v>
      </c>
      <c r="AF492" s="987">
        <v>1300</v>
      </c>
      <c r="AG492" s="404" t="s">
        <v>392</v>
      </c>
      <c r="AH492" s="1058"/>
      <c r="AI492" s="1058"/>
      <c r="AJ492" s="1058"/>
      <c r="AK492" s="1059"/>
    </row>
    <row r="493" spans="2:37" s="1683" customFormat="1" ht="18" customHeight="1">
      <c r="B493" s="1054" t="s">
        <v>393</v>
      </c>
      <c r="C493" s="1054" t="s">
        <v>836</v>
      </c>
      <c r="D493" s="1054" t="s">
        <v>394</v>
      </c>
      <c r="E493" s="1054"/>
      <c r="F493" s="1054"/>
      <c r="G493" s="1054"/>
      <c r="H493" s="1055">
        <v>1542858.07</v>
      </c>
      <c r="I493" s="1056">
        <v>784298.07</v>
      </c>
      <c r="J493" s="1056">
        <v>758560</v>
      </c>
      <c r="K493" s="987">
        <v>3482233</v>
      </c>
      <c r="L493" s="1057">
        <f t="shared" si="254"/>
        <v>0.44306571961152513</v>
      </c>
      <c r="M493" s="987">
        <v>387613</v>
      </c>
      <c r="N493" s="986">
        <f t="shared" si="245"/>
        <v>0.11131162102019021</v>
      </c>
      <c r="O493" s="986">
        <f t="shared" si="246"/>
        <v>4.3288021815573778E-2</v>
      </c>
      <c r="P493" s="987">
        <v>16779</v>
      </c>
      <c r="Q493" s="987">
        <v>12076</v>
      </c>
      <c r="R493" s="986">
        <f t="shared" si="247"/>
        <v>0.71970916025984866</v>
      </c>
      <c r="S493" s="987">
        <f t="shared" si="248"/>
        <v>91.951729542880983</v>
      </c>
      <c r="T493" s="987">
        <f t="shared" si="249"/>
        <v>127.76234431931104</v>
      </c>
      <c r="U493" s="987">
        <v>12076000</v>
      </c>
      <c r="V493" s="988">
        <v>7.8</v>
      </c>
      <c r="W493" s="987">
        <v>360</v>
      </c>
      <c r="X493" s="2221"/>
      <c r="Y493" s="987">
        <v>1625</v>
      </c>
      <c r="Z493" s="987">
        <v>1330</v>
      </c>
      <c r="AA493" s="986">
        <f t="shared" si="250"/>
        <v>0.81846153846153846</v>
      </c>
      <c r="AB493" s="987">
        <f t="shared" si="251"/>
        <v>949.45112000000006</v>
      </c>
      <c r="AC493" s="987">
        <f t="shared" si="252"/>
        <v>1160.0436616541353</v>
      </c>
      <c r="AD493" s="987">
        <f t="shared" si="255"/>
        <v>478800</v>
      </c>
      <c r="AE493" s="989">
        <f t="shared" si="253"/>
        <v>0.31033314684609969</v>
      </c>
      <c r="AF493" s="987">
        <v>360</v>
      </c>
      <c r="AG493" s="1061"/>
      <c r="AH493" s="1058"/>
      <c r="AI493" s="1058"/>
      <c r="AJ493" s="1058"/>
      <c r="AK493" s="1062"/>
    </row>
    <row r="494" spans="2:37" s="1683" customFormat="1" ht="18" customHeight="1">
      <c r="B494" s="1054" t="s">
        <v>393</v>
      </c>
      <c r="C494" s="1054" t="s">
        <v>837</v>
      </c>
      <c r="D494" s="1054" t="s">
        <v>395</v>
      </c>
      <c r="E494" s="1054"/>
      <c r="F494" s="1054"/>
      <c r="G494" s="1054"/>
      <c r="H494" s="1055">
        <f>I494+J494</f>
        <v>19743871.43</v>
      </c>
      <c r="I494" s="1056">
        <f>AI494+AJ494</f>
        <v>11933670.43</v>
      </c>
      <c r="J494" s="1056">
        <f>AH494</f>
        <v>7810201</v>
      </c>
      <c r="K494" s="987">
        <v>16310476</v>
      </c>
      <c r="L494" s="1057">
        <f t="shared" si="254"/>
        <v>1.2105024666355537</v>
      </c>
      <c r="M494" s="987">
        <v>1580375</v>
      </c>
      <c r="N494" s="986">
        <f t="shared" si="245"/>
        <v>9.6893248241191735E-2</v>
      </c>
      <c r="O494" s="986">
        <f t="shared" si="246"/>
        <v>4.1457249070631967E-2</v>
      </c>
      <c r="P494" s="987">
        <v>65518</v>
      </c>
      <c r="Q494" s="987">
        <v>47743</v>
      </c>
      <c r="R494" s="986">
        <f t="shared" si="247"/>
        <v>0.72870050978357093</v>
      </c>
      <c r="S494" s="987">
        <f t="shared" si="248"/>
        <v>301.3503377697732</v>
      </c>
      <c r="T494" s="987">
        <f t="shared" si="249"/>
        <v>413.54484280418069</v>
      </c>
      <c r="U494" s="987">
        <v>47743000</v>
      </c>
      <c r="V494" s="988">
        <v>2.4</v>
      </c>
      <c r="W494" s="987">
        <v>720</v>
      </c>
      <c r="X494" s="2221"/>
      <c r="Y494" s="987">
        <v>4356</v>
      </c>
      <c r="Z494" s="987">
        <v>3265</v>
      </c>
      <c r="AA494" s="986">
        <f t="shared" si="250"/>
        <v>0.74954086317722679</v>
      </c>
      <c r="AB494" s="987">
        <f t="shared" si="251"/>
        <v>4532.5691988062445</v>
      </c>
      <c r="AC494" s="987">
        <f t="shared" si="252"/>
        <v>6047.1275436447168</v>
      </c>
      <c r="AD494" s="987">
        <f t="shared" si="255"/>
        <v>2350800</v>
      </c>
      <c r="AE494" s="989">
        <f t="shared" si="253"/>
        <v>0.11906479478123304</v>
      </c>
      <c r="AF494" s="987">
        <v>720</v>
      </c>
      <c r="AG494" s="1032" t="s">
        <v>282</v>
      </c>
      <c r="AH494" s="1058">
        <v>7810201</v>
      </c>
      <c r="AI494" s="1058">
        <v>2165335</v>
      </c>
      <c r="AJ494" s="1058">
        <v>9768335.4299999997</v>
      </c>
      <c r="AK494" s="1063" t="s">
        <v>396</v>
      </c>
    </row>
    <row r="495" spans="2:37" s="1683" customFormat="1" ht="18" customHeight="1">
      <c r="B495" s="1054" t="s">
        <v>393</v>
      </c>
      <c r="C495" s="1054" t="s">
        <v>838</v>
      </c>
      <c r="D495" s="1054" t="s">
        <v>395</v>
      </c>
      <c r="E495" s="1054"/>
      <c r="F495" s="1054"/>
      <c r="G495" s="1054"/>
      <c r="H495" s="1055">
        <f t="shared" ref="H495:H498" si="256">I495+J495</f>
        <v>7517742.1299999999</v>
      </c>
      <c r="I495" s="1056">
        <f t="shared" ref="I495:I497" si="257">AI495+AJ495</f>
        <v>4024821.13</v>
      </c>
      <c r="J495" s="1056">
        <f t="shared" ref="J495:J497" si="258">AH495</f>
        <v>3492921</v>
      </c>
      <c r="K495" s="987">
        <v>12775443</v>
      </c>
      <c r="L495" s="1057">
        <f t="shared" si="254"/>
        <v>0.58845255933590712</v>
      </c>
      <c r="M495" s="987">
        <v>1065327</v>
      </c>
      <c r="N495" s="986">
        <f t="shared" si="245"/>
        <v>8.3388654311243843E-2</v>
      </c>
      <c r="O495" s="986">
        <f t="shared" si="246"/>
        <v>3.8367562260226203E-2</v>
      </c>
      <c r="P495" s="987">
        <v>40874</v>
      </c>
      <c r="Q495" s="987">
        <v>30307</v>
      </c>
      <c r="R495" s="986">
        <f t="shared" si="247"/>
        <v>0.74147379752409848</v>
      </c>
      <c r="S495" s="987">
        <f t="shared" si="248"/>
        <v>183.92479644761951</v>
      </c>
      <c r="T495" s="987">
        <f t="shared" si="249"/>
        <v>248.05299534760945</v>
      </c>
      <c r="U495" s="987">
        <v>30307000</v>
      </c>
      <c r="V495" s="988">
        <v>4</v>
      </c>
      <c r="W495" s="987">
        <v>990</v>
      </c>
      <c r="X495" s="2221"/>
      <c r="Y495" s="987">
        <v>3783</v>
      </c>
      <c r="Z495" s="987">
        <v>2819</v>
      </c>
      <c r="AA495" s="986">
        <f t="shared" si="250"/>
        <v>0.74517578641289983</v>
      </c>
      <c r="AB495" s="987">
        <f t="shared" si="251"/>
        <v>1987.2434919376155</v>
      </c>
      <c r="AC495" s="987">
        <f t="shared" si="252"/>
        <v>2666.8116814473219</v>
      </c>
      <c r="AD495" s="987">
        <f t="shared" si="255"/>
        <v>2790810</v>
      </c>
      <c r="AE495" s="989">
        <f t="shared" si="253"/>
        <v>0.37122981232132263</v>
      </c>
      <c r="AF495" s="987">
        <v>990</v>
      </c>
      <c r="AG495" s="1032" t="s">
        <v>290</v>
      </c>
      <c r="AH495" s="1058">
        <v>3492921</v>
      </c>
      <c r="AI495" s="1058">
        <v>886044</v>
      </c>
      <c r="AJ495" s="1058">
        <v>3138777.13</v>
      </c>
      <c r="AK495" s="1063" t="s">
        <v>396</v>
      </c>
    </row>
    <row r="496" spans="2:37" s="1683" customFormat="1" ht="18" customHeight="1">
      <c r="B496" s="1054" t="s">
        <v>397</v>
      </c>
      <c r="C496" s="1054" t="s">
        <v>809</v>
      </c>
      <c r="D496" s="1054" t="s">
        <v>398</v>
      </c>
      <c r="E496" s="1054"/>
      <c r="F496" s="1054"/>
      <c r="G496" s="1054"/>
      <c r="H496" s="1055">
        <f t="shared" si="256"/>
        <v>3917034.7199999997</v>
      </c>
      <c r="I496" s="1056">
        <f t="shared" si="257"/>
        <v>2255168.7199999997</v>
      </c>
      <c r="J496" s="1056">
        <f t="shared" si="258"/>
        <v>1661866</v>
      </c>
      <c r="K496" s="987">
        <v>2490024</v>
      </c>
      <c r="L496" s="1057">
        <f t="shared" si="254"/>
        <v>1.5730911509286656</v>
      </c>
      <c r="M496" s="987">
        <v>214304</v>
      </c>
      <c r="N496" s="986">
        <f t="shared" si="245"/>
        <v>8.6065033911319727E-2</v>
      </c>
      <c r="O496" s="986">
        <f t="shared" si="246"/>
        <v>4.4021576825444227E-2</v>
      </c>
      <c r="P496" s="987">
        <v>9434</v>
      </c>
      <c r="Q496" s="987">
        <v>6525</v>
      </c>
      <c r="R496" s="986">
        <f t="shared" si="247"/>
        <v>0.69164723341106638</v>
      </c>
      <c r="S496" s="987">
        <f t="shared" si="248"/>
        <v>415.20401950392198</v>
      </c>
      <c r="T496" s="987">
        <f t="shared" si="249"/>
        <v>600.31183448275863</v>
      </c>
      <c r="U496" s="987">
        <v>6525000</v>
      </c>
      <c r="V496" s="988">
        <v>1.7</v>
      </c>
      <c r="W496" s="987">
        <v>930</v>
      </c>
      <c r="X496" s="2221"/>
      <c r="Y496" s="987">
        <v>1221</v>
      </c>
      <c r="Z496" s="987">
        <v>839</v>
      </c>
      <c r="AA496" s="986">
        <f t="shared" si="250"/>
        <v>0.68714168714168711</v>
      </c>
      <c r="AB496" s="987">
        <f t="shared" si="251"/>
        <v>3208.0546437346434</v>
      </c>
      <c r="AC496" s="987">
        <f t="shared" si="252"/>
        <v>4668.6945411203815</v>
      </c>
      <c r="AD496" s="987">
        <f t="shared" si="255"/>
        <v>780270</v>
      </c>
      <c r="AE496" s="989">
        <f t="shared" si="253"/>
        <v>0.19919915338406805</v>
      </c>
      <c r="AF496" s="987">
        <v>930</v>
      </c>
      <c r="AG496" s="1032" t="s">
        <v>290</v>
      </c>
      <c r="AH496" s="1058">
        <v>1661866</v>
      </c>
      <c r="AI496" s="1058">
        <v>915842</v>
      </c>
      <c r="AJ496" s="1058">
        <v>1339326.72</v>
      </c>
      <c r="AK496" s="1063" t="s">
        <v>399</v>
      </c>
    </row>
    <row r="497" spans="2:37" s="1683" customFormat="1" ht="18" customHeight="1">
      <c r="B497" s="1054" t="s">
        <v>397</v>
      </c>
      <c r="C497" s="1054" t="s">
        <v>839</v>
      </c>
      <c r="D497" s="1054" t="s">
        <v>398</v>
      </c>
      <c r="E497" s="1054"/>
      <c r="F497" s="1054"/>
      <c r="G497" s="1054"/>
      <c r="H497" s="1055">
        <f t="shared" si="256"/>
        <v>3474421.36</v>
      </c>
      <c r="I497" s="1056">
        <f t="shared" si="257"/>
        <v>1887048.3599999999</v>
      </c>
      <c r="J497" s="1056">
        <f t="shared" si="258"/>
        <v>1587373</v>
      </c>
      <c r="K497" s="987">
        <v>4411662</v>
      </c>
      <c r="L497" s="1057">
        <f t="shared" si="254"/>
        <v>0.78755384252012051</v>
      </c>
      <c r="M497" s="987">
        <v>282476</v>
      </c>
      <c r="N497" s="986">
        <f t="shared" si="245"/>
        <v>6.4029383937391396E-2</v>
      </c>
      <c r="O497" s="986">
        <f t="shared" si="246"/>
        <v>3.957504354352228E-2</v>
      </c>
      <c r="P497" s="987">
        <v>11179</v>
      </c>
      <c r="Q497" s="987">
        <v>8703</v>
      </c>
      <c r="R497" s="986">
        <f t="shared" si="247"/>
        <v>0.77851328383576346</v>
      </c>
      <c r="S497" s="987">
        <f t="shared" si="248"/>
        <v>310.7989408712765</v>
      </c>
      <c r="T497" s="987">
        <f t="shared" si="249"/>
        <v>399.22111455819828</v>
      </c>
      <c r="U497" s="987">
        <v>8703000</v>
      </c>
      <c r="V497" s="988">
        <v>2.5</v>
      </c>
      <c r="W497" s="987">
        <v>550</v>
      </c>
      <c r="X497" s="2221"/>
      <c r="Y497" s="987">
        <v>1435</v>
      </c>
      <c r="Z497" s="987">
        <v>1119</v>
      </c>
      <c r="AA497" s="986">
        <f t="shared" si="250"/>
        <v>0.77979094076655053</v>
      </c>
      <c r="AB497" s="987">
        <f t="shared" si="251"/>
        <v>2421.1995540069684</v>
      </c>
      <c r="AC497" s="987">
        <f t="shared" si="252"/>
        <v>3104.9341912421805</v>
      </c>
      <c r="AD497" s="987">
        <f t="shared" si="255"/>
        <v>615450</v>
      </c>
      <c r="AE497" s="989">
        <f t="shared" si="253"/>
        <v>0.1771374097239605</v>
      </c>
      <c r="AF497" s="987">
        <v>550</v>
      </c>
      <c r="AG497" s="1032" t="s">
        <v>257</v>
      </c>
      <c r="AH497" s="1058">
        <v>1587373</v>
      </c>
      <c r="AI497" s="1058">
        <v>1140000</v>
      </c>
      <c r="AJ497" s="1058">
        <v>747048.36</v>
      </c>
      <c r="AK497" s="1063" t="s">
        <v>399</v>
      </c>
    </row>
    <row r="498" spans="2:37" s="1683" customFormat="1" ht="18" customHeight="1">
      <c r="B498" s="1064"/>
      <c r="C498" s="2219" t="s">
        <v>0</v>
      </c>
      <c r="D498" s="2219"/>
      <c r="E498" s="1065"/>
      <c r="F498" s="1065"/>
      <c r="G498" s="1065"/>
      <c r="H498" s="1066">
        <f t="shared" si="256"/>
        <v>50332569.25999999</v>
      </c>
      <c r="I498" s="1067">
        <f>SUM(I491:I497)</f>
        <v>28968053.259999994</v>
      </c>
      <c r="J498" s="1067">
        <f>SUM(J491:J497)</f>
        <v>21364516</v>
      </c>
      <c r="K498" s="1067">
        <f>SUM(K491:K497)</f>
        <v>58071496</v>
      </c>
      <c r="L498" s="1068">
        <f t="shared" si="254"/>
        <v>0.86673450361946924</v>
      </c>
      <c r="M498" s="1067">
        <f>SUM(M491:M497)</f>
        <v>4796850</v>
      </c>
      <c r="N498" s="1069">
        <f t="shared" si="245"/>
        <v>8.2602487113471304E-2</v>
      </c>
      <c r="O498" s="1069">
        <f t="shared" si="246"/>
        <v>4.3024067877878193E-2</v>
      </c>
      <c r="P498" s="1067">
        <f>SUM(P491:P497)</f>
        <v>206380</v>
      </c>
      <c r="Q498" s="1067">
        <f>SUM(Q491:Q497)</f>
        <v>145549</v>
      </c>
      <c r="R498" s="1069">
        <f t="shared" si="247"/>
        <v>0.70524760151177435</v>
      </c>
      <c r="S498" s="1070">
        <f t="shared" si="248"/>
        <v>243.8829792615563</v>
      </c>
      <c r="T498" s="1070">
        <f t="shared" si="249"/>
        <v>345.81185209104831</v>
      </c>
      <c r="U498" s="1070">
        <v>145549000</v>
      </c>
      <c r="V498" s="1071">
        <v>2.9</v>
      </c>
      <c r="W498" s="1070">
        <f>X491</f>
        <v>1000</v>
      </c>
      <c r="X498" s="1070"/>
      <c r="Y498" s="1067">
        <f>SUM(Y491:Y497)</f>
        <v>15866</v>
      </c>
      <c r="Z498" s="1067">
        <f>SUM(Z491:Z497)</f>
        <v>11769</v>
      </c>
      <c r="AA498" s="1069">
        <f t="shared" si="250"/>
        <v>0.74177486449010466</v>
      </c>
      <c r="AB498" s="1072">
        <f t="shared" si="251"/>
        <v>3172.354043867389</v>
      </c>
      <c r="AC498" s="1072">
        <f t="shared" si="252"/>
        <v>4276.7073889030498</v>
      </c>
      <c r="AD498" s="1070">
        <f t="shared" si="255"/>
        <v>11769000</v>
      </c>
      <c r="AE498" s="1073">
        <f t="shared" si="253"/>
        <v>0.23382474157449762</v>
      </c>
      <c r="AF498" s="1070">
        <v>1000</v>
      </c>
      <c r="AG498" s="347"/>
      <c r="AH498" s="1058"/>
      <c r="AI498" s="1058"/>
      <c r="AJ498" s="1058"/>
      <c r="AK498" s="1059"/>
    </row>
    <row r="499" spans="2:37" ht="18" customHeight="1">
      <c r="B499" s="1053"/>
      <c r="C499" s="400"/>
      <c r="D499" s="400"/>
      <c r="E499" s="400"/>
      <c r="F499" s="400"/>
      <c r="G499" s="400"/>
      <c r="H499" s="1074"/>
      <c r="I499" s="1074"/>
      <c r="J499" s="1074"/>
      <c r="K499" s="1075"/>
      <c r="L499" s="1076"/>
      <c r="N499" s="1033">
        <v>4.7E-2</v>
      </c>
      <c r="O499" s="1033">
        <v>4.8000000000000001E-2</v>
      </c>
      <c r="P499" s="1075"/>
      <c r="Q499" s="1075"/>
      <c r="R499" s="1077"/>
      <c r="S499" s="1075"/>
      <c r="T499" s="1075"/>
      <c r="U499" s="1075"/>
      <c r="V499" s="1078"/>
      <c r="W499" s="1075"/>
      <c r="X499" s="1075"/>
      <c r="Y499" s="1075"/>
      <c r="Z499" s="1075"/>
      <c r="AA499" s="1077"/>
      <c r="AB499" s="1075"/>
      <c r="AC499" s="1075"/>
      <c r="AD499" s="1075"/>
      <c r="AE499" s="1078"/>
      <c r="AF499" s="1075"/>
      <c r="AG499" s="347"/>
      <c r="AH499" s="1052"/>
      <c r="AI499" s="1052"/>
      <c r="AJ499" s="1052"/>
      <c r="AK499" s="1053"/>
    </row>
    <row r="500" spans="2:37" ht="18" customHeight="1">
      <c r="B500" s="1053"/>
      <c r="C500" s="400"/>
      <c r="D500" s="400"/>
      <c r="E500" s="400"/>
      <c r="F500" s="400"/>
      <c r="G500" s="400"/>
      <c r="H500" s="1074"/>
      <c r="I500" s="1074"/>
      <c r="J500" s="1074"/>
      <c r="K500" s="1075"/>
      <c r="L500" s="1076"/>
      <c r="N500" s="1033">
        <v>4.8000000000000001E-2</v>
      </c>
      <c r="O500" s="1033">
        <v>5.8000000000000003E-2</v>
      </c>
      <c r="P500" s="1075"/>
      <c r="Q500" s="1075"/>
      <c r="R500" s="1077"/>
      <c r="S500" s="1075"/>
      <c r="T500" s="1075"/>
      <c r="U500" s="1075"/>
      <c r="V500" s="1078"/>
      <c r="W500" s="1075"/>
      <c r="X500" s="1075"/>
      <c r="Y500" s="1075"/>
      <c r="Z500" s="1075"/>
      <c r="AA500" s="1077"/>
      <c r="AB500" s="1075"/>
      <c r="AC500" s="1075"/>
      <c r="AD500" s="1075"/>
      <c r="AE500" s="1078"/>
      <c r="AF500" s="1075"/>
      <c r="AG500" s="347"/>
      <c r="AH500" s="1052"/>
      <c r="AI500" s="1052"/>
      <c r="AJ500" s="1052"/>
      <c r="AK500" s="1053"/>
    </row>
    <row r="501" spans="2:37">
      <c r="E501" s="1465"/>
      <c r="F501" s="1465"/>
      <c r="G501" s="1465"/>
      <c r="H501" s="1466"/>
      <c r="I501" s="1466"/>
      <c r="J501" s="1466"/>
      <c r="K501" s="1467"/>
      <c r="L501" s="1468"/>
      <c r="N501" s="845"/>
      <c r="R501" s="845"/>
      <c r="S501" s="1467"/>
      <c r="V501" s="1469"/>
      <c r="X501" s="1467"/>
      <c r="AA501" s="845"/>
      <c r="AB501" s="1467"/>
      <c r="AD501" s="1467"/>
      <c r="AE501" s="1469"/>
      <c r="AF501" s="1467"/>
      <c r="AG501" s="1470"/>
      <c r="AH501" s="1471"/>
      <c r="AI501" s="1471"/>
      <c r="AJ501" s="1471"/>
    </row>
    <row r="502" spans="2:37">
      <c r="E502" s="1465"/>
      <c r="F502" s="1465"/>
      <c r="G502" s="1465"/>
      <c r="H502" s="1466"/>
      <c r="I502" s="1466"/>
      <c r="J502" s="1466"/>
      <c r="K502" s="1467"/>
      <c r="L502" s="1468"/>
      <c r="N502" s="845"/>
      <c r="R502" s="845"/>
      <c r="S502" s="1467"/>
      <c r="V502" s="1469"/>
      <c r="X502" s="1467"/>
      <c r="AA502" s="845"/>
      <c r="AB502" s="1467"/>
      <c r="AD502" s="1467"/>
      <c r="AE502" s="1469"/>
      <c r="AF502" s="1467"/>
      <c r="AG502" s="1470"/>
      <c r="AH502" s="1471"/>
      <c r="AI502" s="1471"/>
      <c r="AJ502" s="1471"/>
    </row>
    <row r="503" spans="2:37">
      <c r="E503" s="1465"/>
      <c r="F503" s="1465"/>
      <c r="G503" s="1465"/>
      <c r="H503" s="1466"/>
      <c r="I503" s="1466"/>
      <c r="J503" s="1466"/>
      <c r="K503" s="1467"/>
      <c r="L503" s="1468"/>
      <c r="N503" s="845"/>
      <c r="R503" s="845"/>
      <c r="S503" s="1467"/>
      <c r="V503" s="1469"/>
      <c r="X503" s="1467"/>
      <c r="AA503" s="845"/>
      <c r="AB503" s="1467"/>
      <c r="AD503" s="1467"/>
      <c r="AE503" s="1469"/>
      <c r="AF503" s="1467"/>
      <c r="AG503" s="1470"/>
      <c r="AH503" s="1471"/>
      <c r="AI503" s="1471"/>
      <c r="AJ503" s="1471"/>
    </row>
    <row r="504" spans="2:37">
      <c r="E504" s="1465"/>
      <c r="F504" s="1465"/>
      <c r="G504" s="1465"/>
      <c r="H504" s="1466"/>
      <c r="I504" s="1466"/>
      <c r="J504" s="1466"/>
      <c r="K504" s="1467"/>
      <c r="L504" s="1468"/>
      <c r="N504" s="845"/>
      <c r="R504" s="845"/>
      <c r="S504" s="1467"/>
      <c r="V504" s="1469"/>
      <c r="X504" s="1467"/>
      <c r="AA504" s="845"/>
      <c r="AB504" s="1467"/>
      <c r="AD504" s="1467"/>
      <c r="AE504" s="1469"/>
      <c r="AF504" s="1467"/>
      <c r="AG504" s="1470"/>
      <c r="AH504" s="1471"/>
      <c r="AI504" s="1471"/>
      <c r="AJ504" s="1471"/>
    </row>
    <row r="505" spans="2:37">
      <c r="E505" s="1465"/>
      <c r="F505" s="1465"/>
      <c r="G505" s="1465"/>
      <c r="H505" s="1466"/>
      <c r="I505" s="1466"/>
      <c r="J505" s="1466"/>
      <c r="K505" s="1467"/>
      <c r="L505" s="1468"/>
      <c r="N505" s="845"/>
      <c r="R505" s="845"/>
      <c r="S505" s="1467"/>
      <c r="V505" s="1469"/>
      <c r="X505" s="1467"/>
      <c r="AA505" s="845"/>
      <c r="AB505" s="1467"/>
      <c r="AD505" s="1467"/>
      <c r="AE505" s="1469"/>
      <c r="AF505" s="1467"/>
      <c r="AG505" s="1470"/>
      <c r="AH505" s="1471"/>
      <c r="AI505" s="1471"/>
      <c r="AJ505" s="1471"/>
    </row>
    <row r="506" spans="2:37" s="1473" customFormat="1" ht="22.5">
      <c r="B506" s="850" t="s">
        <v>822</v>
      </c>
      <c r="C506" s="1474"/>
      <c r="D506" s="1474"/>
      <c r="E506" s="1474"/>
      <c r="F506" s="1474"/>
      <c r="G506" s="1474"/>
      <c r="H506" s="1475"/>
      <c r="I506" s="1476"/>
      <c r="J506" s="1476"/>
      <c r="K506" s="1476"/>
      <c r="L506" s="1477"/>
      <c r="M506" s="1476"/>
      <c r="N506" s="851"/>
      <c r="O506" s="851"/>
      <c r="P506" s="1476"/>
      <c r="Q506" s="1476"/>
      <c r="R506" s="851"/>
      <c r="S506" s="1476"/>
      <c r="T506" s="1476"/>
      <c r="U506" s="1476"/>
      <c r="V506" s="1478"/>
      <c r="W506" s="1476"/>
      <c r="X506" s="1476"/>
      <c r="Y506" s="1476"/>
      <c r="Z506" s="1476"/>
      <c r="AA506" s="851"/>
      <c r="AB506" s="1476"/>
      <c r="AC506" s="1476"/>
      <c r="AD506" s="1476"/>
      <c r="AE506" s="1478"/>
      <c r="AF506" s="1476"/>
      <c r="AG506" s="1479"/>
      <c r="AH506" s="1476"/>
      <c r="AI506" s="1476"/>
      <c r="AJ506" s="1476"/>
    </row>
    <row r="507" spans="2:37" s="950" customFormat="1">
      <c r="B507" s="852" t="s">
        <v>238</v>
      </c>
      <c r="C507" s="853" t="s">
        <v>400</v>
      </c>
      <c r="D507" s="940"/>
      <c r="E507" s="940"/>
      <c r="F507" s="940"/>
      <c r="G507" s="940"/>
      <c r="H507" s="941"/>
      <c r="I507" s="942"/>
      <c r="J507" s="942"/>
      <c r="K507" s="943"/>
      <c r="L507" s="944"/>
      <c r="M507" s="945"/>
      <c r="N507" s="946"/>
      <c r="O507" s="845"/>
      <c r="P507" s="942"/>
      <c r="Q507" s="942"/>
      <c r="R507" s="845"/>
      <c r="S507" s="1467"/>
      <c r="T507" s="1467"/>
      <c r="U507" s="1467"/>
      <c r="V507" s="947"/>
      <c r="W507" s="942"/>
      <c r="X507" s="942"/>
      <c r="Y507" s="942"/>
      <c r="Z507" s="942"/>
      <c r="AA507" s="845"/>
      <c r="AB507" s="942"/>
      <c r="AC507" s="942"/>
      <c r="AD507" s="942"/>
      <c r="AE507" s="947"/>
      <c r="AF507" s="1519"/>
      <c r="AG507" s="948"/>
      <c r="AH507" s="949"/>
      <c r="AI507" s="949"/>
      <c r="AJ507" s="949"/>
    </row>
    <row r="508" spans="2:37" s="950" customFormat="1">
      <c r="B508" s="854" t="s">
        <v>82</v>
      </c>
      <c r="C508" s="855" t="s">
        <v>401</v>
      </c>
      <c r="D508" s="940"/>
      <c r="E508" s="940"/>
      <c r="F508" s="940"/>
      <c r="G508" s="940"/>
      <c r="H508" s="941"/>
      <c r="I508" s="942"/>
      <c r="J508" s="942"/>
      <c r="K508" s="1467"/>
      <c r="L508" s="1468"/>
      <c r="M508" s="1467"/>
      <c r="N508" s="845"/>
      <c r="O508" s="845"/>
      <c r="P508" s="942"/>
      <c r="Q508" s="942"/>
      <c r="R508" s="845"/>
      <c r="S508" s="1467"/>
      <c r="T508" s="1467"/>
      <c r="U508" s="1467"/>
      <c r="V508" s="947"/>
      <c r="W508" s="942"/>
      <c r="X508" s="942"/>
      <c r="Y508" s="942"/>
      <c r="Z508" s="942"/>
      <c r="AA508" s="845"/>
      <c r="AB508" s="942"/>
      <c r="AC508" s="942"/>
      <c r="AD508" s="942"/>
      <c r="AE508" s="947"/>
      <c r="AF508" s="1519"/>
      <c r="AG508" s="948"/>
      <c r="AH508" s="949"/>
      <c r="AI508" s="949"/>
      <c r="AJ508" s="949"/>
    </row>
    <row r="509" spans="2:37" s="950" customFormat="1">
      <c r="B509" s="854"/>
      <c r="C509" s="855"/>
      <c r="D509" s="940"/>
      <c r="E509" s="940"/>
      <c r="F509" s="940"/>
      <c r="G509" s="940"/>
      <c r="H509" s="941"/>
      <c r="I509" s="942"/>
      <c r="J509" s="942"/>
      <c r="K509" s="1467"/>
      <c r="L509" s="1468"/>
      <c r="M509" s="1467"/>
      <c r="N509" s="845"/>
      <c r="O509" s="845"/>
      <c r="P509" s="942"/>
      <c r="Q509" s="942"/>
      <c r="R509" s="845"/>
      <c r="S509" s="1467"/>
      <c r="T509" s="1467"/>
      <c r="U509" s="1467"/>
      <c r="V509" s="947"/>
      <c r="W509" s="942"/>
      <c r="X509" s="942"/>
      <c r="Y509" s="942"/>
      <c r="Z509" s="942"/>
      <c r="AA509" s="845"/>
      <c r="AB509" s="942"/>
      <c r="AC509" s="942"/>
      <c r="AD509" s="942"/>
      <c r="AE509" s="947"/>
      <c r="AF509" s="1519"/>
      <c r="AG509" s="948"/>
      <c r="AH509" s="949"/>
      <c r="AI509" s="949"/>
      <c r="AJ509" s="949"/>
    </row>
    <row r="510" spans="2:37">
      <c r="E510" s="1465"/>
      <c r="F510" s="1465"/>
      <c r="G510" s="1465"/>
      <c r="H510" s="1466"/>
      <c r="I510" s="1466"/>
      <c r="J510" s="1466"/>
      <c r="K510" s="1467"/>
      <c r="L510" s="1468"/>
      <c r="N510" s="845"/>
      <c r="R510" s="845"/>
      <c r="S510" s="1467"/>
      <c r="V510" s="1469"/>
      <c r="X510" s="1467"/>
      <c r="AA510" s="845"/>
      <c r="AB510" s="1467"/>
      <c r="AD510" s="1467"/>
      <c r="AE510" s="1469"/>
      <c r="AF510" s="1467"/>
      <c r="AG510" s="1470"/>
      <c r="AH510" s="1471"/>
      <c r="AI510" s="1471"/>
      <c r="AJ510" s="1471"/>
    </row>
    <row r="511" spans="2:37" ht="18" customHeight="1">
      <c r="B511" s="2220" t="s">
        <v>32</v>
      </c>
      <c r="C511" s="2220" t="s">
        <v>31</v>
      </c>
      <c r="D511" s="2220"/>
      <c r="E511" s="2220" t="s">
        <v>242</v>
      </c>
      <c r="F511" s="2220"/>
      <c r="G511" s="2220"/>
      <c r="H511" s="2210" t="s">
        <v>29</v>
      </c>
      <c r="I511" s="2210"/>
      <c r="J511" s="2210"/>
      <c r="K511" s="2220" t="s">
        <v>387</v>
      </c>
      <c r="L511" s="2220"/>
      <c r="M511" s="2220"/>
      <c r="N511" s="2220"/>
      <c r="O511" s="2220"/>
      <c r="P511" s="2220"/>
      <c r="Q511" s="2220"/>
      <c r="R511" s="2220"/>
      <c r="S511" s="2220"/>
      <c r="T511" s="2220"/>
      <c r="U511" s="2220"/>
      <c r="V511" s="2220"/>
      <c r="W511" s="2220"/>
      <c r="X511" s="2220"/>
      <c r="AA511" s="845"/>
      <c r="AB511" s="1467"/>
      <c r="AD511" s="1467"/>
      <c r="AE511" s="1469"/>
      <c r="AF511" s="1467"/>
      <c r="AG511" s="1470"/>
      <c r="AH511" s="1471"/>
      <c r="AI511" s="1471"/>
      <c r="AJ511" s="1471"/>
    </row>
    <row r="512" spans="2:37" ht="50.25" customHeight="1">
      <c r="B512" s="2220"/>
      <c r="C512" s="2220"/>
      <c r="D512" s="2220"/>
      <c r="E512" s="1042" t="s">
        <v>247</v>
      </c>
      <c r="F512" s="1042" t="s">
        <v>248</v>
      </c>
      <c r="G512" s="1042" t="s">
        <v>249</v>
      </c>
      <c r="H512" s="1045" t="s">
        <v>26</v>
      </c>
      <c r="I512" s="1045" t="s">
        <v>25</v>
      </c>
      <c r="J512" s="1045" t="s">
        <v>402</v>
      </c>
      <c r="K512" s="1079" t="s">
        <v>23</v>
      </c>
      <c r="L512" s="1047" t="s">
        <v>403</v>
      </c>
      <c r="M512" s="1045" t="s">
        <v>21</v>
      </c>
      <c r="N512" s="1013" t="s">
        <v>20</v>
      </c>
      <c r="O512" s="1013" t="s">
        <v>19</v>
      </c>
      <c r="P512" s="1079" t="s">
        <v>18</v>
      </c>
      <c r="Q512" s="1046" t="s">
        <v>17</v>
      </c>
      <c r="R512" s="1013" t="s">
        <v>16</v>
      </c>
      <c r="S512" s="1045" t="s">
        <v>15</v>
      </c>
      <c r="T512" s="1046" t="s">
        <v>14</v>
      </c>
      <c r="U512" s="1046" t="s">
        <v>13</v>
      </c>
      <c r="V512" s="1048" t="s">
        <v>12</v>
      </c>
      <c r="W512" s="1049" t="s">
        <v>3</v>
      </c>
      <c r="X512" s="1049" t="s">
        <v>11</v>
      </c>
      <c r="AA512" s="845"/>
      <c r="AB512" s="1467"/>
      <c r="AD512" s="1467"/>
      <c r="AE512" s="1469"/>
      <c r="AF512" s="1467"/>
      <c r="AG512" s="1470"/>
      <c r="AH512" s="1471"/>
      <c r="AI512" s="1471"/>
      <c r="AJ512" s="1471"/>
    </row>
    <row r="513" spans="2:36" s="1731" customFormat="1" ht="18" customHeight="1">
      <c r="B513" s="1080" t="s">
        <v>388</v>
      </c>
      <c r="C513" s="2216" t="s">
        <v>840</v>
      </c>
      <c r="D513" s="2216"/>
      <c r="E513" s="1081"/>
      <c r="F513" s="1081"/>
      <c r="G513" s="1081"/>
      <c r="H513" s="1082">
        <v>10749814.630000001</v>
      </c>
      <c r="I513" s="1083">
        <v>6272107.6299999999</v>
      </c>
      <c r="J513" s="1083">
        <v>4477707</v>
      </c>
      <c r="K513" s="1084">
        <v>11859511</v>
      </c>
      <c r="L513" s="1085">
        <f>K513/H513</f>
        <v>1.1032293493604177</v>
      </c>
      <c r="M513" s="1084">
        <v>473232</v>
      </c>
      <c r="N513" s="1086">
        <f>M513/K513</f>
        <v>3.9903162955032462E-2</v>
      </c>
      <c r="O513" s="1086">
        <f>P513/M513</f>
        <v>5.1894208337559589E-2</v>
      </c>
      <c r="P513" s="1084">
        <v>24558</v>
      </c>
      <c r="Q513" s="1084">
        <v>16163</v>
      </c>
      <c r="R513" s="1086">
        <f>Q513/P513</f>
        <v>0.65815620164508515</v>
      </c>
      <c r="S513" s="1084">
        <f>H513/P513</f>
        <v>437.7316813258409</v>
      </c>
      <c r="T513" s="1084">
        <f>H513/Q513</f>
        <v>665.08783208562772</v>
      </c>
      <c r="U513" s="1084">
        <v>16163000</v>
      </c>
      <c r="V513" s="1087">
        <v>1.5</v>
      </c>
      <c r="W513" s="1084">
        <v>1400</v>
      </c>
      <c r="X513" s="2217">
        <v>1000</v>
      </c>
      <c r="Y513" s="1732"/>
      <c r="Z513" s="1732"/>
      <c r="AA513" s="337"/>
      <c r="AB513" s="1732"/>
      <c r="AC513" s="1732"/>
      <c r="AD513" s="1732"/>
      <c r="AE513" s="1745"/>
      <c r="AF513" s="1732"/>
      <c r="AG513" s="1746"/>
      <c r="AH513" s="1689"/>
      <c r="AI513" s="1689"/>
      <c r="AJ513" s="1689"/>
    </row>
    <row r="514" spans="2:36" s="1731" customFormat="1" ht="18" customHeight="1">
      <c r="B514" s="1080" t="s">
        <v>390</v>
      </c>
      <c r="C514" s="2216" t="s">
        <v>841</v>
      </c>
      <c r="D514" s="2216"/>
      <c r="E514" s="1081"/>
      <c r="F514" s="1081"/>
      <c r="G514" s="1081"/>
      <c r="H514" s="1082">
        <v>3386826.92</v>
      </c>
      <c r="I514" s="1083">
        <v>1810938.92</v>
      </c>
      <c r="J514" s="1083">
        <v>1575888</v>
      </c>
      <c r="K514" s="1084">
        <v>1890654</v>
      </c>
      <c r="L514" s="1085">
        <f>K514/H514</f>
        <v>0.55823756119193713</v>
      </c>
      <c r="M514" s="1088">
        <v>93655</v>
      </c>
      <c r="N514" s="1086">
        <f>M514/K514</f>
        <v>4.9535769104235891E-2</v>
      </c>
      <c r="O514" s="1086">
        <f>P514/M514</f>
        <v>4.4962895734344137E-2</v>
      </c>
      <c r="P514" s="1084">
        <v>4211</v>
      </c>
      <c r="Q514" s="1084">
        <v>3078</v>
      </c>
      <c r="R514" s="1086">
        <f>Q514/P514</f>
        <v>0.73094276893849441</v>
      </c>
      <c r="S514" s="1084">
        <f>H514/P514</f>
        <v>804.28091189741156</v>
      </c>
      <c r="T514" s="1084">
        <f>H514/Q514</f>
        <v>1100.33363222872</v>
      </c>
      <c r="U514" s="1084">
        <v>3078000</v>
      </c>
      <c r="V514" s="1087">
        <v>0.9</v>
      </c>
      <c r="W514" s="1084">
        <v>1000</v>
      </c>
      <c r="X514" s="2217"/>
      <c r="Y514" s="1732"/>
      <c r="Z514" s="1732"/>
      <c r="AA514" s="337"/>
      <c r="AB514" s="1732"/>
      <c r="AC514" s="1732"/>
      <c r="AD514" s="1732"/>
      <c r="AE514" s="1745"/>
      <c r="AF514" s="1732"/>
      <c r="AG514" s="1746"/>
      <c r="AH514" s="1689"/>
      <c r="AI514" s="1689"/>
      <c r="AJ514" s="1689"/>
    </row>
    <row r="515" spans="2:36" s="1731" customFormat="1" ht="18" customHeight="1">
      <c r="B515" s="1080" t="s">
        <v>404</v>
      </c>
      <c r="C515" s="2216" t="s">
        <v>842</v>
      </c>
      <c r="D515" s="2216"/>
      <c r="E515" s="1081"/>
      <c r="F515" s="1081"/>
      <c r="G515" s="1081"/>
      <c r="H515" s="1082">
        <v>1542858.07</v>
      </c>
      <c r="I515" s="1083">
        <v>784298.07</v>
      </c>
      <c r="J515" s="1083">
        <v>758560</v>
      </c>
      <c r="K515" s="1084">
        <v>2603854</v>
      </c>
      <c r="L515" s="1085">
        <f>K515/H515</f>
        <v>1.6876821339761992</v>
      </c>
      <c r="M515" s="1084">
        <v>159838</v>
      </c>
      <c r="N515" s="1086">
        <f>M515/K515</f>
        <v>6.1385162148108151E-2</v>
      </c>
      <c r="O515" s="1086">
        <f>P515/M515</f>
        <v>3.868291645290857E-2</v>
      </c>
      <c r="P515" s="1084">
        <v>6183</v>
      </c>
      <c r="Q515" s="1084">
        <v>4362</v>
      </c>
      <c r="R515" s="1086">
        <f>Q515/P515</f>
        <v>0.70548277535177095</v>
      </c>
      <c r="S515" s="1084">
        <f>H515/P515</f>
        <v>249.53227721170953</v>
      </c>
      <c r="T515" s="1084">
        <f>H515/Q515</f>
        <v>353.70428014672171</v>
      </c>
      <c r="U515" s="1084">
        <v>4362000</v>
      </c>
      <c r="V515" s="1087">
        <v>2.8</v>
      </c>
      <c r="W515" s="1084">
        <v>500</v>
      </c>
      <c r="X515" s="2217"/>
      <c r="Y515" s="1732"/>
      <c r="Z515" s="1732"/>
      <c r="AA515" s="337"/>
      <c r="AB515" s="1732"/>
      <c r="AC515" s="1732"/>
      <c r="AD515" s="1732"/>
      <c r="AE515" s="1745"/>
      <c r="AF515" s="1732"/>
      <c r="AG515" s="1746"/>
      <c r="AH515" s="1689"/>
      <c r="AI515" s="1689"/>
      <c r="AJ515" s="1689"/>
    </row>
    <row r="516" spans="2:36" s="1731" customFormat="1" ht="18" customHeight="1">
      <c r="B516" s="1089" t="s">
        <v>167</v>
      </c>
      <c r="C516" s="2218" t="s">
        <v>843</v>
      </c>
      <c r="D516" s="2218"/>
      <c r="E516" s="1090"/>
      <c r="F516" s="1090"/>
      <c r="G516" s="1090"/>
      <c r="H516" s="1091"/>
      <c r="I516" s="1092"/>
      <c r="J516" s="1092"/>
      <c r="K516" s="1093">
        <v>13740812</v>
      </c>
      <c r="L516" s="1094"/>
      <c r="M516" s="1093">
        <v>1262684</v>
      </c>
      <c r="N516" s="1095">
        <f>M516/K516</f>
        <v>9.1892968188488425E-2</v>
      </c>
      <c r="O516" s="1095">
        <f>P516/M516</f>
        <v>4.2322544674677116E-2</v>
      </c>
      <c r="P516" s="1093">
        <v>53440</v>
      </c>
      <c r="Q516" s="1093">
        <v>35831</v>
      </c>
      <c r="R516" s="1095">
        <f>Q516/P516</f>
        <v>0.67049026946107781</v>
      </c>
      <c r="S516" s="1093"/>
      <c r="T516" s="1093"/>
      <c r="U516" s="1093">
        <v>35831000</v>
      </c>
      <c r="V516" s="1096"/>
      <c r="W516" s="1093">
        <v>685</v>
      </c>
      <c r="X516" s="2217"/>
      <c r="Y516" s="1732"/>
      <c r="Z516" s="1732"/>
      <c r="AA516" s="337"/>
      <c r="AB516" s="1732"/>
      <c r="AC516" s="1732"/>
      <c r="AD516" s="1732"/>
      <c r="AE516" s="1745"/>
      <c r="AF516" s="1732"/>
      <c r="AG516" s="1746"/>
      <c r="AH516" s="1689"/>
      <c r="AI516" s="1689"/>
      <c r="AJ516" s="1689"/>
    </row>
    <row r="517" spans="2:36" s="1731" customFormat="1" ht="18" customHeight="1">
      <c r="B517" s="1097"/>
      <c r="C517" s="2219" t="s">
        <v>0</v>
      </c>
      <c r="D517" s="2219"/>
      <c r="E517" s="1065"/>
      <c r="F517" s="1065"/>
      <c r="G517" s="1065"/>
      <c r="H517" s="1066">
        <f>I517+J517</f>
        <v>15679499.619999999</v>
      </c>
      <c r="I517" s="1067">
        <f>SUM(I513:I515)</f>
        <v>8867344.6199999992</v>
      </c>
      <c r="J517" s="1067">
        <f>SUM(J513:J515)</f>
        <v>6812155</v>
      </c>
      <c r="K517" s="1070">
        <f>SUM(K513:K516)</f>
        <v>30094831</v>
      </c>
      <c r="L517" s="1068">
        <f>K517/H517</f>
        <v>1.9193744525885579</v>
      </c>
      <c r="M517" s="1070">
        <f>SUM(M513:M515)</f>
        <v>726725</v>
      </c>
      <c r="N517" s="1069">
        <f>M517/K517</f>
        <v>2.4147834556705102E-2</v>
      </c>
      <c r="O517" s="1069">
        <f>P517/M517</f>
        <v>0.12163060304792046</v>
      </c>
      <c r="P517" s="1070">
        <f>SUM(P513:P516)</f>
        <v>88392</v>
      </c>
      <c r="Q517" s="1070">
        <f>SUM(Q513:Q516)</f>
        <v>59434</v>
      </c>
      <c r="R517" s="1069">
        <f>Q517/P517</f>
        <v>0.67239116662141374</v>
      </c>
      <c r="S517" s="1070">
        <f>H517/P517</f>
        <v>177.38595823151417</v>
      </c>
      <c r="T517" s="1070">
        <f>H517/Q517</f>
        <v>263.81363562943767</v>
      </c>
      <c r="U517" s="1070">
        <v>59434000</v>
      </c>
      <c r="V517" s="1071">
        <v>3.8</v>
      </c>
      <c r="W517" s="1070">
        <f>X513</f>
        <v>1000</v>
      </c>
      <c r="X517" s="1070"/>
      <c r="Y517" s="1732"/>
      <c r="Z517" s="1732"/>
      <c r="AA517" s="337"/>
      <c r="AB517" s="1732"/>
      <c r="AC517" s="1732"/>
      <c r="AD517" s="1732"/>
      <c r="AE517" s="1745"/>
      <c r="AF517" s="1732"/>
      <c r="AG517" s="1746"/>
      <c r="AH517" s="1689"/>
      <c r="AI517" s="1689"/>
      <c r="AJ517" s="1689"/>
    </row>
    <row r="518" spans="2:36">
      <c r="E518" s="1465"/>
      <c r="F518" s="1465"/>
      <c r="G518" s="1465"/>
      <c r="H518" s="1466"/>
      <c r="I518" s="1466"/>
      <c r="J518" s="1466"/>
      <c r="K518" s="1467"/>
      <c r="L518" s="1468"/>
      <c r="N518" s="845"/>
      <c r="R518" s="845"/>
      <c r="S518" s="1467"/>
      <c r="V518" s="1469"/>
      <c r="X518" s="1467"/>
      <c r="AA518" s="845"/>
      <c r="AB518" s="1467"/>
      <c r="AD518" s="1467"/>
      <c r="AE518" s="1469"/>
      <c r="AF518" s="1467"/>
      <c r="AG518" s="1470"/>
      <c r="AH518" s="1471"/>
      <c r="AI518" s="1471"/>
      <c r="AJ518" s="1471"/>
    </row>
    <row r="519" spans="2:36">
      <c r="E519" s="1465"/>
      <c r="F519" s="1465"/>
      <c r="G519" s="1465"/>
      <c r="H519" s="1466"/>
      <c r="I519" s="1466"/>
      <c r="J519" s="1466"/>
      <c r="K519" s="1467"/>
      <c r="L519" s="1468"/>
      <c r="N519" s="845"/>
      <c r="R519" s="845"/>
      <c r="S519" s="1467"/>
      <c r="V519" s="1469"/>
      <c r="X519" s="1467"/>
      <c r="AA519" s="845"/>
      <c r="AB519" s="1467"/>
      <c r="AD519" s="1467"/>
      <c r="AE519" s="1469"/>
      <c r="AF519" s="1467"/>
      <c r="AG519" s="1470"/>
      <c r="AH519" s="1471"/>
      <c r="AI519" s="1471"/>
      <c r="AJ519" s="1471"/>
    </row>
    <row r="520" spans="2:36">
      <c r="E520" s="1465"/>
      <c r="F520" s="1465"/>
      <c r="G520" s="1465"/>
      <c r="H520" s="1466"/>
      <c r="I520" s="1466"/>
      <c r="J520" s="1466"/>
      <c r="K520" s="1467"/>
      <c r="L520" s="1468"/>
      <c r="N520" s="845"/>
      <c r="R520" s="845"/>
      <c r="S520" s="1467"/>
      <c r="V520" s="1469"/>
      <c r="X520" s="1467"/>
      <c r="AA520" s="845"/>
      <c r="AB520" s="1467"/>
      <c r="AD520" s="1467"/>
      <c r="AE520" s="1469"/>
      <c r="AF520" s="1467"/>
      <c r="AG520" s="1470"/>
      <c r="AH520" s="1471"/>
      <c r="AI520" s="1471"/>
      <c r="AJ520" s="1471"/>
    </row>
    <row r="521" spans="2:36" ht="16.5" customHeight="1">
      <c r="E521" s="1465"/>
      <c r="F521" s="1465"/>
      <c r="G521" s="1465"/>
      <c r="H521" s="1466"/>
      <c r="I521" s="1466"/>
      <c r="J521" s="1466"/>
      <c r="K521" s="1467"/>
      <c r="L521" s="1468"/>
      <c r="N521" s="845"/>
      <c r="R521" s="845"/>
      <c r="S521" s="1467"/>
      <c r="V521" s="1469"/>
      <c r="X521" s="1467"/>
      <c r="AA521" s="845"/>
      <c r="AB521" s="1467"/>
      <c r="AD521" s="1467"/>
      <c r="AE521" s="1469"/>
      <c r="AF521" s="1467"/>
      <c r="AG521" s="1470"/>
      <c r="AH521" s="1471"/>
      <c r="AI521" s="1471"/>
      <c r="AJ521" s="1471"/>
    </row>
    <row r="522" spans="2:36">
      <c r="E522" s="1465"/>
      <c r="F522" s="1465"/>
      <c r="G522" s="1465"/>
      <c r="H522" s="1466"/>
      <c r="I522" s="1466"/>
      <c r="J522" s="1466"/>
      <c r="K522" s="1467"/>
      <c r="L522" s="1468"/>
      <c r="N522" s="845"/>
      <c r="R522" s="845"/>
      <c r="S522" s="1467"/>
      <c r="V522" s="1469"/>
      <c r="X522" s="1467"/>
      <c r="AA522" s="845"/>
      <c r="AB522" s="1467"/>
      <c r="AD522" s="1467"/>
      <c r="AE522" s="1469"/>
      <c r="AF522" s="1467"/>
      <c r="AG522" s="1470"/>
      <c r="AH522" s="1471"/>
      <c r="AI522" s="1471"/>
      <c r="AJ522" s="1471"/>
    </row>
    <row r="523" spans="2:36" s="1473" customFormat="1" ht="22.5">
      <c r="B523" s="850" t="s">
        <v>822</v>
      </c>
      <c r="C523" s="1474"/>
      <c r="D523" s="1474"/>
      <c r="E523" s="1474"/>
      <c r="F523" s="1474"/>
      <c r="G523" s="1474"/>
      <c r="H523" s="1475"/>
      <c r="I523" s="1476"/>
      <c r="J523" s="1476"/>
      <c r="K523" s="1476"/>
      <c r="L523" s="1477"/>
      <c r="M523" s="1476"/>
      <c r="N523" s="851"/>
      <c r="O523" s="851"/>
      <c r="P523" s="1476"/>
      <c r="Q523" s="1476"/>
      <c r="R523" s="851"/>
      <c r="S523" s="1476"/>
      <c r="T523" s="1476"/>
      <c r="U523" s="1476"/>
      <c r="V523" s="1478"/>
      <c r="W523" s="1476"/>
      <c r="X523" s="1476"/>
      <c r="Y523" s="1476"/>
      <c r="Z523" s="1476"/>
      <c r="AA523" s="851"/>
      <c r="AB523" s="1476"/>
      <c r="AC523" s="1476"/>
      <c r="AD523" s="1476"/>
      <c r="AE523" s="1478"/>
      <c r="AF523" s="1476"/>
      <c r="AG523" s="1479"/>
      <c r="AH523" s="1476"/>
      <c r="AI523" s="1476"/>
      <c r="AJ523" s="1476"/>
    </row>
    <row r="524" spans="2:36" s="950" customFormat="1">
      <c r="B524" s="852" t="s">
        <v>238</v>
      </c>
      <c r="C524" s="853" t="s">
        <v>405</v>
      </c>
      <c r="D524" s="940"/>
      <c r="E524" s="940"/>
      <c r="F524" s="940"/>
      <c r="G524" s="940"/>
      <c r="H524" s="941"/>
      <c r="I524" s="942"/>
      <c r="J524" s="942"/>
      <c r="K524" s="943"/>
      <c r="L524" s="944"/>
      <c r="M524" s="945"/>
      <c r="N524" s="946"/>
      <c r="O524" s="845"/>
      <c r="P524" s="942"/>
      <c r="Q524" s="942"/>
      <c r="R524" s="845"/>
      <c r="S524" s="1467"/>
      <c r="T524" s="1467"/>
      <c r="U524" s="1467"/>
      <c r="V524" s="947"/>
      <c r="W524" s="942"/>
      <c r="X524" s="942"/>
      <c r="Y524" s="942"/>
      <c r="Z524" s="942"/>
      <c r="AA524" s="845"/>
      <c r="AB524" s="942"/>
      <c r="AC524" s="942"/>
      <c r="AD524" s="942"/>
      <c r="AE524" s="947"/>
      <c r="AF524" s="1519"/>
      <c r="AG524" s="948"/>
      <c r="AH524" s="949"/>
      <c r="AI524" s="949"/>
      <c r="AJ524" s="949"/>
    </row>
    <row r="525" spans="2:36" s="950" customFormat="1">
      <c r="B525" s="854" t="s">
        <v>82</v>
      </c>
      <c r="C525" s="855" t="s">
        <v>406</v>
      </c>
      <c r="D525" s="940"/>
      <c r="E525" s="940"/>
      <c r="F525" s="940"/>
      <c r="G525" s="940"/>
      <c r="H525" s="941"/>
      <c r="I525" s="942"/>
      <c r="J525" s="942"/>
      <c r="K525" s="1467"/>
      <c r="L525" s="1468"/>
      <c r="M525" s="1467"/>
      <c r="N525" s="845"/>
      <c r="O525" s="845"/>
      <c r="P525" s="942"/>
      <c r="Q525" s="942"/>
      <c r="R525" s="845"/>
      <c r="S525" s="1467"/>
      <c r="T525" s="1467"/>
      <c r="U525" s="1467"/>
      <c r="V525" s="947"/>
      <c r="W525" s="942"/>
      <c r="X525" s="942"/>
      <c r="Y525" s="942"/>
      <c r="Z525" s="942"/>
      <c r="AA525" s="845"/>
      <c r="AB525" s="942"/>
      <c r="AC525" s="942"/>
      <c r="AD525" s="942"/>
      <c r="AE525" s="947"/>
      <c r="AF525" s="1519"/>
      <c r="AG525" s="948"/>
      <c r="AH525" s="949"/>
      <c r="AI525" s="949"/>
      <c r="AJ525" s="949"/>
    </row>
    <row r="526" spans="2:36" s="950" customFormat="1">
      <c r="B526" s="854"/>
      <c r="C526" s="855"/>
      <c r="D526" s="940"/>
      <c r="E526" s="940"/>
      <c r="F526" s="940"/>
      <c r="G526" s="940"/>
      <c r="H526" s="941"/>
      <c r="I526" s="942"/>
      <c r="J526" s="942"/>
      <c r="K526" s="1467"/>
      <c r="L526" s="1468"/>
      <c r="M526" s="1467"/>
      <c r="N526" s="845"/>
      <c r="O526" s="845"/>
      <c r="P526" s="942"/>
      <c r="Q526" s="942"/>
      <c r="R526" s="845"/>
      <c r="S526" s="1467"/>
      <c r="T526" s="1467"/>
      <c r="U526" s="1467"/>
      <c r="V526" s="947"/>
      <c r="W526" s="942"/>
      <c r="X526" s="942"/>
      <c r="Y526" s="942"/>
      <c r="Z526" s="942"/>
      <c r="AA526" s="845"/>
      <c r="AB526" s="942"/>
      <c r="AC526" s="942"/>
      <c r="AD526" s="942"/>
      <c r="AE526" s="947"/>
      <c r="AF526" s="1519"/>
      <c r="AG526" s="948"/>
      <c r="AH526" s="949"/>
      <c r="AI526" s="949"/>
      <c r="AJ526" s="949"/>
    </row>
    <row r="527" spans="2:36">
      <c r="E527" s="1465"/>
      <c r="F527" s="1465"/>
      <c r="G527" s="1465"/>
      <c r="H527" s="1466"/>
      <c r="I527" s="1466"/>
      <c r="J527" s="1466"/>
      <c r="K527" s="1467"/>
      <c r="L527" s="1468"/>
      <c r="N527" s="845"/>
      <c r="R527" s="845"/>
      <c r="S527" s="1467"/>
      <c r="V527" s="1469"/>
      <c r="X527" s="1467"/>
      <c r="AA527" s="845"/>
      <c r="AB527" s="1467"/>
      <c r="AD527" s="1467"/>
      <c r="AE527" s="1469"/>
      <c r="AF527" s="1467"/>
      <c r="AG527" s="1470"/>
      <c r="AH527" s="1471"/>
      <c r="AI527" s="1471"/>
      <c r="AJ527" s="1471"/>
    </row>
    <row r="528" spans="2:36" ht="18" customHeight="1">
      <c r="B528" s="2209" t="s">
        <v>407</v>
      </c>
      <c r="C528" s="2209" t="s">
        <v>31</v>
      </c>
      <c r="D528" s="2209"/>
      <c r="E528" s="2209" t="s">
        <v>242</v>
      </c>
      <c r="F528" s="2209"/>
      <c r="G528" s="2209"/>
      <c r="H528" s="2210" t="s">
        <v>29</v>
      </c>
      <c r="I528" s="2210"/>
      <c r="J528" s="2210"/>
      <c r="K528" s="2209" t="s">
        <v>408</v>
      </c>
      <c r="L528" s="2209"/>
      <c r="M528" s="2209"/>
      <c r="N528" s="2209"/>
      <c r="O528" s="2209"/>
      <c r="P528" s="2209"/>
      <c r="Q528" s="2209"/>
      <c r="R528" s="2209"/>
      <c r="S528" s="2209"/>
      <c r="T528" s="2209"/>
      <c r="U528" s="2209"/>
      <c r="V528" s="2209"/>
      <c r="W528" s="2209"/>
      <c r="X528" s="2209"/>
      <c r="AA528" s="845"/>
      <c r="AB528" s="1467"/>
      <c r="AD528" s="1467"/>
      <c r="AE528" s="1469"/>
      <c r="AF528" s="1467"/>
      <c r="AG528" s="1470"/>
      <c r="AH528" s="1471"/>
      <c r="AI528" s="1471"/>
      <c r="AJ528" s="1471"/>
    </row>
    <row r="529" spans="2:36" ht="50.25" customHeight="1">
      <c r="B529" s="2209"/>
      <c r="C529" s="2209"/>
      <c r="D529" s="2209"/>
      <c r="E529" s="1098" t="s">
        <v>247</v>
      </c>
      <c r="F529" s="1098" t="s">
        <v>248</v>
      </c>
      <c r="G529" s="1098" t="s">
        <v>249</v>
      </c>
      <c r="H529" s="1099" t="s">
        <v>26</v>
      </c>
      <c r="I529" s="1099" t="s">
        <v>25</v>
      </c>
      <c r="J529" s="1099" t="s">
        <v>409</v>
      </c>
      <c r="K529" s="1100" t="s">
        <v>23</v>
      </c>
      <c r="L529" s="1709" t="s">
        <v>22</v>
      </c>
      <c r="M529" s="1099" t="s">
        <v>21</v>
      </c>
      <c r="N529" s="1101" t="s">
        <v>20</v>
      </c>
      <c r="O529" s="1101" t="s">
        <v>19</v>
      </c>
      <c r="P529" s="1100" t="s">
        <v>18</v>
      </c>
      <c r="Q529" s="1099" t="s">
        <v>17</v>
      </c>
      <c r="R529" s="1101" t="s">
        <v>16</v>
      </c>
      <c r="S529" s="1100" t="s">
        <v>7</v>
      </c>
      <c r="T529" s="1099" t="s">
        <v>14</v>
      </c>
      <c r="U529" s="1099" t="s">
        <v>91</v>
      </c>
      <c r="V529" s="1102" t="s">
        <v>12</v>
      </c>
      <c r="W529" s="1100" t="s">
        <v>3</v>
      </c>
      <c r="X529" s="1100" t="s">
        <v>92</v>
      </c>
      <c r="AA529" s="845"/>
      <c r="AB529" s="1467"/>
      <c r="AD529" s="1467"/>
      <c r="AE529" s="1469"/>
      <c r="AF529" s="1467"/>
      <c r="AG529" s="1470"/>
      <c r="AH529" s="1471"/>
      <c r="AI529" s="1471"/>
      <c r="AJ529" s="1471"/>
    </row>
    <row r="530" spans="2:36" s="1731" customFormat="1" ht="18" customHeight="1">
      <c r="B530" s="2211" t="s">
        <v>93</v>
      </c>
      <c r="C530" s="2212" t="s">
        <v>844</v>
      </c>
      <c r="D530" s="2212"/>
      <c r="E530" s="1103"/>
      <c r="F530" s="1103"/>
      <c r="G530" s="1103"/>
      <c r="H530" s="1055">
        <f>I530+J530</f>
        <v>2978849.5800350001</v>
      </c>
      <c r="I530" s="1055">
        <v>1808313.5800350001</v>
      </c>
      <c r="J530" s="1055">
        <v>1170536</v>
      </c>
      <c r="K530" s="1104">
        <v>4346312</v>
      </c>
      <c r="L530" s="1105">
        <f t="shared" ref="L530:L539" si="259">H530/K530</f>
        <v>0.68537407807699957</v>
      </c>
      <c r="M530" s="1104">
        <v>148704</v>
      </c>
      <c r="N530" s="1106">
        <f t="shared" ref="N530:N539" si="260">M530/K530</f>
        <v>3.421383462577008E-2</v>
      </c>
      <c r="O530" s="1106">
        <f t="shared" ref="O530:O539" si="261">P530/M530</f>
        <v>3.9756832364966646E-2</v>
      </c>
      <c r="P530" s="1104">
        <v>5912</v>
      </c>
      <c r="Q530" s="1104">
        <v>3864</v>
      </c>
      <c r="R530" s="1106">
        <f t="shared" ref="R530:R539" si="262">Q530/P530</f>
        <v>0.65358592692828144</v>
      </c>
      <c r="S530" s="1104">
        <f t="shared" ref="S530:S539" si="263">H530/P530</f>
        <v>503.8649492616712</v>
      </c>
      <c r="T530" s="1104">
        <f t="shared" ref="T530:T539" si="264">H530/Q530</f>
        <v>770.92380435688403</v>
      </c>
      <c r="U530" s="1104">
        <v>3864000</v>
      </c>
      <c r="V530" s="1107">
        <v>1.3</v>
      </c>
      <c r="W530" s="1104">
        <v>1300</v>
      </c>
      <c r="X530" s="2213">
        <v>1000</v>
      </c>
      <c r="Y530" s="1732"/>
      <c r="Z530" s="1732"/>
      <c r="AA530" s="337"/>
      <c r="AB530" s="1732"/>
      <c r="AC530" s="1732"/>
      <c r="AD530" s="1732"/>
      <c r="AE530" s="1745"/>
      <c r="AF530" s="1732"/>
      <c r="AG530" s="1746"/>
      <c r="AH530" s="1689"/>
      <c r="AI530" s="1689"/>
      <c r="AJ530" s="1689"/>
    </row>
    <row r="531" spans="2:36" s="1731" customFormat="1" ht="18" customHeight="1">
      <c r="B531" s="2211"/>
      <c r="C531" s="2212" t="s">
        <v>840</v>
      </c>
      <c r="D531" s="2212"/>
      <c r="E531" s="1103"/>
      <c r="F531" s="1103"/>
      <c r="G531" s="1103"/>
      <c r="H531" s="1055">
        <f t="shared" ref="H531:H539" si="265">I531+J531</f>
        <v>5870622.7942389995</v>
      </c>
      <c r="I531" s="1055">
        <v>3268117.794239</v>
      </c>
      <c r="J531" s="1055">
        <v>2602505</v>
      </c>
      <c r="K531" s="1104">
        <v>7064144</v>
      </c>
      <c r="L531" s="1105">
        <f t="shared" si="259"/>
        <v>0.83104517606648443</v>
      </c>
      <c r="M531" s="1104">
        <v>231804</v>
      </c>
      <c r="N531" s="1106">
        <f t="shared" si="260"/>
        <v>3.2814166868625552E-2</v>
      </c>
      <c r="O531" s="1106">
        <f t="shared" si="261"/>
        <v>4.3308139635209054E-2</v>
      </c>
      <c r="P531" s="1104">
        <v>10039</v>
      </c>
      <c r="Q531" s="1104">
        <v>6208</v>
      </c>
      <c r="R531" s="1106">
        <f t="shared" si="262"/>
        <v>0.61838828568582527</v>
      </c>
      <c r="S531" s="1104">
        <f t="shared" si="263"/>
        <v>584.7816310627552</v>
      </c>
      <c r="T531" s="1104">
        <f t="shared" si="264"/>
        <v>945.65444494829239</v>
      </c>
      <c r="U531" s="1104">
        <v>6208000</v>
      </c>
      <c r="V531" s="1107">
        <v>1.1000000000000001</v>
      </c>
      <c r="W531" s="1104">
        <v>1200</v>
      </c>
      <c r="X531" s="2213"/>
      <c r="Y531" s="1732"/>
      <c r="Z531" s="1732"/>
      <c r="AA531" s="337"/>
      <c r="AB531" s="1732"/>
      <c r="AC531" s="1732"/>
      <c r="AD531" s="1732"/>
      <c r="AE531" s="1745"/>
      <c r="AF531" s="1732"/>
      <c r="AG531" s="1746"/>
      <c r="AH531" s="1689"/>
      <c r="AI531" s="1689"/>
      <c r="AJ531" s="1689"/>
    </row>
    <row r="532" spans="2:36" s="1731" customFormat="1" ht="18" customHeight="1">
      <c r="B532" s="2211"/>
      <c r="C532" s="2212" t="s">
        <v>845</v>
      </c>
      <c r="D532" s="2212"/>
      <c r="E532" s="1103"/>
      <c r="F532" s="1103"/>
      <c r="G532" s="1103"/>
      <c r="H532" s="1055">
        <f t="shared" si="265"/>
        <v>1262473.9542140001</v>
      </c>
      <c r="I532" s="1055">
        <v>783778.95421400003</v>
      </c>
      <c r="J532" s="1055">
        <v>478695</v>
      </c>
      <c r="K532" s="1104">
        <v>1381778</v>
      </c>
      <c r="L532" s="1105">
        <f t="shared" si="259"/>
        <v>0.91365903510838942</v>
      </c>
      <c r="M532" s="1104">
        <v>73906</v>
      </c>
      <c r="N532" s="1106">
        <f t="shared" si="260"/>
        <v>5.3486160584406466E-2</v>
      </c>
      <c r="O532" s="1106">
        <f t="shared" si="261"/>
        <v>4.4705436635726466E-2</v>
      </c>
      <c r="P532" s="1104">
        <v>3304</v>
      </c>
      <c r="Q532" s="1104">
        <v>1980</v>
      </c>
      <c r="R532" s="1106">
        <f t="shared" si="262"/>
        <v>0.59927360774818406</v>
      </c>
      <c r="S532" s="1104">
        <f t="shared" si="263"/>
        <v>382.10470769188868</v>
      </c>
      <c r="T532" s="1104">
        <f t="shared" si="264"/>
        <v>637.61310818888899</v>
      </c>
      <c r="U532" s="1104">
        <v>1980000</v>
      </c>
      <c r="V532" s="1107">
        <v>1.6</v>
      </c>
      <c r="W532" s="1104">
        <v>3000</v>
      </c>
      <c r="X532" s="2213"/>
      <c r="Y532" s="1732"/>
      <c r="Z532" s="1732"/>
      <c r="AA532" s="337"/>
      <c r="AB532" s="1732"/>
      <c r="AC532" s="1732"/>
      <c r="AD532" s="1732"/>
      <c r="AE532" s="1745"/>
      <c r="AF532" s="1732"/>
      <c r="AG532" s="1746"/>
      <c r="AH532" s="1689"/>
      <c r="AI532" s="1689"/>
      <c r="AJ532" s="1689"/>
    </row>
    <row r="533" spans="2:36" s="1731" customFormat="1" ht="18" customHeight="1">
      <c r="B533" s="2211"/>
      <c r="C533" s="2212" t="s">
        <v>846</v>
      </c>
      <c r="D533" s="2212"/>
      <c r="E533" s="1103"/>
      <c r="F533" s="1103"/>
      <c r="G533" s="1103"/>
      <c r="H533" s="1055">
        <f t="shared" si="265"/>
        <v>1436536.29</v>
      </c>
      <c r="I533" s="1055">
        <v>1122703.29</v>
      </c>
      <c r="J533" s="1055">
        <v>313833</v>
      </c>
      <c r="K533" s="1104">
        <v>2818518</v>
      </c>
      <c r="L533" s="1105">
        <f t="shared" si="259"/>
        <v>0.50967788390920332</v>
      </c>
      <c r="M533" s="1108">
        <v>116253</v>
      </c>
      <c r="N533" s="1106">
        <f t="shared" si="260"/>
        <v>4.1246144250276208E-2</v>
      </c>
      <c r="O533" s="1106">
        <f t="shared" si="261"/>
        <v>3.2420668713925661E-2</v>
      </c>
      <c r="P533" s="1104">
        <v>3769</v>
      </c>
      <c r="Q533" s="1104">
        <v>2540</v>
      </c>
      <c r="R533" s="1106">
        <f t="shared" si="262"/>
        <v>0.67391881135579734</v>
      </c>
      <c r="S533" s="1104">
        <f t="shared" si="263"/>
        <v>381.14520827805785</v>
      </c>
      <c r="T533" s="1104">
        <f t="shared" si="264"/>
        <v>565.56546850393704</v>
      </c>
      <c r="U533" s="1104">
        <v>2540000</v>
      </c>
      <c r="V533" s="1107">
        <v>1.8</v>
      </c>
      <c r="W533" s="1104">
        <v>800</v>
      </c>
      <c r="X533" s="2213"/>
      <c r="Y533" s="1732"/>
      <c r="Z533" s="1732"/>
      <c r="AA533" s="337"/>
      <c r="AB533" s="1732"/>
      <c r="AC533" s="1732"/>
      <c r="AD533" s="1732"/>
      <c r="AE533" s="1745"/>
      <c r="AF533" s="1732"/>
      <c r="AG533" s="1746"/>
      <c r="AH533" s="1689"/>
      <c r="AI533" s="1689"/>
      <c r="AJ533" s="1689"/>
    </row>
    <row r="534" spans="2:36" s="1731" customFormat="1" ht="18" customHeight="1">
      <c r="B534" s="2211"/>
      <c r="C534" s="2212" t="s">
        <v>847</v>
      </c>
      <c r="D534" s="2212"/>
      <c r="E534" s="1103"/>
      <c r="F534" s="1103"/>
      <c r="G534" s="1103"/>
      <c r="H534" s="1055">
        <f t="shared" si="265"/>
        <v>448789.83999999997</v>
      </c>
      <c r="I534" s="1055">
        <v>307894.86</v>
      </c>
      <c r="J534" s="1055">
        <v>140894.98000000001</v>
      </c>
      <c r="K534" s="1108">
        <v>687434</v>
      </c>
      <c r="L534" s="1109">
        <f t="shared" si="259"/>
        <v>0.65284789521612252</v>
      </c>
      <c r="M534" s="1104">
        <v>40346</v>
      </c>
      <c r="N534" s="1106">
        <f t="shared" si="260"/>
        <v>5.8690725218711909E-2</v>
      </c>
      <c r="O534" s="1106">
        <f t="shared" si="261"/>
        <v>4.2333812521687407E-2</v>
      </c>
      <c r="P534" s="1104">
        <v>1708</v>
      </c>
      <c r="Q534" s="1104">
        <v>1280</v>
      </c>
      <c r="R534" s="1106">
        <f t="shared" si="262"/>
        <v>0.74941451990632324</v>
      </c>
      <c r="S534" s="1104">
        <f t="shared" si="263"/>
        <v>262.7575175644028</v>
      </c>
      <c r="T534" s="1104">
        <f t="shared" si="264"/>
        <v>350.61706249999997</v>
      </c>
      <c r="U534" s="1104">
        <v>1280000</v>
      </c>
      <c r="V534" s="1107">
        <v>2.9</v>
      </c>
      <c r="W534" s="1104">
        <v>500</v>
      </c>
      <c r="X534" s="2213"/>
      <c r="Y534" s="1732"/>
      <c r="Z534" s="1732"/>
      <c r="AA534" s="337"/>
      <c r="AB534" s="1732"/>
      <c r="AC534" s="1732"/>
      <c r="AD534" s="1732"/>
      <c r="AE534" s="1745"/>
      <c r="AF534" s="1732"/>
      <c r="AG534" s="1746"/>
      <c r="AH534" s="1689"/>
      <c r="AI534" s="1689"/>
      <c r="AJ534" s="1689"/>
    </row>
    <row r="535" spans="2:36" s="1731" customFormat="1" ht="18" customHeight="1">
      <c r="B535" s="2211"/>
      <c r="C535" s="2212" t="s">
        <v>848</v>
      </c>
      <c r="D535" s="2212"/>
      <c r="E535" s="1103"/>
      <c r="F535" s="1103"/>
      <c r="G535" s="1103"/>
      <c r="H535" s="1055">
        <f t="shared" si="265"/>
        <v>3337534.8642219999</v>
      </c>
      <c r="I535" s="1055">
        <v>1941061.1342219999</v>
      </c>
      <c r="J535" s="1055">
        <v>1396473.73</v>
      </c>
      <c r="K535" s="1108">
        <v>4377340</v>
      </c>
      <c r="L535" s="1109">
        <f t="shared" si="259"/>
        <v>0.7624573060858878</v>
      </c>
      <c r="M535" s="1104">
        <v>177625</v>
      </c>
      <c r="N535" s="1106">
        <f t="shared" si="260"/>
        <v>4.0578296408321037E-2</v>
      </c>
      <c r="O535" s="1106">
        <f t="shared" si="261"/>
        <v>3.6869809992962702E-2</v>
      </c>
      <c r="P535" s="1104">
        <v>6549</v>
      </c>
      <c r="Q535" s="1104">
        <v>4320</v>
      </c>
      <c r="R535" s="1106">
        <f t="shared" si="262"/>
        <v>0.65964269354099858</v>
      </c>
      <c r="S535" s="1104">
        <f t="shared" si="263"/>
        <v>509.6251128755535</v>
      </c>
      <c r="T535" s="1104">
        <f t="shared" si="264"/>
        <v>772.57751486620373</v>
      </c>
      <c r="U535" s="1104">
        <v>4320000</v>
      </c>
      <c r="V535" s="1107">
        <v>1.3</v>
      </c>
      <c r="W535" s="1104">
        <v>500</v>
      </c>
      <c r="X535" s="2213"/>
      <c r="Y535" s="1732"/>
      <c r="Z535" s="1732"/>
      <c r="AA535" s="337"/>
      <c r="AB535" s="1732"/>
      <c r="AC535" s="1732"/>
      <c r="AD535" s="1732"/>
      <c r="AE535" s="1745"/>
      <c r="AF535" s="1732"/>
      <c r="AG535" s="1746"/>
      <c r="AH535" s="1689"/>
      <c r="AI535" s="1689"/>
      <c r="AJ535" s="1689"/>
    </row>
    <row r="536" spans="2:36" s="1731" customFormat="1" ht="18" customHeight="1">
      <c r="B536" s="2211"/>
      <c r="C536" s="2212" t="s">
        <v>849</v>
      </c>
      <c r="D536" s="2212"/>
      <c r="E536" s="1103"/>
      <c r="F536" s="1103"/>
      <c r="G536" s="1103"/>
      <c r="H536" s="1055">
        <f t="shared" si="265"/>
        <v>1054835.69</v>
      </c>
      <c r="I536" s="1055">
        <v>617868.68999999994</v>
      </c>
      <c r="J536" s="1055">
        <v>436967</v>
      </c>
      <c r="K536" s="1108">
        <v>1189884</v>
      </c>
      <c r="L536" s="1109">
        <f t="shared" si="259"/>
        <v>0.88650296163323483</v>
      </c>
      <c r="M536" s="1104">
        <v>89315</v>
      </c>
      <c r="N536" s="1106">
        <f t="shared" si="260"/>
        <v>7.5061938810842069E-2</v>
      </c>
      <c r="O536" s="1106">
        <f t="shared" si="261"/>
        <v>4.4874881039019203E-2</v>
      </c>
      <c r="P536" s="1104">
        <v>4008</v>
      </c>
      <c r="Q536" s="1104">
        <v>2663</v>
      </c>
      <c r="R536" s="1106">
        <f t="shared" si="262"/>
        <v>0.66442115768463073</v>
      </c>
      <c r="S536" s="1104">
        <f t="shared" si="263"/>
        <v>263.18255738522953</v>
      </c>
      <c r="T536" s="1104">
        <f t="shared" si="264"/>
        <v>396.10803229440478</v>
      </c>
      <c r="U536" s="1104">
        <v>2663000</v>
      </c>
      <c r="V536" s="1107">
        <v>2.5</v>
      </c>
      <c r="W536" s="1104">
        <v>900</v>
      </c>
      <c r="X536" s="2213"/>
      <c r="Y536" s="1732"/>
      <c r="Z536" s="1732"/>
      <c r="AA536" s="337"/>
      <c r="AB536" s="1732"/>
      <c r="AC536" s="1732"/>
      <c r="AD536" s="1732"/>
      <c r="AE536" s="1745"/>
      <c r="AF536" s="1732"/>
      <c r="AG536" s="1746"/>
      <c r="AH536" s="1689"/>
      <c r="AI536" s="1689"/>
      <c r="AJ536" s="1689"/>
    </row>
    <row r="537" spans="2:36" s="1731" customFormat="1" ht="18" customHeight="1">
      <c r="B537" s="2211"/>
      <c r="C537" s="2212" t="s">
        <v>850</v>
      </c>
      <c r="D537" s="2212"/>
      <c r="E537" s="1103"/>
      <c r="F537" s="1103"/>
      <c r="G537" s="1103"/>
      <c r="H537" s="1055">
        <f t="shared" si="265"/>
        <v>1120043.6099999999</v>
      </c>
      <c r="I537" s="1055">
        <v>756074.32</v>
      </c>
      <c r="J537" s="1055">
        <v>363969.29</v>
      </c>
      <c r="K537" s="1104">
        <v>1370277</v>
      </c>
      <c r="L537" s="1105">
        <f t="shared" si="259"/>
        <v>0.8173848134355316</v>
      </c>
      <c r="M537" s="1104">
        <v>70739</v>
      </c>
      <c r="N537" s="1106">
        <f t="shared" si="260"/>
        <v>5.1623868750624871E-2</v>
      </c>
      <c r="O537" s="1106">
        <f t="shared" si="261"/>
        <v>3.38568540691839E-2</v>
      </c>
      <c r="P537" s="1104">
        <v>2395</v>
      </c>
      <c r="Q537" s="1104">
        <v>1765</v>
      </c>
      <c r="R537" s="1106">
        <f t="shared" si="262"/>
        <v>0.73695198329853862</v>
      </c>
      <c r="S537" s="1104">
        <f t="shared" si="263"/>
        <v>467.65912734864293</v>
      </c>
      <c r="T537" s="1104">
        <f t="shared" si="264"/>
        <v>634.58561473087809</v>
      </c>
      <c r="U537" s="1104">
        <v>1765000</v>
      </c>
      <c r="V537" s="1107">
        <v>1.6</v>
      </c>
      <c r="W537" s="1104">
        <v>1600</v>
      </c>
      <c r="X537" s="2213"/>
      <c r="Y537" s="1732"/>
      <c r="Z537" s="1732"/>
      <c r="AA537" s="337"/>
      <c r="AB537" s="1732"/>
      <c r="AC537" s="1732"/>
      <c r="AD537" s="1732"/>
      <c r="AE537" s="1745"/>
      <c r="AF537" s="1732"/>
      <c r="AG537" s="1746"/>
      <c r="AH537" s="1689"/>
      <c r="AI537" s="1689"/>
      <c r="AJ537" s="1689"/>
    </row>
    <row r="538" spans="2:36" s="1731" customFormat="1" ht="18" customHeight="1">
      <c r="B538" s="2211"/>
      <c r="C538" s="2212" t="s">
        <v>851</v>
      </c>
      <c r="D538" s="2212"/>
      <c r="E538" s="1103"/>
      <c r="F538" s="1103"/>
      <c r="G538" s="1103"/>
      <c r="H538" s="1055">
        <f t="shared" si="265"/>
        <v>6839.52</v>
      </c>
      <c r="I538" s="1055">
        <v>6839.52</v>
      </c>
      <c r="J538" s="1055">
        <v>0</v>
      </c>
      <c r="K538" s="1104">
        <v>427780</v>
      </c>
      <c r="L538" s="1105">
        <f t="shared" si="259"/>
        <v>1.5988405255037638E-2</v>
      </c>
      <c r="M538" s="1104">
        <v>24239</v>
      </c>
      <c r="N538" s="1106">
        <f t="shared" si="260"/>
        <v>5.6662303052971152E-2</v>
      </c>
      <c r="O538" s="1106">
        <f t="shared" si="261"/>
        <v>3.354098766450761E-2</v>
      </c>
      <c r="P538" s="1104">
        <v>813</v>
      </c>
      <c r="Q538" s="1104">
        <v>588</v>
      </c>
      <c r="R538" s="1106">
        <f t="shared" si="262"/>
        <v>0.7232472324723247</v>
      </c>
      <c r="S538" s="1104">
        <f t="shared" si="263"/>
        <v>8.4126937269372704</v>
      </c>
      <c r="T538" s="1104">
        <f t="shared" si="264"/>
        <v>11.631836734693879</v>
      </c>
      <c r="U538" s="1104">
        <v>588000</v>
      </c>
      <c r="V538" s="1107">
        <v>86</v>
      </c>
      <c r="W538" s="1104">
        <v>470</v>
      </c>
      <c r="X538" s="2213"/>
      <c r="Y538" s="1732"/>
      <c r="Z538" s="1732"/>
      <c r="AA538" s="337"/>
      <c r="AB538" s="1732"/>
      <c r="AC538" s="1732"/>
      <c r="AD538" s="1732"/>
      <c r="AE538" s="1745"/>
      <c r="AF538" s="1732"/>
      <c r="AG538" s="1746"/>
      <c r="AH538" s="1689"/>
      <c r="AI538" s="1689"/>
      <c r="AJ538" s="1689"/>
    </row>
    <row r="539" spans="2:36" s="1731" customFormat="1" ht="18" customHeight="1">
      <c r="B539" s="2211"/>
      <c r="C539" s="2212" t="s">
        <v>852</v>
      </c>
      <c r="D539" s="2212"/>
      <c r="E539" s="1103"/>
      <c r="F539" s="1103"/>
      <c r="G539" s="1103"/>
      <c r="H539" s="1055">
        <f t="shared" si="265"/>
        <v>1045243.5700000001</v>
      </c>
      <c r="I539" s="1055">
        <v>288098.57</v>
      </c>
      <c r="J539" s="1055">
        <v>757145</v>
      </c>
      <c r="K539" s="1104">
        <v>2887838</v>
      </c>
      <c r="L539" s="1105">
        <f t="shared" si="259"/>
        <v>0.3619467470128172</v>
      </c>
      <c r="M539" s="1104">
        <v>131492</v>
      </c>
      <c r="N539" s="1106">
        <f t="shared" si="260"/>
        <v>4.5533025051959289E-2</v>
      </c>
      <c r="O539" s="1106">
        <f t="shared" si="261"/>
        <v>2.8610105557752563E-2</v>
      </c>
      <c r="P539" s="1104">
        <v>3762</v>
      </c>
      <c r="Q539" s="1104">
        <v>2443</v>
      </c>
      <c r="R539" s="1106">
        <f t="shared" si="262"/>
        <v>0.64938862307283363</v>
      </c>
      <c r="S539" s="1104">
        <f t="shared" si="263"/>
        <v>277.84252259436471</v>
      </c>
      <c r="T539" s="1104">
        <f t="shared" si="264"/>
        <v>427.85246418338113</v>
      </c>
      <c r="U539" s="1104">
        <v>2443000</v>
      </c>
      <c r="V539" s="1107">
        <v>2.2999999999999998</v>
      </c>
      <c r="W539" s="1104">
        <v>550</v>
      </c>
      <c r="X539" s="2213"/>
      <c r="Y539" s="1732"/>
      <c r="Z539" s="1732"/>
      <c r="AA539" s="337"/>
      <c r="AB539" s="1732"/>
      <c r="AC539" s="1732"/>
      <c r="AD539" s="1732"/>
      <c r="AE539" s="1745"/>
      <c r="AF539" s="1732"/>
      <c r="AG539" s="1746"/>
      <c r="AH539" s="1689"/>
      <c r="AI539" s="1689"/>
      <c r="AJ539" s="1689"/>
    </row>
    <row r="540" spans="2:36" s="1731" customFormat="1" ht="18" customHeight="1">
      <c r="B540" s="2211"/>
      <c r="C540" s="2214" t="s">
        <v>853</v>
      </c>
      <c r="D540" s="2214"/>
      <c r="E540" s="1110"/>
      <c r="F540" s="1110"/>
      <c r="G540" s="1110"/>
      <c r="H540" s="1111" t="s">
        <v>167</v>
      </c>
      <c r="I540" s="1111" t="s">
        <v>167</v>
      </c>
      <c r="J540" s="1111" t="s">
        <v>167</v>
      </c>
      <c r="K540" s="1112" t="s">
        <v>167</v>
      </c>
      <c r="L540" s="1113" t="s">
        <v>167</v>
      </c>
      <c r="M540" s="1112" t="s">
        <v>167</v>
      </c>
      <c r="N540" s="1114" t="s">
        <v>167</v>
      </c>
      <c r="O540" s="1114" t="s">
        <v>167</v>
      </c>
      <c r="P540" s="1112" t="s">
        <v>167</v>
      </c>
      <c r="Q540" s="1112" t="s">
        <v>167</v>
      </c>
      <c r="R540" s="1114" t="s">
        <v>167</v>
      </c>
      <c r="S540" s="1112" t="s">
        <v>167</v>
      </c>
      <c r="T540" s="1112" t="s">
        <v>167</v>
      </c>
      <c r="U540" s="1112" t="s">
        <v>167</v>
      </c>
      <c r="V540" s="1115" t="s">
        <v>167</v>
      </c>
      <c r="W540" s="1112">
        <v>550</v>
      </c>
      <c r="X540" s="2213"/>
      <c r="Y540" s="1732"/>
      <c r="Z540" s="1732"/>
      <c r="AA540" s="337"/>
      <c r="AB540" s="1732"/>
      <c r="AC540" s="1732"/>
      <c r="AD540" s="1732"/>
      <c r="AE540" s="1745"/>
      <c r="AF540" s="1732"/>
      <c r="AG540" s="1746"/>
      <c r="AH540" s="1689"/>
      <c r="AI540" s="1689"/>
      <c r="AJ540" s="1689"/>
    </row>
    <row r="541" spans="2:36" s="1731" customFormat="1" ht="18" customHeight="1">
      <c r="B541" s="2211"/>
      <c r="C541" s="2214" t="s">
        <v>854</v>
      </c>
      <c r="D541" s="2214"/>
      <c r="E541" s="1110"/>
      <c r="F541" s="1110"/>
      <c r="G541" s="1110"/>
      <c r="H541" s="1111" t="s">
        <v>167</v>
      </c>
      <c r="I541" s="1111" t="s">
        <v>167</v>
      </c>
      <c r="J541" s="1111" t="s">
        <v>167</v>
      </c>
      <c r="K541" s="1112" t="s">
        <v>167</v>
      </c>
      <c r="L541" s="1113" t="s">
        <v>167</v>
      </c>
      <c r="M541" s="1112" t="s">
        <v>167</v>
      </c>
      <c r="N541" s="1114" t="s">
        <v>167</v>
      </c>
      <c r="O541" s="1114" t="s">
        <v>167</v>
      </c>
      <c r="P541" s="1112" t="s">
        <v>167</v>
      </c>
      <c r="Q541" s="1112" t="s">
        <v>167</v>
      </c>
      <c r="R541" s="1114" t="s">
        <v>167</v>
      </c>
      <c r="S541" s="1112" t="s">
        <v>167</v>
      </c>
      <c r="T541" s="1112" t="s">
        <v>167</v>
      </c>
      <c r="U541" s="1112" t="s">
        <v>167</v>
      </c>
      <c r="V541" s="1115" t="s">
        <v>167</v>
      </c>
      <c r="W541" s="1112">
        <v>1000</v>
      </c>
      <c r="X541" s="2213"/>
      <c r="Y541" s="1732"/>
      <c r="Z541" s="1732"/>
      <c r="AA541" s="337"/>
      <c r="AB541" s="1732"/>
      <c r="AC541" s="1732"/>
      <c r="AD541" s="1732"/>
      <c r="AE541" s="1745"/>
      <c r="AF541" s="1732"/>
      <c r="AG541" s="1746"/>
      <c r="AH541" s="1689"/>
      <c r="AI541" s="1689"/>
      <c r="AJ541" s="1689"/>
    </row>
    <row r="542" spans="2:36" s="1731" customFormat="1" ht="18" customHeight="1">
      <c r="B542" s="2211"/>
      <c r="C542" s="2215" t="s">
        <v>0</v>
      </c>
      <c r="D542" s="2215"/>
      <c r="E542" s="1116"/>
      <c r="F542" s="1116"/>
      <c r="G542" s="1116"/>
      <c r="H542" s="1066">
        <f>SUM(H530:H541)</f>
        <v>18561769.712709997</v>
      </c>
      <c r="I542" s="1066">
        <f t="shared" ref="I542:K542" si="266">SUM(I530:I541)</f>
        <v>10900750.712710001</v>
      </c>
      <c r="J542" s="1066">
        <f t="shared" si="266"/>
        <v>7661019.0000000009</v>
      </c>
      <c r="K542" s="1117">
        <f t="shared" si="266"/>
        <v>26551305</v>
      </c>
      <c r="L542" s="1118">
        <f>(H542-H538)/(K542-K538)</f>
        <v>0.71027666414505686</v>
      </c>
      <c r="M542" s="1117">
        <f>SUM(M530:M541)</f>
        <v>1104423</v>
      </c>
      <c r="N542" s="1119">
        <f>M542/K542</f>
        <v>4.1595808567601478E-2</v>
      </c>
      <c r="O542" s="1119">
        <f>P542/M542</f>
        <v>3.8263418997974509E-2</v>
      </c>
      <c r="P542" s="1117">
        <f>SUM(P530:P541)</f>
        <v>42259</v>
      </c>
      <c r="Q542" s="1117">
        <f>SUM(Q530:Q541)</f>
        <v>27651</v>
      </c>
      <c r="R542" s="1119">
        <f>Q542/P542</f>
        <v>0.6543221562270759</v>
      </c>
      <c r="S542" s="1117">
        <f>H542/P542</f>
        <v>439.2382619728341</v>
      </c>
      <c r="T542" s="1117">
        <f>H542/Q542</f>
        <v>671.28746565079007</v>
      </c>
      <c r="U542" s="1117">
        <v>27651000</v>
      </c>
      <c r="V542" s="1120">
        <v>1.5</v>
      </c>
      <c r="W542" s="1117">
        <v>1000</v>
      </c>
      <c r="X542" s="1117"/>
      <c r="Y542" s="1732"/>
      <c r="Z542" s="1732"/>
      <c r="AA542" s="337"/>
      <c r="AB542" s="1732"/>
      <c r="AC542" s="1732"/>
      <c r="AD542" s="1732"/>
      <c r="AE542" s="1745"/>
      <c r="AF542" s="1732"/>
      <c r="AG542" s="1746"/>
      <c r="AH542" s="1689"/>
      <c r="AI542" s="1689"/>
      <c r="AJ542" s="1689"/>
    </row>
  </sheetData>
  <mergeCells count="215">
    <mergeCell ref="H13:J13"/>
    <mergeCell ref="K13:X13"/>
    <mergeCell ref="Y13:AF13"/>
    <mergeCell ref="X15:X19"/>
    <mergeCell ref="B35:B36"/>
    <mergeCell ref="C35:C36"/>
    <mergeCell ref="D35:D36"/>
    <mergeCell ref="E35:E36"/>
    <mergeCell ref="F35:F36"/>
    <mergeCell ref="G35:G36"/>
    <mergeCell ref="B13:B14"/>
    <mergeCell ref="C13:C14"/>
    <mergeCell ref="D13:D14"/>
    <mergeCell ref="E13:E14"/>
    <mergeCell ref="F13:F14"/>
    <mergeCell ref="G13:G14"/>
    <mergeCell ref="H35:J35"/>
    <mergeCell ref="K35:X35"/>
    <mergeCell ref="Y35:AF35"/>
    <mergeCell ref="X37:X41"/>
    <mergeCell ref="B67:B68"/>
    <mergeCell ref="C67:C68"/>
    <mergeCell ref="D67:D68"/>
    <mergeCell ref="E67:G67"/>
    <mergeCell ref="H67:J67"/>
    <mergeCell ref="K67:X67"/>
    <mergeCell ref="X107:X117"/>
    <mergeCell ref="B133:B134"/>
    <mergeCell ref="C133:C134"/>
    <mergeCell ref="D133:D134"/>
    <mergeCell ref="E133:G133"/>
    <mergeCell ref="H133:J133"/>
    <mergeCell ref="K133:X133"/>
    <mergeCell ref="Y67:AF67"/>
    <mergeCell ref="X69:X79"/>
    <mergeCell ref="B105:B106"/>
    <mergeCell ref="C105:C106"/>
    <mergeCell ref="D105:D106"/>
    <mergeCell ref="E105:G105"/>
    <mergeCell ref="H105:J105"/>
    <mergeCell ref="K105:X105"/>
    <mergeCell ref="Y105:AF105"/>
    <mergeCell ref="X160:X170"/>
    <mergeCell ref="B183:B184"/>
    <mergeCell ref="C183:C184"/>
    <mergeCell ref="D183:D184"/>
    <mergeCell ref="E183:G183"/>
    <mergeCell ref="H183:J183"/>
    <mergeCell ref="K183:X183"/>
    <mergeCell ref="Y133:AF133"/>
    <mergeCell ref="X135:X145"/>
    <mergeCell ref="B158:B159"/>
    <mergeCell ref="C158:C159"/>
    <mergeCell ref="D158:D159"/>
    <mergeCell ref="E158:G158"/>
    <mergeCell ref="H158:J158"/>
    <mergeCell ref="K158:X158"/>
    <mergeCell ref="Y158:AF158"/>
    <mergeCell ref="X211:X217"/>
    <mergeCell ref="B232:B233"/>
    <mergeCell ref="C232:C233"/>
    <mergeCell ref="D232:D233"/>
    <mergeCell ref="E232:G232"/>
    <mergeCell ref="H232:J232"/>
    <mergeCell ref="K232:X232"/>
    <mergeCell ref="Y183:AF183"/>
    <mergeCell ref="X185:X194"/>
    <mergeCell ref="B209:B210"/>
    <mergeCell ref="C209:C210"/>
    <mergeCell ref="D209:D210"/>
    <mergeCell ref="E209:G209"/>
    <mergeCell ref="H209:J209"/>
    <mergeCell ref="K209:X209"/>
    <mergeCell ref="Y209:AF209"/>
    <mergeCell ref="X258:X261"/>
    <mergeCell ref="B275:B276"/>
    <mergeCell ref="C275:C276"/>
    <mergeCell ref="D275:D276"/>
    <mergeCell ref="E275:G275"/>
    <mergeCell ref="H275:J275"/>
    <mergeCell ref="K275:X275"/>
    <mergeCell ref="Y232:AF232"/>
    <mergeCell ref="X234:X241"/>
    <mergeCell ref="B256:B257"/>
    <mergeCell ref="C256:C257"/>
    <mergeCell ref="D256:D257"/>
    <mergeCell ref="E256:G256"/>
    <mergeCell ref="H256:J256"/>
    <mergeCell ref="K256:X256"/>
    <mergeCell ref="Y256:AF256"/>
    <mergeCell ref="X303:X307"/>
    <mergeCell ref="B321:B322"/>
    <mergeCell ref="C321:C322"/>
    <mergeCell ref="D321:D322"/>
    <mergeCell ref="E321:G321"/>
    <mergeCell ref="H321:J321"/>
    <mergeCell ref="K321:X321"/>
    <mergeCell ref="Y275:AF275"/>
    <mergeCell ref="X277:X283"/>
    <mergeCell ref="B301:B302"/>
    <mergeCell ref="C301:C302"/>
    <mergeCell ref="D301:D302"/>
    <mergeCell ref="E301:G301"/>
    <mergeCell ref="H301:J301"/>
    <mergeCell ref="K301:X301"/>
    <mergeCell ref="Y301:AF301"/>
    <mergeCell ref="Y321:AF321"/>
    <mergeCell ref="X323:X327"/>
    <mergeCell ref="B341:B342"/>
    <mergeCell ref="C341:C342"/>
    <mergeCell ref="D341:D342"/>
    <mergeCell ref="E341:G341"/>
    <mergeCell ref="H341:J341"/>
    <mergeCell ref="K341:X341"/>
    <mergeCell ref="Y341:AF341"/>
    <mergeCell ref="X343:X346"/>
    <mergeCell ref="C347:D347"/>
    <mergeCell ref="C348:D348"/>
    <mergeCell ref="B363:B364"/>
    <mergeCell ref="C363:C364"/>
    <mergeCell ref="D363:D364"/>
    <mergeCell ref="E363:G363"/>
    <mergeCell ref="H363:J363"/>
    <mergeCell ref="K363:X363"/>
    <mergeCell ref="Y363:AF363"/>
    <mergeCell ref="X365:X367"/>
    <mergeCell ref="C368:D368"/>
    <mergeCell ref="C369:D369"/>
    <mergeCell ref="B383:B384"/>
    <mergeCell ref="C383:C384"/>
    <mergeCell ref="D383:D384"/>
    <mergeCell ref="E383:G383"/>
    <mergeCell ref="H383:J383"/>
    <mergeCell ref="K383:X383"/>
    <mergeCell ref="Y383:AF383"/>
    <mergeCell ref="X385:X391"/>
    <mergeCell ref="C392:D392"/>
    <mergeCell ref="C393:D393"/>
    <mergeCell ref="B404:B405"/>
    <mergeCell ref="C404:C405"/>
    <mergeCell ref="D404:D405"/>
    <mergeCell ref="E404:G404"/>
    <mergeCell ref="H404:J404"/>
    <mergeCell ref="K404:X404"/>
    <mergeCell ref="Y404:AF404"/>
    <mergeCell ref="X406:X412"/>
    <mergeCell ref="C413:D413"/>
    <mergeCell ref="C414:D414"/>
    <mergeCell ref="B425:B426"/>
    <mergeCell ref="C425:C426"/>
    <mergeCell ref="D425:D426"/>
    <mergeCell ref="E425:G425"/>
    <mergeCell ref="H425:J425"/>
    <mergeCell ref="K425:X425"/>
    <mergeCell ref="Y425:AF425"/>
    <mergeCell ref="X427:X433"/>
    <mergeCell ref="C434:D434"/>
    <mergeCell ref="C435:D435"/>
    <mergeCell ref="B446:B447"/>
    <mergeCell ref="C446:C447"/>
    <mergeCell ref="D446:D447"/>
    <mergeCell ref="E446:G446"/>
    <mergeCell ref="H446:J446"/>
    <mergeCell ref="K446:X446"/>
    <mergeCell ref="Y446:AF446"/>
    <mergeCell ref="X448:X454"/>
    <mergeCell ref="C455:D455"/>
    <mergeCell ref="B469:B470"/>
    <mergeCell ref="C469:C470"/>
    <mergeCell ref="D469:D470"/>
    <mergeCell ref="E469:G469"/>
    <mergeCell ref="H469:J469"/>
    <mergeCell ref="K469:X469"/>
    <mergeCell ref="B511:B512"/>
    <mergeCell ref="C511:D512"/>
    <mergeCell ref="E511:G511"/>
    <mergeCell ref="H511:J511"/>
    <mergeCell ref="K511:X511"/>
    <mergeCell ref="X471:X477"/>
    <mergeCell ref="C478:D478"/>
    <mergeCell ref="B489:B490"/>
    <mergeCell ref="C489:C490"/>
    <mergeCell ref="D489:D490"/>
    <mergeCell ref="E489:G489"/>
    <mergeCell ref="H489:J489"/>
    <mergeCell ref="K489:X489"/>
    <mergeCell ref="C513:D513"/>
    <mergeCell ref="X513:X516"/>
    <mergeCell ref="C514:D514"/>
    <mergeCell ref="C515:D515"/>
    <mergeCell ref="C516:D516"/>
    <mergeCell ref="C517:D517"/>
    <mergeCell ref="Y489:AF489"/>
    <mergeCell ref="X491:X497"/>
    <mergeCell ref="C498:D498"/>
    <mergeCell ref="B528:B529"/>
    <mergeCell ref="C528:D529"/>
    <mergeCell ref="E528:G528"/>
    <mergeCell ref="H528:J528"/>
    <mergeCell ref="K528:X528"/>
    <mergeCell ref="B530:B542"/>
    <mergeCell ref="C530:D530"/>
    <mergeCell ref="X530:X541"/>
    <mergeCell ref="C531:D531"/>
    <mergeCell ref="C532:D532"/>
    <mergeCell ref="C539:D539"/>
    <mergeCell ref="C540:D540"/>
    <mergeCell ref="C541:D541"/>
    <mergeCell ref="C542:D542"/>
    <mergeCell ref="C533:D533"/>
    <mergeCell ref="C534:D534"/>
    <mergeCell ref="C535:D535"/>
    <mergeCell ref="C536:D536"/>
    <mergeCell ref="C537:D537"/>
    <mergeCell ref="C538:D538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7B34-98A2-8A4C-9888-B13F2ED59B6F}">
  <dimension ref="A1:AK212"/>
  <sheetViews>
    <sheetView showGridLines="0" workbookViewId="0">
      <selection activeCell="C9" sqref="C9"/>
    </sheetView>
  </sheetViews>
  <sheetFormatPr defaultColWidth="11" defaultRowHeight="14"/>
  <cols>
    <col min="1" max="1" width="11" style="2091"/>
    <col min="2" max="2" width="26" style="2091" customWidth="1"/>
    <col min="3" max="3" width="16" style="2091" customWidth="1"/>
    <col min="4" max="4" width="18" style="2091" hidden="1" customWidth="1"/>
    <col min="5" max="5" width="16.4140625" style="2091" hidden="1" customWidth="1"/>
    <col min="6" max="6" width="11" style="2091" hidden="1" customWidth="1"/>
    <col min="7" max="7" width="22" style="2091" hidden="1" customWidth="1"/>
    <col min="8" max="16384" width="11" style="2091"/>
  </cols>
  <sheetData>
    <row r="1" spans="1:37">
      <c r="A1" s="2087"/>
      <c r="B1" s="2087"/>
      <c r="C1" s="2087"/>
      <c r="D1" s="2088"/>
      <c r="E1" s="2088"/>
      <c r="F1" s="2088"/>
      <c r="G1" s="2088"/>
      <c r="H1" s="2088"/>
      <c r="I1" s="2088"/>
      <c r="J1" s="2088"/>
      <c r="K1" s="2088"/>
      <c r="L1" s="2087"/>
      <c r="M1" s="2087"/>
      <c r="N1" s="2087"/>
      <c r="O1" s="2087"/>
      <c r="P1" s="2087"/>
      <c r="Q1" s="2087"/>
      <c r="R1" s="2087"/>
      <c r="S1" s="2087"/>
      <c r="T1" s="2087"/>
      <c r="U1" s="2087"/>
      <c r="V1" s="2087"/>
      <c r="W1" s="2087"/>
      <c r="X1" s="2087"/>
      <c r="Y1" s="2087"/>
      <c r="Z1" s="2087"/>
      <c r="AA1" s="2087"/>
      <c r="AB1" s="2087"/>
      <c r="AC1" s="2087"/>
      <c r="AD1" s="2087"/>
      <c r="AE1" s="2087"/>
      <c r="AF1" s="2087"/>
      <c r="AG1" s="2087"/>
      <c r="AH1" s="2089"/>
      <c r="AI1" s="2090"/>
      <c r="AJ1" s="2090"/>
      <c r="AK1" s="2090"/>
    </row>
    <row r="2" spans="1:37">
      <c r="A2" s="2087"/>
      <c r="B2" s="2092" t="s">
        <v>236</v>
      </c>
      <c r="C2" s="2087"/>
      <c r="D2" s="2088"/>
      <c r="E2" s="2088"/>
      <c r="F2" s="2088"/>
      <c r="G2" s="2088"/>
      <c r="H2" s="2088"/>
      <c r="I2" s="2088"/>
      <c r="J2" s="2088"/>
      <c r="K2" s="2088"/>
      <c r="L2" s="2087"/>
      <c r="M2" s="2087"/>
      <c r="N2" s="2087"/>
      <c r="O2" s="2087"/>
      <c r="P2" s="2087"/>
      <c r="Q2" s="2087"/>
      <c r="R2" s="2087"/>
      <c r="S2" s="2087"/>
      <c r="T2" s="2087"/>
      <c r="U2" s="2087"/>
      <c r="V2" s="2087"/>
      <c r="W2" s="2087"/>
      <c r="X2" s="2087"/>
      <c r="Y2" s="2087"/>
      <c r="Z2" s="2087"/>
      <c r="AA2" s="2087"/>
      <c r="AB2" s="2087"/>
      <c r="AC2" s="2087"/>
      <c r="AD2" s="2087"/>
      <c r="AE2" s="2087"/>
      <c r="AF2" s="2087"/>
      <c r="AG2" s="2087"/>
      <c r="AH2" s="2089"/>
      <c r="AI2" s="2090"/>
      <c r="AJ2" s="2090"/>
      <c r="AK2" s="2090"/>
    </row>
    <row r="3" spans="1:37">
      <c r="A3" s="2087"/>
      <c r="B3" s="2262" t="s">
        <v>182</v>
      </c>
      <c r="C3" s="2262"/>
      <c r="D3" s="2088"/>
      <c r="E3" s="2088"/>
      <c r="F3" s="2088"/>
      <c r="G3" s="2088"/>
      <c r="H3" s="2088"/>
      <c r="I3" s="2088"/>
      <c r="J3" s="2088"/>
      <c r="K3" s="2088"/>
      <c r="L3" s="2087"/>
      <c r="M3" s="2087"/>
      <c r="N3" s="2087"/>
      <c r="O3" s="2087"/>
      <c r="P3" s="2087"/>
      <c r="Q3" s="2087"/>
      <c r="R3" s="2087"/>
      <c r="S3" s="2087"/>
      <c r="T3" s="2087"/>
      <c r="U3" s="2087"/>
      <c r="V3" s="2087"/>
      <c r="W3" s="2087"/>
      <c r="X3" s="2087"/>
      <c r="Y3" s="2087"/>
      <c r="Z3" s="2087"/>
      <c r="AA3" s="2087"/>
      <c r="AB3" s="2087"/>
      <c r="AC3" s="2087"/>
      <c r="AD3" s="2087"/>
      <c r="AE3" s="2087"/>
      <c r="AF3" s="2087"/>
      <c r="AG3" s="2087"/>
      <c r="AH3" s="2089"/>
      <c r="AI3" s="2090"/>
      <c r="AJ3" s="2090"/>
      <c r="AK3" s="2090"/>
    </row>
    <row r="4" spans="1:37">
      <c r="A4" s="2087"/>
      <c r="B4" s="2262" t="s">
        <v>726</v>
      </c>
      <c r="C4" s="2262"/>
      <c r="D4" s="2262"/>
      <c r="E4" s="2262"/>
      <c r="F4" s="2262"/>
      <c r="G4" s="2262"/>
      <c r="H4" s="2262"/>
      <c r="I4" s="2262"/>
      <c r="J4" s="2262"/>
      <c r="K4" s="2262"/>
      <c r="L4" s="2262"/>
      <c r="M4" s="2087"/>
      <c r="N4" s="2087"/>
      <c r="O4" s="2087"/>
      <c r="P4" s="2087"/>
      <c r="Q4" s="2087"/>
      <c r="R4" s="2087"/>
      <c r="S4" s="2087"/>
      <c r="T4" s="2087"/>
      <c r="U4" s="2087"/>
      <c r="V4" s="2087"/>
      <c r="W4" s="2087"/>
      <c r="X4" s="2087"/>
      <c r="Y4" s="2087"/>
      <c r="Z4" s="2087"/>
      <c r="AA4" s="2087"/>
      <c r="AB4" s="2087"/>
      <c r="AC4" s="2087"/>
      <c r="AD4" s="2087"/>
      <c r="AE4" s="2087"/>
      <c r="AF4" s="2087"/>
      <c r="AG4" s="2087"/>
      <c r="AH4" s="2089"/>
      <c r="AI4" s="2090"/>
      <c r="AJ4" s="2090"/>
      <c r="AK4" s="2090"/>
    </row>
    <row r="5" spans="1:37">
      <c r="A5" s="2087"/>
      <c r="B5" s="2262" t="s">
        <v>727</v>
      </c>
      <c r="C5" s="2262"/>
      <c r="D5" s="2262"/>
      <c r="E5" s="2088"/>
      <c r="F5" s="2088"/>
      <c r="G5" s="2088"/>
      <c r="H5" s="2088"/>
      <c r="I5" s="2088"/>
      <c r="J5" s="2088"/>
      <c r="K5" s="2088"/>
      <c r="L5" s="2087"/>
      <c r="M5" s="2087"/>
      <c r="N5" s="2087"/>
      <c r="O5" s="2087"/>
      <c r="P5" s="2087"/>
      <c r="Q5" s="2087"/>
      <c r="R5" s="2087"/>
      <c r="S5" s="2087"/>
      <c r="T5" s="2087"/>
      <c r="U5" s="2087"/>
      <c r="V5" s="2087"/>
      <c r="W5" s="2087"/>
      <c r="X5" s="2087"/>
      <c r="Y5" s="2087"/>
      <c r="Z5" s="2087"/>
      <c r="AA5" s="2087"/>
      <c r="AB5" s="2087"/>
      <c r="AC5" s="2087"/>
      <c r="AD5" s="2087"/>
      <c r="AE5" s="2087"/>
      <c r="AF5" s="2087"/>
      <c r="AG5" s="2087"/>
      <c r="AH5" s="2089"/>
      <c r="AI5" s="2090"/>
      <c r="AJ5" s="2090"/>
      <c r="AK5" s="2090"/>
    </row>
    <row r="6" spans="1:37">
      <c r="A6" s="2087"/>
      <c r="B6" s="2092"/>
      <c r="C6" s="2087"/>
      <c r="D6" s="2088"/>
      <c r="E6" s="2088"/>
      <c r="F6" s="2088"/>
      <c r="G6" s="2088"/>
      <c r="H6" s="2088"/>
      <c r="I6" s="2088"/>
      <c r="J6" s="2088"/>
      <c r="K6" s="2088"/>
      <c r="L6" s="2087"/>
      <c r="M6" s="2087"/>
      <c r="N6" s="2087"/>
      <c r="O6" s="2087"/>
      <c r="P6" s="2087"/>
      <c r="Q6" s="2087"/>
      <c r="R6" s="2087"/>
      <c r="S6" s="2087"/>
      <c r="T6" s="2087"/>
      <c r="U6" s="2087"/>
      <c r="V6" s="2087"/>
      <c r="W6" s="2087"/>
      <c r="X6" s="2087"/>
      <c r="Y6" s="2087"/>
      <c r="Z6" s="2087"/>
      <c r="AA6" s="2087"/>
      <c r="AB6" s="2087"/>
      <c r="AC6" s="2087"/>
      <c r="AD6" s="2087"/>
      <c r="AE6" s="2087"/>
      <c r="AF6" s="2087"/>
      <c r="AG6" s="2087"/>
      <c r="AH6" s="2089"/>
      <c r="AI6" s="2090"/>
      <c r="AJ6" s="2090"/>
      <c r="AK6" s="2090"/>
    </row>
    <row r="7" spans="1:37" ht="20">
      <c r="A7" s="2093"/>
      <c r="B7" s="2263" t="s">
        <v>855</v>
      </c>
      <c r="C7" s="2263"/>
      <c r="D7" s="2263"/>
      <c r="E7" s="2263"/>
      <c r="F7" s="2094"/>
      <c r="G7" s="2094"/>
      <c r="H7" s="2093"/>
      <c r="I7" s="2093"/>
      <c r="J7" s="2093"/>
      <c r="K7" s="2093"/>
      <c r="L7" s="2093"/>
      <c r="M7" s="2093"/>
      <c r="N7" s="2093"/>
      <c r="O7" s="2093"/>
      <c r="P7" s="2093"/>
      <c r="Q7" s="2093"/>
      <c r="R7" s="2093"/>
      <c r="S7" s="2093"/>
      <c r="T7" s="2093"/>
      <c r="U7" s="2093"/>
      <c r="V7" s="2093"/>
      <c r="W7" s="2093"/>
      <c r="X7" s="2093"/>
      <c r="Y7" s="2093"/>
      <c r="Z7" s="2093"/>
      <c r="AA7" s="2093"/>
      <c r="AB7" s="2093"/>
      <c r="AC7" s="2093"/>
      <c r="AD7" s="2093"/>
      <c r="AE7" s="2093"/>
      <c r="AF7" s="2093"/>
      <c r="AG7" s="2093"/>
      <c r="AH7" s="2095"/>
      <c r="AI7" s="2095"/>
      <c r="AJ7" s="2095"/>
      <c r="AK7" s="2095"/>
    </row>
    <row r="8" spans="1:37">
      <c r="A8" s="2096"/>
      <c r="B8" s="2096" t="s">
        <v>238</v>
      </c>
      <c r="C8" s="2097" t="s">
        <v>533</v>
      </c>
      <c r="D8" s="2097"/>
      <c r="E8" s="2098"/>
      <c r="F8" s="2098"/>
      <c r="G8" s="2097"/>
      <c r="H8" s="2096"/>
      <c r="I8" s="2096"/>
      <c r="J8" s="2099"/>
      <c r="K8" s="2096"/>
      <c r="L8" s="2096"/>
      <c r="M8" s="2096"/>
      <c r="N8" s="2096"/>
      <c r="O8" s="2096"/>
      <c r="P8" s="2096"/>
      <c r="Q8" s="2096"/>
      <c r="R8" s="2096"/>
      <c r="S8" s="2096"/>
      <c r="T8" s="2096"/>
      <c r="U8" s="2096"/>
      <c r="V8" s="2096"/>
      <c r="W8" s="2096"/>
      <c r="X8" s="2096"/>
      <c r="Y8" s="2096"/>
      <c r="Z8" s="2096"/>
      <c r="AA8" s="2096"/>
      <c r="AB8" s="2096"/>
      <c r="AC8" s="2096"/>
      <c r="AD8" s="2096"/>
      <c r="AE8" s="2096"/>
      <c r="AF8" s="2096"/>
      <c r="AG8" s="2096"/>
      <c r="AH8" s="2100"/>
      <c r="AI8" s="2100"/>
      <c r="AJ8" s="2100"/>
      <c r="AK8" s="2100"/>
    </row>
    <row r="9" spans="1:37">
      <c r="A9" s="2096"/>
      <c r="B9" s="2096" t="s">
        <v>82</v>
      </c>
      <c r="C9" s="2097" t="s">
        <v>728</v>
      </c>
      <c r="D9" s="2097"/>
      <c r="E9" s="2098"/>
      <c r="F9" s="2098"/>
      <c r="G9" s="2097"/>
      <c r="H9" s="2096"/>
      <c r="I9" s="2096"/>
      <c r="J9" s="2096"/>
      <c r="K9" s="2096"/>
      <c r="L9" s="2096"/>
      <c r="M9" s="2096"/>
      <c r="N9" s="2096"/>
      <c r="O9" s="2096"/>
      <c r="P9" s="2096"/>
      <c r="Q9" s="2096"/>
      <c r="R9" s="2096"/>
      <c r="S9" s="2096"/>
      <c r="T9" s="2096"/>
      <c r="U9" s="2096"/>
      <c r="V9" s="2096"/>
      <c r="W9" s="2096"/>
      <c r="X9" s="2096"/>
      <c r="Y9" s="2096"/>
      <c r="Z9" s="2096"/>
      <c r="AA9" s="2096"/>
      <c r="AB9" s="2096"/>
      <c r="AC9" s="2096"/>
      <c r="AD9" s="2096"/>
      <c r="AE9" s="2096"/>
      <c r="AF9" s="2096"/>
      <c r="AG9" s="2096"/>
      <c r="AH9" s="2100"/>
      <c r="AI9" s="2100"/>
      <c r="AJ9" s="2100"/>
      <c r="AK9" s="2100"/>
    </row>
    <row r="10" spans="1:37">
      <c r="A10" s="2096"/>
      <c r="B10" s="2096" t="s">
        <v>81</v>
      </c>
      <c r="C10" s="2264" t="s">
        <v>729</v>
      </c>
      <c r="D10" s="2264"/>
      <c r="E10" s="2098"/>
      <c r="F10" s="2098"/>
      <c r="G10" s="2097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2096"/>
      <c r="S10" s="2096"/>
      <c r="T10" s="2096"/>
      <c r="U10" s="2096"/>
      <c r="V10" s="2096"/>
      <c r="W10" s="2096"/>
      <c r="X10" s="2096"/>
      <c r="Y10" s="2096"/>
      <c r="Z10" s="2096"/>
      <c r="AA10" s="2096"/>
      <c r="AB10" s="2096"/>
      <c r="AC10" s="2096"/>
      <c r="AD10" s="2096"/>
      <c r="AE10" s="2096"/>
      <c r="AF10" s="2096"/>
      <c r="AG10" s="2096"/>
      <c r="AH10" s="2100"/>
      <c r="AI10" s="2100"/>
      <c r="AJ10" s="2100"/>
      <c r="AK10" s="2100"/>
    </row>
    <row r="11" spans="1:37">
      <c r="A11" s="2096"/>
      <c r="B11" s="2096"/>
      <c r="C11" s="2098"/>
      <c r="D11" s="2098"/>
      <c r="E11" s="2098"/>
      <c r="F11" s="2098"/>
      <c r="G11" s="2098"/>
      <c r="H11" s="2096"/>
      <c r="I11" s="2096"/>
      <c r="J11" s="2096"/>
      <c r="K11" s="2096"/>
      <c r="L11" s="2096"/>
      <c r="M11" s="2096"/>
      <c r="N11" s="2096"/>
      <c r="O11" s="2096"/>
      <c r="P11" s="2096"/>
      <c r="Q11" s="2096"/>
      <c r="R11" s="2096"/>
      <c r="S11" s="2096"/>
      <c r="T11" s="2096"/>
      <c r="U11" s="2096"/>
      <c r="V11" s="2096"/>
      <c r="W11" s="2096"/>
      <c r="X11" s="2096"/>
      <c r="Y11" s="2096"/>
      <c r="Z11" s="2096"/>
      <c r="AA11" s="2096"/>
      <c r="AB11" s="2096"/>
      <c r="AC11" s="2096"/>
      <c r="AD11" s="2096"/>
      <c r="AE11" s="2096"/>
      <c r="AF11" s="2096"/>
      <c r="AG11" s="2096"/>
      <c r="AH11" s="2100"/>
      <c r="AI11" s="2100"/>
      <c r="AJ11" s="2100"/>
      <c r="AK11" s="2100"/>
    </row>
    <row r="12" spans="1:37" ht="16" customHeight="1">
      <c r="A12" s="2096"/>
      <c r="B12" s="2096"/>
      <c r="C12" s="2098"/>
      <c r="D12" s="2098"/>
      <c r="E12" s="2098"/>
      <c r="F12" s="2098"/>
      <c r="G12" s="2098"/>
      <c r="H12" s="2096"/>
      <c r="I12" s="2096"/>
      <c r="J12" s="2096"/>
      <c r="K12" s="2096"/>
      <c r="L12" s="2096"/>
      <c r="M12" s="2096"/>
      <c r="N12" s="2096"/>
      <c r="O12" s="2096"/>
      <c r="P12" s="2096"/>
      <c r="Q12" s="2096"/>
      <c r="R12" s="2096"/>
      <c r="S12" s="2096"/>
      <c r="T12" s="2096"/>
      <c r="U12" s="2096"/>
      <c r="V12" s="2096"/>
      <c r="W12" s="2096"/>
      <c r="X12" s="2096"/>
      <c r="Y12" s="2096"/>
      <c r="Z12" s="2096"/>
      <c r="AA12" s="2096"/>
      <c r="AB12" s="2096"/>
      <c r="AC12" s="2096"/>
      <c r="AD12" s="2096"/>
      <c r="AE12" s="2096"/>
      <c r="AF12" s="2096"/>
      <c r="AG12" s="2096"/>
      <c r="AH12" s="2100"/>
      <c r="AI12" s="2100"/>
      <c r="AJ12" s="2100"/>
      <c r="AK12" s="2100"/>
    </row>
    <row r="13" spans="1:37" ht="16" customHeight="1" thickBot="1">
      <c r="A13" s="2101"/>
      <c r="B13" s="2102" t="s">
        <v>730</v>
      </c>
      <c r="C13" s="2103"/>
      <c r="D13" s="2100"/>
      <c r="E13" s="2100"/>
      <c r="F13" s="2100"/>
      <c r="G13" s="2100"/>
      <c r="H13" s="2100"/>
      <c r="I13" s="2100"/>
      <c r="J13" s="2100"/>
      <c r="K13" s="2100"/>
      <c r="L13" s="2100"/>
      <c r="M13" s="2100"/>
      <c r="N13" s="2100"/>
      <c r="O13" s="2100"/>
      <c r="P13" s="2100"/>
      <c r="Q13" s="2100"/>
      <c r="R13" s="2100"/>
      <c r="S13" s="2100"/>
      <c r="T13" s="2100"/>
      <c r="U13" s="2100"/>
      <c r="V13" s="2100"/>
      <c r="W13" s="2100"/>
      <c r="X13" s="2100"/>
      <c r="Y13" s="2100"/>
      <c r="Z13" s="2100"/>
      <c r="AA13" s="2100"/>
      <c r="AB13" s="2100"/>
      <c r="AC13" s="2104"/>
      <c r="AD13" s="2104"/>
      <c r="AE13" s="2104"/>
      <c r="AF13" s="2104"/>
      <c r="AG13" s="2104"/>
      <c r="AH13" s="2100"/>
      <c r="AI13" s="2100"/>
      <c r="AJ13" s="2100"/>
      <c r="AK13" s="2100"/>
    </row>
    <row r="14" spans="1:37" ht="33.5" customHeight="1" thickBot="1">
      <c r="A14" s="2101"/>
      <c r="B14" s="2249" t="s">
        <v>32</v>
      </c>
      <c r="C14" s="2250" t="s">
        <v>31</v>
      </c>
      <c r="D14" s="2250" t="s">
        <v>437</v>
      </c>
      <c r="E14" s="2250" t="s">
        <v>439</v>
      </c>
      <c r="F14" s="2250" t="s">
        <v>441</v>
      </c>
      <c r="G14" s="2250" t="s">
        <v>30</v>
      </c>
      <c r="H14" s="2257" t="s">
        <v>731</v>
      </c>
      <c r="I14" s="2258"/>
      <c r="J14" s="2259"/>
      <c r="K14" s="2260" t="s">
        <v>732</v>
      </c>
      <c r="L14" s="2261"/>
      <c r="M14" s="2261"/>
      <c r="N14" s="2261"/>
      <c r="O14" s="2261"/>
      <c r="P14" s="2261"/>
      <c r="Q14" s="2261"/>
      <c r="R14" s="2261"/>
      <c r="S14" s="2261"/>
      <c r="T14" s="2261"/>
      <c r="U14" s="2261"/>
      <c r="V14" s="2261"/>
      <c r="W14" s="2261"/>
      <c r="X14" s="2246" t="s">
        <v>27</v>
      </c>
      <c r="Y14" s="2246"/>
      <c r="Z14" s="2246"/>
      <c r="AA14" s="2246"/>
      <c r="AB14" s="2246"/>
      <c r="AC14" s="2246"/>
      <c r="AD14" s="2246"/>
      <c r="AE14" s="2246"/>
      <c r="AF14" s="2104"/>
      <c r="AG14" s="2104"/>
      <c r="AH14" s="2104"/>
      <c r="AI14" s="2104"/>
      <c r="AJ14" s="2104"/>
      <c r="AK14" s="2100"/>
    </row>
    <row r="15" spans="1:37" ht="70">
      <c r="A15" s="2101"/>
      <c r="B15" s="2249"/>
      <c r="C15" s="2250"/>
      <c r="D15" s="2250"/>
      <c r="E15" s="2250"/>
      <c r="F15" s="2250"/>
      <c r="G15" s="2250"/>
      <c r="H15" s="2106" t="s">
        <v>26</v>
      </c>
      <c r="I15" s="2107" t="s">
        <v>733</v>
      </c>
      <c r="J15" s="2108" t="s">
        <v>250</v>
      </c>
      <c r="K15" s="2107" t="s">
        <v>23</v>
      </c>
      <c r="L15" s="2109" t="s">
        <v>734</v>
      </c>
      <c r="M15" s="2109" t="s">
        <v>735</v>
      </c>
      <c r="N15" s="2109" t="s">
        <v>736</v>
      </c>
      <c r="O15" s="2109" t="s">
        <v>737</v>
      </c>
      <c r="P15" s="2109" t="s">
        <v>18</v>
      </c>
      <c r="Q15" s="2109" t="s">
        <v>17</v>
      </c>
      <c r="R15" s="2109" t="s">
        <v>738</v>
      </c>
      <c r="S15" s="2109" t="s">
        <v>739</v>
      </c>
      <c r="T15" s="2109" t="s">
        <v>740</v>
      </c>
      <c r="U15" s="2109" t="s">
        <v>741</v>
      </c>
      <c r="V15" s="2110" t="s">
        <v>742</v>
      </c>
      <c r="W15" s="2111" t="s">
        <v>11</v>
      </c>
      <c r="X15" s="2109" t="s">
        <v>10</v>
      </c>
      <c r="Y15" s="2109" t="s">
        <v>9</v>
      </c>
      <c r="Z15" s="2109" t="s">
        <v>8</v>
      </c>
      <c r="AA15" s="2109" t="s">
        <v>7</v>
      </c>
      <c r="AB15" s="2109" t="s">
        <v>6</v>
      </c>
      <c r="AC15" s="2109" t="s">
        <v>5</v>
      </c>
      <c r="AD15" s="2109" t="s">
        <v>4</v>
      </c>
      <c r="AE15" s="2112" t="s">
        <v>3</v>
      </c>
      <c r="AF15" s="2104"/>
      <c r="AG15" s="2104"/>
      <c r="AH15" s="2104"/>
      <c r="AI15" s="2104"/>
      <c r="AJ15" s="2104"/>
      <c r="AK15" s="2100"/>
    </row>
    <row r="16" spans="1:37" ht="16" customHeight="1" thickBot="1">
      <c r="A16" s="2101"/>
      <c r="B16" s="2113" t="s">
        <v>743</v>
      </c>
      <c r="C16" s="2114" t="s">
        <v>856</v>
      </c>
      <c r="D16" s="2114" t="s">
        <v>542</v>
      </c>
      <c r="E16" s="2114" t="s">
        <v>744</v>
      </c>
      <c r="F16" s="2114" t="s">
        <v>745</v>
      </c>
      <c r="G16" s="2114" t="s">
        <v>746</v>
      </c>
      <c r="H16" s="2115">
        <f>I16+J16</f>
        <v>14205796.57</v>
      </c>
      <c r="I16" s="2116">
        <v>7523660.5700000003</v>
      </c>
      <c r="J16" s="2117">
        <v>6682136</v>
      </c>
      <c r="K16" s="2118">
        <v>23377241</v>
      </c>
      <c r="L16" s="2119">
        <f>H16/K16</f>
        <v>0.60767635368091555</v>
      </c>
      <c r="M16" s="2118">
        <v>701055</v>
      </c>
      <c r="N16" s="2120">
        <f>M16/K16</f>
        <v>2.9988782679701169E-2</v>
      </c>
      <c r="O16" s="2120">
        <f>P16/M16</f>
        <v>3.0472644799623423E-2</v>
      </c>
      <c r="P16" s="2118">
        <v>21363</v>
      </c>
      <c r="Q16" s="2118">
        <v>14691</v>
      </c>
      <c r="R16" s="2121">
        <f>Q16/P16</f>
        <v>0.68768431400084262</v>
      </c>
      <c r="S16" s="2122">
        <f>H16/P16</f>
        <v>664.97198754856527</v>
      </c>
      <c r="T16" s="2122">
        <f>H16/Q16</f>
        <v>966.97274317609424</v>
      </c>
      <c r="U16" s="2118">
        <f>Q16*W16</f>
        <v>48774120</v>
      </c>
      <c r="V16" s="2123">
        <f>U16/H16</f>
        <v>3.4333956395660254</v>
      </c>
      <c r="W16" s="2124">
        <v>3320</v>
      </c>
      <c r="X16" s="2118">
        <v>5027</v>
      </c>
      <c r="Y16" s="2118">
        <v>3153</v>
      </c>
      <c r="Z16" s="2125">
        <f>Y16/X16</f>
        <v>0.62721304953252432</v>
      </c>
      <c r="AA16" s="2126">
        <f>H16/X16</f>
        <v>2825.8994569325641</v>
      </c>
      <c r="AB16" s="2126">
        <f>H16/Y16</f>
        <v>4505.4857500792896</v>
      </c>
      <c r="AC16" s="2127">
        <f>Y16*AE16</f>
        <v>7664943</v>
      </c>
      <c r="AD16" s="2128">
        <f>AC16/H16</f>
        <v>0.53956446315632411</v>
      </c>
      <c r="AE16" s="2129">
        <v>2431</v>
      </c>
      <c r="AF16" s="2104"/>
      <c r="AG16" s="2104"/>
      <c r="AH16" s="2104"/>
      <c r="AI16" s="2104"/>
      <c r="AJ16" s="2104"/>
      <c r="AK16" s="2100"/>
    </row>
    <row r="17" spans="1:37" ht="16" customHeight="1" thickBot="1">
      <c r="A17" s="2101"/>
      <c r="B17" s="2113" t="s">
        <v>747</v>
      </c>
      <c r="C17" s="2114" t="s">
        <v>857</v>
      </c>
      <c r="D17" s="2114" t="s">
        <v>542</v>
      </c>
      <c r="E17" s="2114" t="s">
        <v>450</v>
      </c>
      <c r="F17" s="2114" t="s">
        <v>745</v>
      </c>
      <c r="G17" s="2114" t="s">
        <v>748</v>
      </c>
      <c r="H17" s="2115">
        <f t="shared" ref="H17:H18" si="0">I17+J17</f>
        <v>13083696.539999999</v>
      </c>
      <c r="I17" s="2116">
        <v>7277884.7599999998</v>
      </c>
      <c r="J17" s="2117">
        <v>5805811.7800000003</v>
      </c>
      <c r="K17" s="2118">
        <v>25698248</v>
      </c>
      <c r="L17" s="2119">
        <f t="shared" ref="L17:L18" si="1">H17/K17</f>
        <v>0.50912795845070835</v>
      </c>
      <c r="M17" s="2118">
        <v>561135</v>
      </c>
      <c r="N17" s="2120">
        <f t="shared" ref="N17:N18" si="2">M17/K17</f>
        <v>2.1835535247383402E-2</v>
      </c>
      <c r="O17" s="2120">
        <f t="shared" ref="O17:O18" si="3">P17/M17</f>
        <v>2.7743769324672315E-2</v>
      </c>
      <c r="P17" s="2118">
        <v>15568</v>
      </c>
      <c r="Q17" s="2118">
        <v>10900</v>
      </c>
      <c r="R17" s="2121">
        <f t="shared" ref="R17:R18" si="4">Q17/P17</f>
        <v>0.70015416238437822</v>
      </c>
      <c r="S17" s="2122">
        <f t="shared" ref="S17:S18" si="5">H17/P17</f>
        <v>840.4224396197327</v>
      </c>
      <c r="T17" s="2122">
        <f t="shared" ref="T17:T18" si="6">H17/Q17</f>
        <v>1200.3391321100917</v>
      </c>
      <c r="U17" s="2118">
        <f t="shared" ref="U17:U18" si="7">Q17*W17</f>
        <v>36188000</v>
      </c>
      <c r="V17" s="2123">
        <f t="shared" ref="V17:V18" si="8">U17/H17</f>
        <v>2.765884999653164</v>
      </c>
      <c r="W17" s="2124">
        <v>3320</v>
      </c>
      <c r="X17" s="2114">
        <v>527</v>
      </c>
      <c r="Y17" s="2114">
        <v>309</v>
      </c>
      <c r="Z17" s="2125">
        <f t="shared" ref="Z17:Z18" si="9">Y17/X17</f>
        <v>0.58633776091081591</v>
      </c>
      <c r="AA17" s="2126">
        <f t="shared" ref="AA17:AA18" si="10">H17/X17</f>
        <v>24826.748652751423</v>
      </c>
      <c r="AB17" s="2126">
        <f t="shared" ref="AB17:AB18" si="11">H17/Y17</f>
        <v>42342.06</v>
      </c>
      <c r="AC17" s="2127">
        <f t="shared" ref="AC17" si="12">Y17*AE17</f>
        <v>543840</v>
      </c>
      <c r="AD17" s="2128">
        <f t="shared" ref="AD17:AD18" si="13">AC17/H17</f>
        <v>4.1566234613998471E-2</v>
      </c>
      <c r="AE17" s="2129">
        <v>1760</v>
      </c>
      <c r="AF17" s="2104"/>
      <c r="AG17" s="2104"/>
      <c r="AH17" s="2104"/>
      <c r="AI17" s="2104"/>
      <c r="AJ17" s="2104"/>
      <c r="AK17" s="2100"/>
    </row>
    <row r="18" spans="1:37" ht="16" customHeight="1" thickBot="1">
      <c r="A18" s="2101"/>
      <c r="B18" s="2256" t="s">
        <v>0</v>
      </c>
      <c r="C18" s="2256"/>
      <c r="D18" s="2130"/>
      <c r="E18" s="2130"/>
      <c r="F18" s="2130"/>
      <c r="G18" s="2130"/>
      <c r="H18" s="2131">
        <f t="shared" si="0"/>
        <v>27289493.109999999</v>
      </c>
      <c r="I18" s="2132">
        <f>I16+I17</f>
        <v>14801545.33</v>
      </c>
      <c r="J18" s="2133">
        <f>J16+J17</f>
        <v>12487947.780000001</v>
      </c>
      <c r="K18" s="2134">
        <f>K16+K17</f>
        <v>49075489</v>
      </c>
      <c r="L18" s="2135">
        <f t="shared" si="1"/>
        <v>0.5560717512157648</v>
      </c>
      <c r="M18" s="2134">
        <f>M16+M17</f>
        <v>1262190</v>
      </c>
      <c r="N18" s="2136">
        <f t="shared" si="2"/>
        <v>2.5719356561072677E-2</v>
      </c>
      <c r="O18" s="2136">
        <f t="shared" si="3"/>
        <v>2.9259461729216681E-2</v>
      </c>
      <c r="P18" s="2134">
        <f t="shared" ref="P18:Q18" si="14">P16+P17</f>
        <v>36931</v>
      </c>
      <c r="Q18" s="2134">
        <f t="shared" si="14"/>
        <v>25591</v>
      </c>
      <c r="R18" s="2137">
        <f t="shared" si="4"/>
        <v>0.69294088976740409</v>
      </c>
      <c r="S18" s="2138">
        <f t="shared" si="5"/>
        <v>738.93187593078983</v>
      </c>
      <c r="T18" s="2138">
        <f t="shared" si="6"/>
        <v>1066.3707205658238</v>
      </c>
      <c r="U18" s="2134">
        <f t="shared" si="7"/>
        <v>56300200</v>
      </c>
      <c r="V18" s="2139">
        <f t="shared" si="8"/>
        <v>2.063072398342543</v>
      </c>
      <c r="W18" s="2134">
        <v>2200</v>
      </c>
      <c r="X18" s="2140">
        <f>X16+X17</f>
        <v>5554</v>
      </c>
      <c r="Y18" s="2130">
        <f>Y16+Y17</f>
        <v>3462</v>
      </c>
      <c r="Z18" s="2141">
        <f t="shared" si="9"/>
        <v>0.62333453366942748</v>
      </c>
      <c r="AA18" s="2142">
        <f t="shared" si="10"/>
        <v>4913.4845354699319</v>
      </c>
      <c r="AB18" s="2142">
        <f t="shared" si="11"/>
        <v>7882.5803321779313</v>
      </c>
      <c r="AC18" s="2142">
        <f>AC16+AC17</f>
        <v>8208783</v>
      </c>
      <c r="AD18" s="2143">
        <f t="shared" si="13"/>
        <v>0.30080379166119292</v>
      </c>
      <c r="AE18" s="2144">
        <f>AC18/Y18</f>
        <v>2371.1100519930674</v>
      </c>
      <c r="AF18" s="2104"/>
      <c r="AG18" s="2104"/>
      <c r="AH18" s="2104"/>
      <c r="AI18" s="2104"/>
      <c r="AJ18" s="2104"/>
      <c r="AK18" s="2100"/>
    </row>
    <row r="19" spans="1:37">
      <c r="A19" s="2096"/>
      <c r="B19" s="2096"/>
      <c r="C19" s="2098"/>
      <c r="D19" s="2098"/>
      <c r="E19" s="2098"/>
      <c r="F19" s="2098"/>
      <c r="G19" s="2098"/>
      <c r="H19" s="2096"/>
      <c r="I19" s="2096"/>
      <c r="J19" s="2096"/>
      <c r="K19" s="2096"/>
      <c r="L19" s="2096"/>
      <c r="M19" s="2096"/>
      <c r="N19" s="2096"/>
      <c r="O19" s="2096"/>
      <c r="P19" s="2096"/>
      <c r="Q19" s="2096"/>
      <c r="R19" s="2096"/>
      <c r="S19" s="2096"/>
      <c r="T19" s="2096"/>
      <c r="U19" s="2096"/>
      <c r="V19" s="2096"/>
      <c r="W19" s="2096"/>
      <c r="X19" s="2096"/>
      <c r="Y19" s="2096"/>
      <c r="Z19" s="2096"/>
      <c r="AA19" s="2096"/>
      <c r="AB19" s="2096"/>
      <c r="AC19" s="2096"/>
      <c r="AD19" s="2096"/>
      <c r="AE19" s="2096"/>
      <c r="AF19" s="2096"/>
      <c r="AG19" s="2096"/>
      <c r="AH19" s="2100"/>
      <c r="AI19" s="2100"/>
      <c r="AJ19" s="2100"/>
      <c r="AK19" s="2100"/>
    </row>
    <row r="20" spans="1:37" ht="15.5">
      <c r="A20" s="2101"/>
      <c r="B20" s="2145"/>
      <c r="C20" s="2145"/>
      <c r="D20" s="2145"/>
      <c r="E20" s="2145"/>
      <c r="F20" s="2145"/>
      <c r="G20" s="2145"/>
      <c r="H20" s="2145"/>
      <c r="I20" s="2145"/>
      <c r="J20" s="2145"/>
      <c r="K20" s="2145"/>
      <c r="L20" s="2145"/>
      <c r="M20" s="2096"/>
      <c r="N20" s="2096"/>
      <c r="O20" s="2096"/>
      <c r="P20" s="2096"/>
      <c r="Q20" s="2096"/>
      <c r="R20" s="2096"/>
      <c r="S20" s="2104"/>
      <c r="T20" s="2104"/>
      <c r="U20" s="2146"/>
      <c r="V20" s="2104"/>
      <c r="W20" s="2104"/>
      <c r="X20" s="2104"/>
      <c r="Y20" s="2104"/>
      <c r="Z20" s="2104"/>
      <c r="AA20" s="2104"/>
      <c r="AB20" s="2104"/>
      <c r="AC20" s="2104"/>
      <c r="AD20" s="2104"/>
      <c r="AE20" s="2104"/>
      <c r="AF20" s="2104"/>
      <c r="AG20" s="2104"/>
      <c r="AH20" s="2100"/>
      <c r="AI20" s="2100"/>
      <c r="AJ20" s="2100"/>
      <c r="AK20" s="2100"/>
    </row>
    <row r="21" spans="1:37" ht="16" thickBot="1">
      <c r="A21" s="2101"/>
      <c r="B21" s="2102" t="s">
        <v>749</v>
      </c>
      <c r="C21" s="2103"/>
      <c r="D21" s="2100"/>
      <c r="E21" s="2100"/>
      <c r="F21" s="2100"/>
      <c r="G21" s="2100"/>
      <c r="H21" s="2100"/>
      <c r="I21" s="2100"/>
      <c r="J21" s="2100"/>
      <c r="K21" s="2100"/>
      <c r="L21" s="2100"/>
      <c r="M21" s="2100"/>
      <c r="N21" s="2100"/>
      <c r="O21" s="2100"/>
      <c r="P21" s="2100"/>
      <c r="Q21" s="2100"/>
      <c r="R21" s="2100"/>
      <c r="S21" s="2100"/>
      <c r="T21" s="2100"/>
      <c r="U21" s="2100"/>
      <c r="V21" s="2100"/>
      <c r="W21" s="2100"/>
      <c r="X21" s="2100"/>
      <c r="Y21" s="2100"/>
      <c r="Z21" s="2100"/>
      <c r="AA21" s="2100"/>
      <c r="AB21" s="2100"/>
      <c r="AC21" s="2104"/>
      <c r="AD21" s="2104"/>
      <c r="AE21" s="2104"/>
      <c r="AF21" s="2104"/>
      <c r="AG21" s="2104"/>
      <c r="AH21" s="2100"/>
      <c r="AI21" s="2100"/>
      <c r="AJ21" s="2100"/>
      <c r="AK21" s="2100"/>
    </row>
    <row r="22" spans="1:37" ht="40.5" customHeight="1" thickBot="1">
      <c r="A22" s="2101"/>
      <c r="B22" s="2249" t="s">
        <v>32</v>
      </c>
      <c r="C22" s="2250" t="s">
        <v>31</v>
      </c>
      <c r="D22" s="2250" t="s">
        <v>437</v>
      </c>
      <c r="E22" s="2250" t="s">
        <v>439</v>
      </c>
      <c r="F22" s="2250" t="s">
        <v>441</v>
      </c>
      <c r="G22" s="2250" t="s">
        <v>30</v>
      </c>
      <c r="H22" s="2257" t="s">
        <v>731</v>
      </c>
      <c r="I22" s="2258"/>
      <c r="J22" s="2259"/>
      <c r="K22" s="2260" t="s">
        <v>732</v>
      </c>
      <c r="L22" s="2261"/>
      <c r="M22" s="2261"/>
      <c r="N22" s="2261"/>
      <c r="O22" s="2261"/>
      <c r="P22" s="2261"/>
      <c r="Q22" s="2261"/>
      <c r="R22" s="2261"/>
      <c r="S22" s="2261"/>
      <c r="T22" s="2261"/>
      <c r="U22" s="2261"/>
      <c r="V22" s="2261"/>
      <c r="W22" s="2261"/>
      <c r="X22" s="2246" t="s">
        <v>27</v>
      </c>
      <c r="Y22" s="2246"/>
      <c r="Z22" s="2246"/>
      <c r="AA22" s="2246"/>
      <c r="AB22" s="2246"/>
      <c r="AC22" s="2246"/>
      <c r="AD22" s="2246"/>
      <c r="AE22" s="2246"/>
      <c r="AF22" s="2104"/>
      <c r="AG22" s="2104"/>
      <c r="AH22" s="2104"/>
      <c r="AI22" s="2104"/>
      <c r="AJ22" s="2104"/>
      <c r="AK22" s="2100"/>
    </row>
    <row r="23" spans="1:37" ht="70">
      <c r="A23" s="2101"/>
      <c r="B23" s="2249"/>
      <c r="C23" s="2250"/>
      <c r="D23" s="2250"/>
      <c r="E23" s="2250"/>
      <c r="F23" s="2250"/>
      <c r="G23" s="2250"/>
      <c r="H23" s="2106" t="s">
        <v>26</v>
      </c>
      <c r="I23" s="2107" t="s">
        <v>733</v>
      </c>
      <c r="J23" s="2108" t="s">
        <v>250</v>
      </c>
      <c r="K23" s="2107" t="s">
        <v>23</v>
      </c>
      <c r="L23" s="2109" t="s">
        <v>734</v>
      </c>
      <c r="M23" s="2109" t="s">
        <v>735</v>
      </c>
      <c r="N23" s="2109" t="s">
        <v>736</v>
      </c>
      <c r="O23" s="2109" t="s">
        <v>737</v>
      </c>
      <c r="P23" s="2109" t="s">
        <v>18</v>
      </c>
      <c r="Q23" s="2109" t="s">
        <v>17</v>
      </c>
      <c r="R23" s="2109" t="s">
        <v>738</v>
      </c>
      <c r="S23" s="2109" t="s">
        <v>739</v>
      </c>
      <c r="T23" s="2109" t="s">
        <v>740</v>
      </c>
      <c r="U23" s="2109" t="s">
        <v>741</v>
      </c>
      <c r="V23" s="2110" t="s">
        <v>742</v>
      </c>
      <c r="W23" s="2111" t="s">
        <v>11</v>
      </c>
      <c r="X23" s="2109" t="s">
        <v>10</v>
      </c>
      <c r="Y23" s="2109" t="s">
        <v>9</v>
      </c>
      <c r="Z23" s="2109" t="s">
        <v>8</v>
      </c>
      <c r="AA23" s="2109" t="s">
        <v>7</v>
      </c>
      <c r="AB23" s="2109" t="s">
        <v>6</v>
      </c>
      <c r="AC23" s="2109" t="s">
        <v>5</v>
      </c>
      <c r="AD23" s="2109" t="s">
        <v>4</v>
      </c>
      <c r="AE23" s="2112" t="s">
        <v>3</v>
      </c>
      <c r="AF23" s="2104"/>
      <c r="AG23" s="2104"/>
      <c r="AH23" s="2104"/>
      <c r="AI23" s="2104"/>
      <c r="AJ23" s="2104"/>
      <c r="AK23" s="2100"/>
    </row>
    <row r="24" spans="1:37" ht="16" thickBot="1">
      <c r="A24" s="2101"/>
      <c r="B24" s="2113" t="s">
        <v>750</v>
      </c>
      <c r="C24" s="2114" t="s">
        <v>857</v>
      </c>
      <c r="D24" s="2114" t="s">
        <v>542</v>
      </c>
      <c r="E24" s="2114" t="s">
        <v>450</v>
      </c>
      <c r="F24" s="2114" t="s">
        <v>745</v>
      </c>
      <c r="G24" s="2114" t="s">
        <v>748</v>
      </c>
      <c r="H24" s="2147">
        <v>6726311</v>
      </c>
      <c r="I24" s="2148">
        <v>2433232</v>
      </c>
      <c r="J24" s="2149">
        <v>4293079</v>
      </c>
      <c r="K24" s="2118">
        <v>8680203</v>
      </c>
      <c r="L24" s="2114">
        <v>0.8</v>
      </c>
      <c r="M24" s="2118">
        <v>82208</v>
      </c>
      <c r="N24" s="2120">
        <v>9.4999999999999998E-3</v>
      </c>
      <c r="O24" s="2120">
        <v>2.5999999999999999E-2</v>
      </c>
      <c r="P24" s="2118">
        <v>2119</v>
      </c>
      <c r="Q24" s="2118">
        <v>1325</v>
      </c>
      <c r="R24" s="2121">
        <v>0.63</v>
      </c>
      <c r="S24" s="2122">
        <v>3174</v>
      </c>
      <c r="T24" s="2122">
        <v>5076</v>
      </c>
      <c r="U24" s="2118">
        <v>4399000</v>
      </c>
      <c r="V24" s="2150">
        <v>0.7</v>
      </c>
      <c r="W24" s="2124">
        <v>3320</v>
      </c>
      <c r="X24" s="2114" t="s">
        <v>751</v>
      </c>
      <c r="Y24" s="2114" t="s">
        <v>752</v>
      </c>
      <c r="Z24" s="2151" t="s">
        <v>753</v>
      </c>
      <c r="AA24" s="2114" t="e">
        <f>H24/X24</f>
        <v>#VALUE!</v>
      </c>
      <c r="AB24" s="2114" t="e">
        <f>H24/Y24</f>
        <v>#VALUE!</v>
      </c>
      <c r="AC24" s="2151" t="s">
        <v>753</v>
      </c>
      <c r="AD24" s="2114" t="s">
        <v>753</v>
      </c>
      <c r="AE24" s="2129">
        <v>1760</v>
      </c>
      <c r="AF24" s="2104"/>
      <c r="AG24" s="2104"/>
      <c r="AH24" s="2104"/>
      <c r="AI24" s="2104"/>
      <c r="AJ24" s="2104"/>
      <c r="AK24" s="2100"/>
    </row>
    <row r="25" spans="1:37" ht="15.5">
      <c r="A25" s="2101"/>
      <c r="B25" s="2145"/>
      <c r="C25" s="2145"/>
      <c r="D25" s="2145"/>
      <c r="E25" s="2145"/>
      <c r="F25" s="2145"/>
      <c r="G25" s="2145"/>
      <c r="H25" s="2145"/>
      <c r="I25" s="2145"/>
      <c r="J25" s="2145"/>
      <c r="K25" s="2145"/>
      <c r="L25" s="2145"/>
      <c r="M25" s="2145"/>
      <c r="N25" s="2145"/>
      <c r="O25" s="2145"/>
      <c r="P25" s="2096"/>
      <c r="Q25" s="2096"/>
      <c r="R25" s="2096"/>
      <c r="S25" s="2096"/>
      <c r="T25" s="2096"/>
      <c r="U25" s="2096"/>
      <c r="V25" s="2104"/>
      <c r="W25" s="2104"/>
      <c r="X25" s="2146"/>
      <c r="Y25" s="2104"/>
      <c r="Z25" s="2104"/>
      <c r="AA25" s="2104"/>
      <c r="AB25" s="2104"/>
      <c r="AC25" s="2104"/>
      <c r="AD25" s="2104"/>
      <c r="AE25" s="2104"/>
      <c r="AF25" s="2104"/>
      <c r="AG25" s="2104"/>
      <c r="AH25" s="2104"/>
      <c r="AI25" s="2104"/>
      <c r="AJ25" s="2104"/>
      <c r="AK25" s="2100"/>
    </row>
    <row r="26" spans="1:37" ht="15.5">
      <c r="A26" s="2101"/>
      <c r="B26" s="2145"/>
      <c r="C26" s="2145"/>
      <c r="D26" s="2145"/>
      <c r="E26" s="2145"/>
      <c r="F26" s="2145"/>
      <c r="G26" s="2145"/>
      <c r="H26" s="2145"/>
      <c r="I26" s="2145"/>
      <c r="J26" s="2145"/>
      <c r="K26" s="2145"/>
      <c r="L26" s="2145"/>
      <c r="M26" s="2096"/>
      <c r="N26" s="2096"/>
      <c r="O26" s="2096"/>
      <c r="P26" s="2096"/>
      <c r="Q26" s="2096"/>
      <c r="R26" s="2096"/>
      <c r="S26" s="2104"/>
      <c r="T26" s="2104"/>
      <c r="U26" s="2146"/>
      <c r="V26" s="2104"/>
      <c r="W26" s="2104"/>
      <c r="X26" s="2104"/>
      <c r="Y26" s="2104"/>
      <c r="Z26" s="2104"/>
      <c r="AA26" s="2104"/>
      <c r="AB26" s="2104"/>
      <c r="AC26" s="2104"/>
      <c r="AD26" s="2104"/>
      <c r="AE26" s="2104"/>
      <c r="AF26" s="2104"/>
      <c r="AG26" s="2104"/>
      <c r="AH26" s="2100"/>
      <c r="AI26" s="2100"/>
      <c r="AJ26" s="2100"/>
      <c r="AK26" s="2100"/>
    </row>
    <row r="27" spans="1:37" ht="16" thickBot="1">
      <c r="A27" s="2101"/>
      <c r="B27" s="2102" t="s">
        <v>754</v>
      </c>
      <c r="C27" s="2103"/>
      <c r="D27" s="2100"/>
      <c r="E27" s="2100"/>
      <c r="F27" s="2100"/>
      <c r="G27" s="2100"/>
      <c r="H27" s="2100"/>
      <c r="I27" s="2100"/>
      <c r="J27" s="2100"/>
      <c r="K27" s="2100"/>
      <c r="L27" s="2100"/>
      <c r="M27" s="2100"/>
      <c r="N27" s="2100"/>
      <c r="O27" s="2100"/>
      <c r="P27" s="2100"/>
      <c r="Q27" s="2100"/>
      <c r="R27" s="2100"/>
      <c r="S27" s="2100"/>
      <c r="T27" s="2100"/>
      <c r="U27" s="2100"/>
      <c r="V27" s="2100"/>
      <c r="W27" s="2100"/>
      <c r="X27" s="2100"/>
      <c r="Y27" s="2100"/>
      <c r="Z27" s="2100"/>
      <c r="AA27" s="2100"/>
      <c r="AB27" s="2100"/>
      <c r="AC27" s="2100"/>
      <c r="AD27" s="2100"/>
      <c r="AE27" s="2100"/>
      <c r="AF27" s="2104"/>
      <c r="AG27" s="2104"/>
      <c r="AH27" s="2104"/>
      <c r="AI27" s="2104"/>
      <c r="AJ27" s="2104"/>
      <c r="AK27" s="2100"/>
    </row>
    <row r="28" spans="1:37" ht="16" thickBot="1">
      <c r="A28" s="2101"/>
      <c r="B28" s="2249" t="s">
        <v>32</v>
      </c>
      <c r="C28" s="2250" t="s">
        <v>31</v>
      </c>
      <c r="D28" s="2105"/>
      <c r="E28" s="2105"/>
      <c r="F28" s="2105"/>
      <c r="G28" s="2251" t="s">
        <v>30</v>
      </c>
      <c r="H28" s="2254" t="s">
        <v>731</v>
      </c>
      <c r="I28" s="2254"/>
      <c r="J28" s="2254"/>
      <c r="K28" s="2251" t="s">
        <v>732</v>
      </c>
      <c r="L28" s="2251"/>
      <c r="M28" s="2251"/>
      <c r="N28" s="2251"/>
      <c r="O28" s="2251"/>
      <c r="P28" s="2251"/>
      <c r="Q28" s="2251"/>
      <c r="R28" s="2251"/>
      <c r="S28" s="2251"/>
      <c r="T28" s="2251"/>
      <c r="U28" s="2251"/>
      <c r="V28" s="2251"/>
      <c r="W28" s="2251"/>
      <c r="X28" s="2246" t="s">
        <v>27</v>
      </c>
      <c r="Y28" s="2246"/>
      <c r="Z28" s="2246"/>
      <c r="AA28" s="2246"/>
      <c r="AB28" s="2246"/>
      <c r="AC28" s="2246"/>
      <c r="AD28" s="2246"/>
      <c r="AE28" s="2246"/>
      <c r="AF28" s="2104"/>
      <c r="AG28" s="2104"/>
      <c r="AH28" s="2104"/>
      <c r="AI28" s="2104"/>
      <c r="AJ28" s="2104"/>
      <c r="AK28" s="2100"/>
    </row>
    <row r="29" spans="1:37" ht="70">
      <c r="A29" s="2101"/>
      <c r="B29" s="2249"/>
      <c r="C29" s="2250"/>
      <c r="D29" s="2152"/>
      <c r="E29" s="2152"/>
      <c r="F29" s="2152"/>
      <c r="G29" s="2251"/>
      <c r="H29" s="2107" t="s">
        <v>26</v>
      </c>
      <c r="I29" s="2107" t="s">
        <v>733</v>
      </c>
      <c r="J29" s="2107" t="s">
        <v>250</v>
      </c>
      <c r="K29" s="2153" t="s">
        <v>23</v>
      </c>
      <c r="L29" s="2109" t="s">
        <v>734</v>
      </c>
      <c r="M29" s="2109" t="s">
        <v>735</v>
      </c>
      <c r="N29" s="2109" t="s">
        <v>736</v>
      </c>
      <c r="O29" s="2109" t="s">
        <v>737</v>
      </c>
      <c r="P29" s="2109" t="s">
        <v>18</v>
      </c>
      <c r="Q29" s="2109" t="s">
        <v>17</v>
      </c>
      <c r="R29" s="2109" t="s">
        <v>738</v>
      </c>
      <c r="S29" s="2109" t="s">
        <v>739</v>
      </c>
      <c r="T29" s="2109" t="s">
        <v>740</v>
      </c>
      <c r="U29" s="2109" t="s">
        <v>741</v>
      </c>
      <c r="V29" s="2109" t="s">
        <v>742</v>
      </c>
      <c r="W29" s="2112" t="s">
        <v>11</v>
      </c>
      <c r="X29" s="2109" t="s">
        <v>10</v>
      </c>
      <c r="Y29" s="2109" t="s">
        <v>9</v>
      </c>
      <c r="Z29" s="2109" t="s">
        <v>8</v>
      </c>
      <c r="AA29" s="2109" t="s">
        <v>7</v>
      </c>
      <c r="AB29" s="2109" t="s">
        <v>6</v>
      </c>
      <c r="AC29" s="2109" t="s">
        <v>5</v>
      </c>
      <c r="AD29" s="2109" t="s">
        <v>4</v>
      </c>
      <c r="AE29" s="2112" t="s">
        <v>3</v>
      </c>
      <c r="AF29" s="2104"/>
      <c r="AG29" s="2104"/>
      <c r="AH29" s="2104"/>
      <c r="AI29" s="2104"/>
      <c r="AJ29" s="2104"/>
      <c r="AK29" s="2100"/>
    </row>
    <row r="30" spans="1:37" ht="16" thickBot="1">
      <c r="A30" s="2101"/>
      <c r="B30" s="2113" t="s">
        <v>755</v>
      </c>
      <c r="C30" s="2114" t="s">
        <v>856</v>
      </c>
      <c r="D30" s="2114"/>
      <c r="E30" s="2114"/>
      <c r="F30" s="2114"/>
      <c r="G30" s="2154" t="s">
        <v>756</v>
      </c>
      <c r="H30" s="2155">
        <v>1870979</v>
      </c>
      <c r="I30" s="2156">
        <v>313833</v>
      </c>
      <c r="J30" s="2157">
        <v>1646628</v>
      </c>
      <c r="K30" s="2156">
        <v>2694146</v>
      </c>
      <c r="L30" s="2114">
        <v>0.7</v>
      </c>
      <c r="M30" s="2156">
        <v>31133</v>
      </c>
      <c r="N30" s="2120">
        <v>1.1599999999999999E-2</v>
      </c>
      <c r="O30" s="2120">
        <v>0.03</v>
      </c>
      <c r="P30" s="2151">
        <v>943</v>
      </c>
      <c r="Q30" s="2151">
        <v>608</v>
      </c>
      <c r="R30" s="2121">
        <v>0.64</v>
      </c>
      <c r="S30" s="2122">
        <v>1984</v>
      </c>
      <c r="T30" s="2122">
        <v>3077</v>
      </c>
      <c r="U30" s="2118">
        <v>1337600</v>
      </c>
      <c r="V30" s="2114">
        <v>0.7</v>
      </c>
      <c r="W30" s="2124">
        <v>2200</v>
      </c>
      <c r="X30" s="2151" t="s">
        <v>751</v>
      </c>
      <c r="Y30" s="2151" t="s">
        <v>751</v>
      </c>
      <c r="Z30" s="2151" t="s">
        <v>167</v>
      </c>
      <c r="AA30" s="2151" t="s">
        <v>167</v>
      </c>
      <c r="AB30" s="2151" t="s">
        <v>167</v>
      </c>
      <c r="AC30" s="2151" t="s">
        <v>167</v>
      </c>
      <c r="AD30" s="2151" t="s">
        <v>167</v>
      </c>
      <c r="AE30" s="2129">
        <v>2900</v>
      </c>
      <c r="AF30" s="2104"/>
      <c r="AG30" s="2104"/>
      <c r="AH30" s="2104"/>
      <c r="AI30" s="2104"/>
      <c r="AJ30" s="2104"/>
      <c r="AK30" s="2100"/>
    </row>
    <row r="31" spans="1:37" ht="16" thickBot="1">
      <c r="A31" s="2101"/>
      <c r="B31" s="2113" t="s">
        <v>755</v>
      </c>
      <c r="C31" s="2114" t="s">
        <v>858</v>
      </c>
      <c r="D31" s="2114"/>
      <c r="E31" s="2114"/>
      <c r="F31" s="2114"/>
      <c r="G31" s="2154" t="s">
        <v>756</v>
      </c>
      <c r="H31" s="2158">
        <v>1806445</v>
      </c>
      <c r="I31" s="2116">
        <v>22882</v>
      </c>
      <c r="J31" s="2159">
        <v>1783563</v>
      </c>
      <c r="K31" s="2118">
        <v>2250353</v>
      </c>
      <c r="L31" s="2114">
        <v>0.8</v>
      </c>
      <c r="M31" s="2118">
        <v>24870</v>
      </c>
      <c r="N31" s="2120">
        <v>1.11E-2</v>
      </c>
      <c r="O31" s="2120">
        <v>3.3000000000000002E-2</v>
      </c>
      <c r="P31" s="2114">
        <v>825</v>
      </c>
      <c r="Q31" s="2114">
        <v>546</v>
      </c>
      <c r="R31" s="2121">
        <v>0.66</v>
      </c>
      <c r="S31" s="2122">
        <v>2190</v>
      </c>
      <c r="T31" s="2122">
        <v>3309</v>
      </c>
      <c r="U31" s="2118">
        <v>1201200</v>
      </c>
      <c r="V31" s="2114">
        <v>0.7</v>
      </c>
      <c r="W31" s="2129">
        <v>2200</v>
      </c>
      <c r="X31" s="2160" t="s">
        <v>751</v>
      </c>
      <c r="Y31" s="2114" t="s">
        <v>751</v>
      </c>
      <c r="Z31" s="2114" t="s">
        <v>167</v>
      </c>
      <c r="AA31" s="2114" t="s">
        <v>167</v>
      </c>
      <c r="AB31" s="2114" t="s">
        <v>167</v>
      </c>
      <c r="AC31" s="2114" t="s">
        <v>167</v>
      </c>
      <c r="AD31" s="2114" t="s">
        <v>167</v>
      </c>
      <c r="AE31" s="2129">
        <v>2100</v>
      </c>
      <c r="AF31" s="2104"/>
      <c r="AG31" s="2104"/>
      <c r="AH31" s="2104"/>
      <c r="AI31" s="2104"/>
      <c r="AJ31" s="2104"/>
      <c r="AK31" s="2100"/>
    </row>
    <row r="32" spans="1:37" ht="16" thickBot="1">
      <c r="A32" s="2101"/>
      <c r="B32" s="2256" t="s">
        <v>0</v>
      </c>
      <c r="C32" s="2256"/>
      <c r="D32" s="2130"/>
      <c r="E32" s="2130"/>
      <c r="F32" s="2130"/>
      <c r="G32" s="2144"/>
      <c r="H32" s="2161">
        <v>3677424</v>
      </c>
      <c r="I32" s="2134">
        <v>336714</v>
      </c>
      <c r="J32" s="2162">
        <v>3430191</v>
      </c>
      <c r="K32" s="2134">
        <v>4944499</v>
      </c>
      <c r="L32" s="2163">
        <v>0.7</v>
      </c>
      <c r="M32" s="2134">
        <v>56003</v>
      </c>
      <c r="N32" s="2136">
        <v>1.1299999999999999E-2</v>
      </c>
      <c r="O32" s="2136">
        <v>3.2000000000000001E-2</v>
      </c>
      <c r="P32" s="2134">
        <v>1768</v>
      </c>
      <c r="Q32" s="2134">
        <v>1154</v>
      </c>
      <c r="R32" s="2137">
        <v>0.65</v>
      </c>
      <c r="S32" s="2138">
        <v>2080</v>
      </c>
      <c r="T32" s="2138">
        <v>3187</v>
      </c>
      <c r="U32" s="2134">
        <v>2538800</v>
      </c>
      <c r="V32" s="2130">
        <v>0.7</v>
      </c>
      <c r="W32" s="2134">
        <v>2200</v>
      </c>
      <c r="X32" s="2140" t="s">
        <v>751</v>
      </c>
      <c r="Y32" s="2130" t="s">
        <v>751</v>
      </c>
      <c r="Z32" s="2164" t="s">
        <v>167</v>
      </c>
      <c r="AA32" s="2130" t="s">
        <v>167</v>
      </c>
      <c r="AB32" s="2130" t="s">
        <v>167</v>
      </c>
      <c r="AC32" s="2130" t="s">
        <v>167</v>
      </c>
      <c r="AD32" s="2130" t="s">
        <v>167</v>
      </c>
      <c r="AE32" s="2144" t="s">
        <v>167</v>
      </c>
      <c r="AF32" s="2104"/>
      <c r="AG32" s="2104"/>
      <c r="AH32" s="2104"/>
      <c r="AI32" s="2104"/>
      <c r="AJ32" s="2104"/>
      <c r="AK32" s="2100"/>
    </row>
    <row r="33" spans="1:37" ht="15.5">
      <c r="A33" s="2101"/>
      <c r="B33" s="2145"/>
      <c r="C33" s="2145"/>
      <c r="D33" s="2145"/>
      <c r="E33" s="2145"/>
      <c r="F33" s="2145"/>
      <c r="G33" s="2145"/>
      <c r="H33" s="2145"/>
      <c r="I33" s="2145"/>
      <c r="J33" s="2145"/>
      <c r="K33" s="2145"/>
      <c r="L33" s="2145"/>
      <c r="M33" s="2145"/>
      <c r="N33" s="2145"/>
      <c r="O33" s="2145"/>
      <c r="P33" s="2096"/>
      <c r="Q33" s="2096"/>
      <c r="R33" s="2096"/>
      <c r="S33" s="2096"/>
      <c r="T33" s="2096"/>
      <c r="U33" s="2096"/>
      <c r="V33" s="2104"/>
      <c r="W33" s="2104"/>
      <c r="X33" s="2146"/>
      <c r="Y33" s="2104"/>
      <c r="Z33" s="2104"/>
      <c r="AA33" s="2104"/>
      <c r="AB33" s="2104"/>
      <c r="AC33" s="2104"/>
      <c r="AD33" s="2104"/>
      <c r="AE33" s="2104"/>
      <c r="AF33" s="2104"/>
      <c r="AG33" s="2104"/>
      <c r="AH33" s="2104"/>
      <c r="AI33" s="2104"/>
      <c r="AJ33" s="2104"/>
      <c r="AK33" s="2100"/>
    </row>
    <row r="34" spans="1:37" ht="15.5">
      <c r="A34" s="2101"/>
      <c r="B34" s="2145"/>
      <c r="C34" s="2145"/>
      <c r="D34" s="2145"/>
      <c r="E34" s="2145"/>
      <c r="F34" s="2145"/>
      <c r="G34" s="2145"/>
      <c r="H34" s="2145"/>
      <c r="I34" s="2145"/>
      <c r="J34" s="2145"/>
      <c r="K34" s="2145"/>
      <c r="L34" s="2145"/>
      <c r="M34" s="2145"/>
      <c r="N34" s="2145"/>
      <c r="O34" s="2145"/>
      <c r="P34" s="2096"/>
      <c r="Q34" s="2096"/>
      <c r="R34" s="2096"/>
      <c r="S34" s="2096"/>
      <c r="T34" s="2096"/>
      <c r="U34" s="2096"/>
      <c r="V34" s="2104"/>
      <c r="W34" s="2104"/>
      <c r="X34" s="2146"/>
      <c r="Y34" s="2104"/>
      <c r="Z34" s="2104"/>
      <c r="AA34" s="2104"/>
      <c r="AB34" s="2104"/>
      <c r="AC34" s="2104"/>
      <c r="AD34" s="2104"/>
      <c r="AE34" s="2104"/>
      <c r="AF34" s="2104"/>
      <c r="AG34" s="2104"/>
      <c r="AH34" s="2104"/>
      <c r="AI34" s="2104"/>
      <c r="AJ34" s="2104"/>
      <c r="AK34" s="2100"/>
    </row>
    <row r="35" spans="1:37" ht="16" thickBot="1">
      <c r="A35" s="2101"/>
      <c r="B35" s="2102" t="s">
        <v>757</v>
      </c>
      <c r="C35" s="2103"/>
      <c r="D35" s="2100"/>
      <c r="E35" s="2100"/>
      <c r="F35" s="2100"/>
      <c r="G35" s="2100"/>
      <c r="H35" s="2100"/>
      <c r="I35" s="2100"/>
      <c r="J35" s="2100"/>
      <c r="K35" s="2100"/>
      <c r="L35" s="2100"/>
      <c r="M35" s="2100"/>
      <c r="N35" s="2100"/>
      <c r="O35" s="2100"/>
      <c r="P35" s="2100"/>
      <c r="Q35" s="2100"/>
      <c r="R35" s="2100"/>
      <c r="S35" s="2100"/>
      <c r="T35" s="2100"/>
      <c r="U35" s="2100"/>
      <c r="V35" s="2100"/>
      <c r="W35" s="2100"/>
      <c r="X35" s="2100"/>
      <c r="Y35" s="2100"/>
      <c r="Z35" s="2100"/>
      <c r="AA35" s="2100"/>
      <c r="AB35" s="2100"/>
      <c r="AC35" s="2100"/>
      <c r="AD35" s="2100"/>
      <c r="AE35" s="2100"/>
      <c r="AF35" s="2104"/>
      <c r="AG35" s="2104"/>
      <c r="AH35" s="2104"/>
      <c r="AI35" s="2104"/>
      <c r="AJ35" s="2104"/>
      <c r="AK35" s="2100"/>
    </row>
    <row r="36" spans="1:37" ht="16" thickBot="1">
      <c r="A36" s="2101"/>
      <c r="B36" s="2249" t="s">
        <v>32</v>
      </c>
      <c r="C36" s="2250" t="s">
        <v>31</v>
      </c>
      <c r="D36" s="2105"/>
      <c r="E36" s="2105"/>
      <c r="F36" s="2105"/>
      <c r="G36" s="2251" t="s">
        <v>30</v>
      </c>
      <c r="H36" s="2254" t="s">
        <v>731</v>
      </c>
      <c r="I36" s="2254"/>
      <c r="J36" s="2254"/>
      <c r="K36" s="2251" t="s">
        <v>732</v>
      </c>
      <c r="L36" s="2251"/>
      <c r="M36" s="2251"/>
      <c r="N36" s="2251"/>
      <c r="O36" s="2251"/>
      <c r="P36" s="2251"/>
      <c r="Q36" s="2251"/>
      <c r="R36" s="2251"/>
      <c r="S36" s="2251"/>
      <c r="T36" s="2251"/>
      <c r="U36" s="2251"/>
      <c r="V36" s="2251"/>
      <c r="W36" s="2251"/>
      <c r="X36" s="2246" t="s">
        <v>27</v>
      </c>
      <c r="Y36" s="2246"/>
      <c r="Z36" s="2246"/>
      <c r="AA36" s="2246"/>
      <c r="AB36" s="2246"/>
      <c r="AC36" s="2246"/>
      <c r="AD36" s="2246"/>
      <c r="AE36" s="2246"/>
      <c r="AF36" s="2104"/>
      <c r="AG36" s="2104"/>
      <c r="AH36" s="2104"/>
      <c r="AI36" s="2104"/>
      <c r="AJ36" s="2104"/>
      <c r="AK36" s="2100"/>
    </row>
    <row r="37" spans="1:37" ht="70">
      <c r="A37" s="2101"/>
      <c r="B37" s="2249"/>
      <c r="C37" s="2250"/>
      <c r="D37" s="2152"/>
      <c r="E37" s="2152"/>
      <c r="F37" s="2152"/>
      <c r="G37" s="2251"/>
      <c r="H37" s="2153" t="s">
        <v>26</v>
      </c>
      <c r="I37" s="2107" t="s">
        <v>733</v>
      </c>
      <c r="J37" s="2107" t="s">
        <v>250</v>
      </c>
      <c r="K37" s="2153" t="s">
        <v>23</v>
      </c>
      <c r="L37" s="2109" t="s">
        <v>734</v>
      </c>
      <c r="M37" s="2109" t="s">
        <v>735</v>
      </c>
      <c r="N37" s="2109" t="s">
        <v>736</v>
      </c>
      <c r="O37" s="2109" t="s">
        <v>737</v>
      </c>
      <c r="P37" s="2109" t="s">
        <v>18</v>
      </c>
      <c r="Q37" s="2109" t="s">
        <v>17</v>
      </c>
      <c r="R37" s="2109" t="s">
        <v>738</v>
      </c>
      <c r="S37" s="2109" t="s">
        <v>739</v>
      </c>
      <c r="T37" s="2109" t="s">
        <v>740</v>
      </c>
      <c r="U37" s="2109" t="s">
        <v>741</v>
      </c>
      <c r="V37" s="2109" t="s">
        <v>742</v>
      </c>
      <c r="W37" s="2112" t="s">
        <v>11</v>
      </c>
      <c r="X37" s="2109" t="s">
        <v>10</v>
      </c>
      <c r="Y37" s="2109" t="s">
        <v>9</v>
      </c>
      <c r="Z37" s="2109" t="s">
        <v>8</v>
      </c>
      <c r="AA37" s="2109" t="s">
        <v>7</v>
      </c>
      <c r="AB37" s="2109" t="s">
        <v>6</v>
      </c>
      <c r="AC37" s="2109" t="s">
        <v>5</v>
      </c>
      <c r="AD37" s="2109" t="s">
        <v>4</v>
      </c>
      <c r="AE37" s="2112" t="s">
        <v>3</v>
      </c>
      <c r="AF37" s="2104"/>
      <c r="AG37" s="2104"/>
      <c r="AH37" s="2104"/>
      <c r="AI37" s="2104"/>
      <c r="AJ37" s="2104"/>
      <c r="AK37" s="2100"/>
    </row>
    <row r="38" spans="1:37" ht="16" thickBot="1">
      <c r="A38" s="2101"/>
      <c r="B38" s="2113" t="s">
        <v>758</v>
      </c>
      <c r="C38" s="2114" t="s">
        <v>856</v>
      </c>
      <c r="D38" s="2114"/>
      <c r="E38" s="2114"/>
      <c r="F38" s="2114"/>
      <c r="G38" s="2154" t="s">
        <v>756</v>
      </c>
      <c r="H38" s="2158">
        <v>1067915</v>
      </c>
      <c r="I38" s="2118">
        <v>94452</v>
      </c>
      <c r="J38" s="2118">
        <v>973463</v>
      </c>
      <c r="K38" s="2118">
        <v>1743795</v>
      </c>
      <c r="L38" s="2114">
        <v>0.6</v>
      </c>
      <c r="M38" s="2118">
        <v>12098</v>
      </c>
      <c r="N38" s="2120">
        <v>6.8999999999999999E-3</v>
      </c>
      <c r="O38" s="2120">
        <v>2.9000000000000001E-2</v>
      </c>
      <c r="P38" s="2114">
        <v>353</v>
      </c>
      <c r="Q38" s="2114" t="s">
        <v>751</v>
      </c>
      <c r="R38" s="2114" t="s">
        <v>167</v>
      </c>
      <c r="S38" s="2122">
        <v>3025</v>
      </c>
      <c r="T38" s="2114" t="s">
        <v>167</v>
      </c>
      <c r="U38" s="2114" t="s">
        <v>167</v>
      </c>
      <c r="V38" s="2114" t="s">
        <v>167</v>
      </c>
      <c r="W38" s="2124">
        <v>2200</v>
      </c>
      <c r="X38" s="2114" t="s">
        <v>751</v>
      </c>
      <c r="Y38" s="2114" t="s">
        <v>751</v>
      </c>
      <c r="Z38" s="2114" t="s">
        <v>167</v>
      </c>
      <c r="AA38" s="2114" t="s">
        <v>167</v>
      </c>
      <c r="AB38" s="2114" t="s">
        <v>167</v>
      </c>
      <c r="AC38" s="2114" t="s">
        <v>167</v>
      </c>
      <c r="AD38" s="2114" t="s">
        <v>167</v>
      </c>
      <c r="AE38" s="2129">
        <v>2900</v>
      </c>
      <c r="AF38" s="2104"/>
      <c r="AG38" s="2104"/>
      <c r="AH38" s="2104"/>
      <c r="AI38" s="2104"/>
      <c r="AJ38" s="2104"/>
      <c r="AK38" s="2100"/>
    </row>
    <row r="39" spans="1:37" ht="16" thickBot="1">
      <c r="A39" s="2101"/>
      <c r="B39" s="2113" t="s">
        <v>758</v>
      </c>
      <c r="C39" s="2114" t="s">
        <v>858</v>
      </c>
      <c r="D39" s="2114"/>
      <c r="E39" s="2114"/>
      <c r="F39" s="2114"/>
      <c r="G39" s="2154" t="s">
        <v>756</v>
      </c>
      <c r="H39" s="2158">
        <v>1354047</v>
      </c>
      <c r="I39" s="2165">
        <v>539</v>
      </c>
      <c r="J39" s="2116">
        <v>1353508</v>
      </c>
      <c r="K39" s="2118">
        <v>1327933</v>
      </c>
      <c r="L39" s="2114">
        <v>1</v>
      </c>
      <c r="M39" s="2118">
        <v>7981</v>
      </c>
      <c r="N39" s="2120">
        <v>6.0000000000000001E-3</v>
      </c>
      <c r="O39" s="2120">
        <v>2.7E-2</v>
      </c>
      <c r="P39" s="2114">
        <v>217</v>
      </c>
      <c r="Q39" s="2114" t="s">
        <v>751</v>
      </c>
      <c r="R39" s="2114" t="s">
        <v>167</v>
      </c>
      <c r="S39" s="2122">
        <v>6240</v>
      </c>
      <c r="T39" s="2114" t="s">
        <v>167</v>
      </c>
      <c r="U39" s="2114" t="s">
        <v>167</v>
      </c>
      <c r="V39" s="2114" t="s">
        <v>167</v>
      </c>
      <c r="W39" s="2129">
        <v>2200</v>
      </c>
      <c r="X39" s="2160" t="s">
        <v>751</v>
      </c>
      <c r="Y39" s="2114" t="s">
        <v>751</v>
      </c>
      <c r="Z39" s="2114" t="s">
        <v>167</v>
      </c>
      <c r="AA39" s="2114" t="s">
        <v>167</v>
      </c>
      <c r="AB39" s="2114" t="s">
        <v>167</v>
      </c>
      <c r="AC39" s="2114" t="s">
        <v>167</v>
      </c>
      <c r="AD39" s="2114" t="s">
        <v>167</v>
      </c>
      <c r="AE39" s="2129">
        <v>2100</v>
      </c>
      <c r="AF39" s="2104"/>
      <c r="AG39" s="2104"/>
      <c r="AH39" s="2104"/>
      <c r="AI39" s="2104"/>
      <c r="AJ39" s="2104"/>
      <c r="AK39" s="2100"/>
    </row>
    <row r="40" spans="1:37" ht="16" thickBot="1">
      <c r="A40" s="2101"/>
      <c r="B40" s="2256" t="s">
        <v>0</v>
      </c>
      <c r="C40" s="2256"/>
      <c r="D40" s="2130"/>
      <c r="E40" s="2130"/>
      <c r="F40" s="2130"/>
      <c r="G40" s="2144"/>
      <c r="H40" s="2161">
        <v>2421962</v>
      </c>
      <c r="I40" s="2134">
        <v>94991</v>
      </c>
      <c r="J40" s="2134">
        <v>2326971</v>
      </c>
      <c r="K40" s="2134">
        <v>3071728</v>
      </c>
      <c r="L40" s="2163">
        <v>0.8</v>
      </c>
      <c r="M40" s="2134">
        <v>20079</v>
      </c>
      <c r="N40" s="2136">
        <v>6.4999999999999997E-3</v>
      </c>
      <c r="O40" s="2136">
        <v>2.8000000000000001E-2</v>
      </c>
      <c r="P40" s="2130">
        <v>570</v>
      </c>
      <c r="Q40" s="2130" t="s">
        <v>751</v>
      </c>
      <c r="R40" s="2130" t="s">
        <v>167</v>
      </c>
      <c r="S40" s="2138">
        <v>4249</v>
      </c>
      <c r="T40" s="2130" t="s">
        <v>167</v>
      </c>
      <c r="U40" s="2130" t="s">
        <v>167</v>
      </c>
      <c r="V40" s="2130" t="s">
        <v>167</v>
      </c>
      <c r="W40" s="2134">
        <v>2200</v>
      </c>
      <c r="X40" s="2166" t="s">
        <v>751</v>
      </c>
      <c r="Y40" s="2130" t="s">
        <v>751</v>
      </c>
      <c r="Z40" s="2164" t="s">
        <v>167</v>
      </c>
      <c r="AA40" s="2130" t="s">
        <v>167</v>
      </c>
      <c r="AB40" s="2130" t="s">
        <v>167</v>
      </c>
      <c r="AC40" s="2130" t="s">
        <v>167</v>
      </c>
      <c r="AD40" s="2130" t="s">
        <v>167</v>
      </c>
      <c r="AE40" s="2144" t="s">
        <v>167</v>
      </c>
      <c r="AF40" s="2104"/>
      <c r="AG40" s="2104"/>
      <c r="AH40" s="2104"/>
      <c r="AI40" s="2104"/>
      <c r="AJ40" s="2104"/>
      <c r="AK40" s="2100"/>
    </row>
    <row r="41" spans="1:37" ht="15.5">
      <c r="A41" s="2101"/>
      <c r="B41" s="2145"/>
      <c r="C41" s="2145"/>
      <c r="D41" s="2145"/>
      <c r="E41" s="2145"/>
      <c r="F41" s="2145"/>
      <c r="G41" s="2145"/>
      <c r="H41" s="2145"/>
      <c r="I41" s="2145"/>
      <c r="J41" s="2145"/>
      <c r="K41" s="2145"/>
      <c r="L41" s="2145"/>
      <c r="M41" s="2145"/>
      <c r="N41" s="2145"/>
      <c r="O41" s="2145"/>
      <c r="P41" s="2096"/>
      <c r="Q41" s="2096"/>
      <c r="R41" s="2096"/>
      <c r="S41" s="2096"/>
      <c r="T41" s="2096"/>
      <c r="U41" s="2096"/>
      <c r="V41" s="2104"/>
      <c r="W41" s="2104"/>
      <c r="X41" s="2146"/>
      <c r="Y41" s="2104"/>
      <c r="Z41" s="2104"/>
      <c r="AA41" s="2104"/>
      <c r="AB41" s="2104"/>
      <c r="AC41" s="2104"/>
      <c r="AD41" s="2104"/>
      <c r="AE41" s="2104"/>
      <c r="AF41" s="2104"/>
      <c r="AG41" s="2104"/>
      <c r="AH41" s="2104"/>
      <c r="AI41" s="2104"/>
      <c r="AJ41" s="2104"/>
      <c r="AK41" s="2100"/>
    </row>
    <row r="42" spans="1:37" ht="15.5">
      <c r="A42" s="2101"/>
      <c r="B42" s="2145"/>
      <c r="C42" s="2145"/>
      <c r="D42" s="2145"/>
      <c r="E42" s="2145"/>
      <c r="F42" s="2145"/>
      <c r="G42" s="2145"/>
      <c r="H42" s="2145"/>
      <c r="I42" s="2145"/>
      <c r="J42" s="2145"/>
      <c r="K42" s="2145"/>
      <c r="L42" s="2145"/>
      <c r="M42" s="2145"/>
      <c r="N42" s="2145"/>
      <c r="O42" s="2145"/>
      <c r="P42" s="2096"/>
      <c r="Q42" s="2096"/>
      <c r="R42" s="2096"/>
      <c r="S42" s="2096"/>
      <c r="T42" s="2096"/>
      <c r="U42" s="2096"/>
      <c r="V42" s="2104"/>
      <c r="W42" s="2104"/>
      <c r="X42" s="2146"/>
      <c r="Y42" s="2104"/>
      <c r="Z42" s="2104"/>
      <c r="AA42" s="2104"/>
      <c r="AB42" s="2104"/>
      <c r="AC42" s="2104"/>
      <c r="AD42" s="2104"/>
      <c r="AE42" s="2104"/>
      <c r="AF42" s="2104"/>
      <c r="AG42" s="2104"/>
      <c r="AH42" s="2104"/>
      <c r="AI42" s="2104"/>
      <c r="AJ42" s="2104"/>
      <c r="AK42" s="2100"/>
    </row>
    <row r="43" spans="1:37" ht="16" thickBot="1">
      <c r="A43" s="2101"/>
      <c r="B43" s="2102" t="s">
        <v>759</v>
      </c>
      <c r="C43" s="2103"/>
      <c r="D43" s="2100"/>
      <c r="E43" s="2100"/>
      <c r="F43" s="2100"/>
      <c r="G43" s="2100"/>
      <c r="H43" s="2100"/>
      <c r="I43" s="2100"/>
      <c r="J43" s="2100"/>
      <c r="K43" s="2100"/>
      <c r="L43" s="2100"/>
      <c r="M43" s="2100"/>
      <c r="N43" s="2100"/>
      <c r="O43" s="2100"/>
      <c r="P43" s="2100"/>
      <c r="Q43" s="2100"/>
      <c r="R43" s="2100"/>
      <c r="S43" s="2100"/>
      <c r="T43" s="2100"/>
      <c r="U43" s="2100"/>
      <c r="V43" s="2100"/>
      <c r="W43" s="2100"/>
      <c r="X43" s="2100"/>
      <c r="Y43" s="2100"/>
      <c r="Z43" s="2100"/>
      <c r="AA43" s="2100"/>
      <c r="AB43" s="2100"/>
      <c r="AC43" s="2100"/>
      <c r="AD43" s="2100"/>
      <c r="AE43" s="2100"/>
      <c r="AF43" s="2104"/>
      <c r="AG43" s="2104"/>
      <c r="AH43" s="2104"/>
      <c r="AI43" s="2104"/>
      <c r="AJ43" s="2104"/>
      <c r="AK43" s="2100"/>
    </row>
    <row r="44" spans="1:37" ht="16" thickBot="1">
      <c r="A44" s="2101"/>
      <c r="B44" s="2249" t="s">
        <v>32</v>
      </c>
      <c r="C44" s="2250" t="s">
        <v>31</v>
      </c>
      <c r="D44" s="2105"/>
      <c r="E44" s="2105"/>
      <c r="F44" s="2105"/>
      <c r="G44" s="2251" t="s">
        <v>30</v>
      </c>
      <c r="H44" s="2254" t="s">
        <v>731</v>
      </c>
      <c r="I44" s="2254"/>
      <c r="J44" s="2254"/>
      <c r="K44" s="2251" t="s">
        <v>732</v>
      </c>
      <c r="L44" s="2251"/>
      <c r="M44" s="2251"/>
      <c r="N44" s="2251"/>
      <c r="O44" s="2251"/>
      <c r="P44" s="2251"/>
      <c r="Q44" s="2251"/>
      <c r="R44" s="2251"/>
      <c r="S44" s="2251"/>
      <c r="T44" s="2251"/>
      <c r="U44" s="2251"/>
      <c r="V44" s="2251"/>
      <c r="W44" s="2251"/>
      <c r="X44" s="2246" t="s">
        <v>27</v>
      </c>
      <c r="Y44" s="2246"/>
      <c r="Z44" s="2246"/>
      <c r="AA44" s="2246"/>
      <c r="AB44" s="2246"/>
      <c r="AC44" s="2246"/>
      <c r="AD44" s="2246"/>
      <c r="AE44" s="2246"/>
      <c r="AF44" s="2104"/>
      <c r="AG44" s="2104"/>
      <c r="AH44" s="2104"/>
      <c r="AI44" s="2104"/>
      <c r="AJ44" s="2104"/>
      <c r="AK44" s="2100"/>
    </row>
    <row r="45" spans="1:37" ht="70">
      <c r="A45" s="2101"/>
      <c r="B45" s="2249"/>
      <c r="C45" s="2250"/>
      <c r="D45" s="2152"/>
      <c r="E45" s="2152"/>
      <c r="F45" s="2152"/>
      <c r="G45" s="2251"/>
      <c r="H45" s="2109" t="s">
        <v>26</v>
      </c>
      <c r="I45" s="2109" t="s">
        <v>733</v>
      </c>
      <c r="J45" s="2112" t="s">
        <v>250</v>
      </c>
      <c r="K45" s="2109" t="s">
        <v>23</v>
      </c>
      <c r="L45" s="2109" t="s">
        <v>734</v>
      </c>
      <c r="M45" s="2109" t="s">
        <v>735</v>
      </c>
      <c r="N45" s="2109" t="s">
        <v>736</v>
      </c>
      <c r="O45" s="2109" t="s">
        <v>737</v>
      </c>
      <c r="P45" s="2109" t="s">
        <v>18</v>
      </c>
      <c r="Q45" s="2109" t="s">
        <v>17</v>
      </c>
      <c r="R45" s="2109" t="s">
        <v>738</v>
      </c>
      <c r="S45" s="2109" t="s">
        <v>739</v>
      </c>
      <c r="T45" s="2109" t="s">
        <v>740</v>
      </c>
      <c r="U45" s="2109" t="s">
        <v>741</v>
      </c>
      <c r="V45" s="2109" t="s">
        <v>742</v>
      </c>
      <c r="W45" s="2112" t="s">
        <v>11</v>
      </c>
      <c r="X45" s="2109" t="s">
        <v>10</v>
      </c>
      <c r="Y45" s="2109" t="s">
        <v>9</v>
      </c>
      <c r="Z45" s="2109" t="s">
        <v>8</v>
      </c>
      <c r="AA45" s="2109" t="s">
        <v>7</v>
      </c>
      <c r="AB45" s="2109" t="s">
        <v>6</v>
      </c>
      <c r="AC45" s="2109" t="s">
        <v>5</v>
      </c>
      <c r="AD45" s="2109" t="s">
        <v>4</v>
      </c>
      <c r="AE45" s="2112" t="s">
        <v>3</v>
      </c>
      <c r="AF45" s="2104"/>
      <c r="AG45" s="2104"/>
      <c r="AH45" s="2104"/>
      <c r="AI45" s="2104"/>
      <c r="AJ45" s="2104"/>
      <c r="AK45" s="2100"/>
    </row>
    <row r="46" spans="1:37" ht="16" thickBot="1">
      <c r="A46" s="2101"/>
      <c r="B46" s="2167" t="s">
        <v>760</v>
      </c>
      <c r="C46" s="2098" t="s">
        <v>859</v>
      </c>
      <c r="D46" s="2098"/>
      <c r="E46" s="2098"/>
      <c r="F46" s="2098"/>
      <c r="G46" s="2168" t="s">
        <v>760</v>
      </c>
      <c r="H46" s="2158">
        <v>16002126</v>
      </c>
      <c r="I46" s="2118">
        <v>6924138</v>
      </c>
      <c r="J46" s="2129">
        <v>9077989</v>
      </c>
      <c r="K46" s="2118">
        <v>20088834</v>
      </c>
      <c r="L46" s="2114">
        <v>0.8</v>
      </c>
      <c r="M46" s="2118">
        <v>1013188</v>
      </c>
      <c r="N46" s="2120">
        <v>0.05</v>
      </c>
      <c r="O46" s="2120">
        <v>6.9000000000000006E-2</v>
      </c>
      <c r="P46" s="2118">
        <v>69537</v>
      </c>
      <c r="Q46" s="2118">
        <v>44457</v>
      </c>
      <c r="R46" s="2169">
        <v>0.63900000000000001</v>
      </c>
      <c r="S46" s="2114">
        <v>230</v>
      </c>
      <c r="T46" s="2170">
        <v>360</v>
      </c>
      <c r="U46" s="2118">
        <v>97805400</v>
      </c>
      <c r="V46" s="2114">
        <v>6.1</v>
      </c>
      <c r="W46" s="2171">
        <v>2200</v>
      </c>
      <c r="X46" s="2118">
        <v>25459</v>
      </c>
      <c r="Y46" s="2118">
        <v>17763</v>
      </c>
      <c r="Z46" s="2120">
        <v>0.69799999999999995</v>
      </c>
      <c r="AA46" s="2114">
        <v>629</v>
      </c>
      <c r="AB46" s="2170">
        <v>901</v>
      </c>
      <c r="AC46" s="2118">
        <v>51512700</v>
      </c>
      <c r="AD46" s="2114">
        <v>3.2</v>
      </c>
      <c r="AE46" s="2129">
        <v>2900</v>
      </c>
      <c r="AF46" s="2104"/>
      <c r="AG46" s="2104"/>
      <c r="AH46" s="2104"/>
      <c r="AI46" s="2104"/>
      <c r="AJ46" s="2104"/>
      <c r="AK46" s="2100"/>
    </row>
    <row r="47" spans="1:37" ht="16" thickBot="1">
      <c r="A47" s="2101"/>
      <c r="B47" s="2167" t="s">
        <v>761</v>
      </c>
      <c r="C47" s="2098" t="s">
        <v>860</v>
      </c>
      <c r="D47" s="2098"/>
      <c r="E47" s="2098"/>
      <c r="F47" s="2098"/>
      <c r="G47" s="2168" t="s">
        <v>762</v>
      </c>
      <c r="H47" s="2158">
        <v>4743618</v>
      </c>
      <c r="I47" s="2158">
        <v>1670584</v>
      </c>
      <c r="J47" s="2172">
        <v>3073034</v>
      </c>
      <c r="K47" s="2118">
        <v>14161808</v>
      </c>
      <c r="L47" s="2114">
        <v>0.33</v>
      </c>
      <c r="M47" s="2118">
        <v>424476</v>
      </c>
      <c r="N47" s="2120">
        <v>0.03</v>
      </c>
      <c r="O47" s="2120">
        <v>2.8000000000000001E-2</v>
      </c>
      <c r="P47" s="2118">
        <v>11909</v>
      </c>
      <c r="Q47" s="2118">
        <v>8493</v>
      </c>
      <c r="R47" s="2169">
        <v>0.71299999999999997</v>
      </c>
      <c r="S47" s="2114">
        <v>398</v>
      </c>
      <c r="T47" s="2170">
        <v>559</v>
      </c>
      <c r="U47" s="2118">
        <v>18684600</v>
      </c>
      <c r="V47" s="2114">
        <v>3.9</v>
      </c>
      <c r="W47" s="2171">
        <v>2200</v>
      </c>
      <c r="X47" s="2118">
        <v>3265</v>
      </c>
      <c r="Y47" s="2173">
        <v>2469</v>
      </c>
      <c r="Z47" s="2120">
        <v>0.75600000000000001</v>
      </c>
      <c r="AA47" s="2118">
        <v>1453</v>
      </c>
      <c r="AB47" s="2174">
        <v>1921</v>
      </c>
      <c r="AC47" s="2118">
        <v>7160100</v>
      </c>
      <c r="AD47" s="2114">
        <v>1.5</v>
      </c>
      <c r="AE47" s="2129">
        <v>2900</v>
      </c>
      <c r="AF47" s="2104"/>
      <c r="AG47" s="2104"/>
      <c r="AH47" s="2104"/>
      <c r="AI47" s="2104"/>
      <c r="AJ47" s="2104"/>
      <c r="AK47" s="2100"/>
    </row>
    <row r="48" spans="1:37" ht="16" thickBot="1">
      <c r="A48" s="2101"/>
      <c r="B48" s="2167" t="s">
        <v>763</v>
      </c>
      <c r="C48" s="2098" t="s">
        <v>861</v>
      </c>
      <c r="D48" s="2098"/>
      <c r="E48" s="2098"/>
      <c r="F48" s="2098"/>
      <c r="G48" s="2168" t="s">
        <v>764</v>
      </c>
      <c r="H48" s="2158">
        <v>11685889</v>
      </c>
      <c r="I48" s="2158">
        <v>4926903</v>
      </c>
      <c r="J48" s="2172">
        <v>6758987</v>
      </c>
      <c r="K48" s="2118">
        <v>11860490</v>
      </c>
      <c r="L48" s="2114">
        <v>0.99</v>
      </c>
      <c r="M48" s="2118">
        <v>544335</v>
      </c>
      <c r="N48" s="2120">
        <v>4.5999999999999999E-2</v>
      </c>
      <c r="O48" s="2120">
        <v>5.6000000000000001E-2</v>
      </c>
      <c r="P48" s="2118">
        <v>30583</v>
      </c>
      <c r="Q48" s="2118">
        <v>21216</v>
      </c>
      <c r="R48" s="2169">
        <v>0.69399999999999995</v>
      </c>
      <c r="S48" s="2114">
        <v>382</v>
      </c>
      <c r="T48" s="2170">
        <v>551</v>
      </c>
      <c r="U48" s="2118">
        <v>46675200</v>
      </c>
      <c r="V48" s="2114">
        <v>4</v>
      </c>
      <c r="W48" s="2171">
        <v>2200</v>
      </c>
      <c r="X48" s="2118">
        <v>2307</v>
      </c>
      <c r="Y48" s="2118">
        <v>1499</v>
      </c>
      <c r="Z48" s="2120">
        <v>0.65</v>
      </c>
      <c r="AA48" s="2118">
        <v>5065</v>
      </c>
      <c r="AB48" s="2174">
        <v>7796</v>
      </c>
      <c r="AC48" s="2118">
        <v>2968020</v>
      </c>
      <c r="AD48" s="2114">
        <v>0.3</v>
      </c>
      <c r="AE48" s="2129">
        <v>1980</v>
      </c>
      <c r="AF48" s="2104"/>
      <c r="AG48" s="2104"/>
      <c r="AH48" s="2104"/>
      <c r="AI48" s="2104"/>
      <c r="AJ48" s="2104"/>
      <c r="AK48" s="2100"/>
    </row>
    <row r="49" spans="1:37" ht="16" thickBot="1">
      <c r="A49" s="2101"/>
      <c r="B49" s="2255" t="s">
        <v>0</v>
      </c>
      <c r="C49" s="2255"/>
      <c r="D49" s="2175"/>
      <c r="E49" s="2175"/>
      <c r="F49" s="2175"/>
      <c r="G49" s="2176"/>
      <c r="H49" s="2177">
        <v>32431634</v>
      </c>
      <c r="I49" s="2178">
        <v>13521624</v>
      </c>
      <c r="J49" s="2179">
        <v>18910009</v>
      </c>
      <c r="K49" s="2178">
        <v>46111132</v>
      </c>
      <c r="L49" s="2175">
        <v>0.7</v>
      </c>
      <c r="M49" s="2178">
        <v>1981999</v>
      </c>
      <c r="N49" s="2180">
        <v>4.2999999999999997E-2</v>
      </c>
      <c r="O49" s="2180">
        <v>5.7000000000000002E-2</v>
      </c>
      <c r="P49" s="2178">
        <v>112029</v>
      </c>
      <c r="Q49" s="2178">
        <v>74166</v>
      </c>
      <c r="R49" s="2180">
        <v>0.66200000000000003</v>
      </c>
      <c r="S49" s="2175">
        <v>289</v>
      </c>
      <c r="T49" s="2175">
        <v>437</v>
      </c>
      <c r="U49" s="2178">
        <v>163165200</v>
      </c>
      <c r="V49" s="2175">
        <v>5</v>
      </c>
      <c r="W49" s="2179">
        <v>2200</v>
      </c>
      <c r="X49" s="2178">
        <v>31031</v>
      </c>
      <c r="Y49" s="2181">
        <v>21731</v>
      </c>
      <c r="Z49" s="2182">
        <v>0.7</v>
      </c>
      <c r="AA49" s="2178">
        <v>1045</v>
      </c>
      <c r="AB49" s="2178">
        <v>1492</v>
      </c>
      <c r="AC49" s="2178">
        <v>56348483</v>
      </c>
      <c r="AD49" s="2175">
        <v>1.7</v>
      </c>
      <c r="AE49" s="2179">
        <v>2593</v>
      </c>
      <c r="AF49" s="2104"/>
      <c r="AG49" s="2104"/>
      <c r="AH49" s="2104"/>
      <c r="AI49" s="2104"/>
      <c r="AJ49" s="2104"/>
      <c r="AK49" s="2100"/>
    </row>
    <row r="50" spans="1:37" ht="15.5">
      <c r="A50" s="2183"/>
      <c r="B50" s="2184" t="s">
        <v>765</v>
      </c>
      <c r="C50" s="2185"/>
      <c r="D50" s="2185"/>
      <c r="E50" s="2185"/>
      <c r="F50" s="2185"/>
      <c r="G50" s="2185"/>
      <c r="H50" s="2185"/>
      <c r="I50" s="2185"/>
      <c r="J50" s="2185"/>
      <c r="K50" s="2185"/>
      <c r="L50" s="2185"/>
      <c r="M50" s="2185"/>
      <c r="N50" s="2185"/>
      <c r="O50" s="2185"/>
      <c r="P50" s="2185"/>
      <c r="Q50" s="2185"/>
      <c r="R50" s="2185"/>
      <c r="S50" s="2185"/>
      <c r="T50" s="2185"/>
      <c r="U50" s="2185"/>
      <c r="V50" s="2185"/>
      <c r="W50" s="2185"/>
      <c r="X50" s="2185"/>
      <c r="Y50" s="2185"/>
      <c r="Z50" s="2185"/>
      <c r="AA50" s="2185"/>
      <c r="AB50" s="2185"/>
      <c r="AC50" s="2185"/>
      <c r="AD50" s="2185"/>
      <c r="AE50" s="2185"/>
      <c r="AF50" s="2186"/>
      <c r="AG50" s="2186"/>
      <c r="AH50" s="2186"/>
      <c r="AI50" s="2186"/>
      <c r="AJ50" s="2186"/>
      <c r="AK50" s="2100"/>
    </row>
    <row r="51" spans="1:37">
      <c r="A51" s="2096"/>
      <c r="B51" s="2187"/>
      <c r="C51" s="2098"/>
      <c r="D51" s="2098"/>
      <c r="E51" s="2098"/>
      <c r="F51" s="2098"/>
      <c r="G51" s="2098"/>
      <c r="H51" s="2098"/>
      <c r="I51" s="2098"/>
      <c r="J51" s="2098"/>
      <c r="K51" s="2096"/>
      <c r="L51" s="2096"/>
      <c r="M51" s="2096"/>
      <c r="N51" s="2096"/>
      <c r="O51" s="2096"/>
      <c r="P51" s="2096"/>
      <c r="Q51" s="2096"/>
      <c r="R51" s="2096"/>
      <c r="S51" s="2096"/>
      <c r="T51" s="2096"/>
      <c r="U51" s="2096"/>
      <c r="V51" s="2096"/>
      <c r="W51" s="2096"/>
      <c r="X51" s="2096"/>
      <c r="Y51" s="2096"/>
      <c r="Z51" s="2096"/>
      <c r="AA51" s="2096"/>
      <c r="AB51" s="2096"/>
      <c r="AC51" s="2096"/>
      <c r="AD51" s="2096"/>
      <c r="AE51" s="2096"/>
      <c r="AF51" s="2096"/>
      <c r="AG51" s="2096"/>
      <c r="AH51" s="2096"/>
      <c r="AI51" s="2096"/>
      <c r="AJ51" s="2096"/>
      <c r="AK51" s="2100"/>
    </row>
    <row r="52" spans="1:37">
      <c r="A52" s="2096"/>
      <c r="B52" s="2187"/>
      <c r="C52" s="2098"/>
      <c r="D52" s="2098"/>
      <c r="E52" s="2098"/>
      <c r="F52" s="2098"/>
      <c r="G52" s="2098"/>
      <c r="H52" s="2098"/>
      <c r="I52" s="2098"/>
      <c r="J52" s="2098"/>
      <c r="K52" s="2096"/>
      <c r="L52" s="2096"/>
      <c r="M52" s="2096"/>
      <c r="N52" s="2096"/>
      <c r="O52" s="2096"/>
      <c r="P52" s="2096"/>
      <c r="Q52" s="2096"/>
      <c r="R52" s="2096"/>
      <c r="S52" s="2096"/>
      <c r="T52" s="2096"/>
      <c r="U52" s="2096"/>
      <c r="V52" s="2096"/>
      <c r="W52" s="2096"/>
      <c r="X52" s="2096"/>
      <c r="Y52" s="2096"/>
      <c r="Z52" s="2096"/>
      <c r="AA52" s="2096"/>
      <c r="AB52" s="2096"/>
      <c r="AC52" s="2096"/>
      <c r="AD52" s="2096"/>
      <c r="AE52" s="2096"/>
      <c r="AF52" s="2096"/>
      <c r="AG52" s="2096"/>
      <c r="AH52" s="2096"/>
      <c r="AI52" s="2096"/>
      <c r="AJ52" s="2096"/>
      <c r="AK52" s="2100"/>
    </row>
    <row r="53" spans="1:37" ht="14.5" thickBot="1">
      <c r="A53" s="2096"/>
      <c r="B53" s="2102" t="s">
        <v>766</v>
      </c>
      <c r="C53" s="2098"/>
      <c r="D53" s="2098"/>
      <c r="E53" s="2098"/>
      <c r="F53" s="2098"/>
      <c r="G53" s="2098"/>
      <c r="H53" s="2098"/>
      <c r="I53" s="2098"/>
      <c r="J53" s="2098"/>
      <c r="K53" s="2096"/>
      <c r="L53" s="2096"/>
      <c r="M53" s="2096"/>
      <c r="N53" s="2096"/>
      <c r="O53" s="2096"/>
      <c r="P53" s="2096"/>
      <c r="Q53" s="2096"/>
      <c r="R53" s="2096"/>
      <c r="S53" s="2096"/>
      <c r="T53" s="2096"/>
      <c r="U53" s="2096"/>
      <c r="V53" s="2096"/>
      <c r="W53" s="2096"/>
      <c r="X53" s="2096"/>
      <c r="Y53" s="2096"/>
      <c r="Z53" s="2096"/>
      <c r="AA53" s="2096"/>
      <c r="AB53" s="2096"/>
      <c r="AC53" s="2096"/>
      <c r="AD53" s="2096"/>
      <c r="AE53" s="2096"/>
      <c r="AF53" s="2096"/>
      <c r="AG53" s="2096"/>
      <c r="AH53" s="2096"/>
      <c r="AI53" s="2096"/>
      <c r="AJ53" s="2096"/>
      <c r="AK53" s="2100"/>
    </row>
    <row r="54" spans="1:37" ht="14.5" thickBot="1">
      <c r="A54" s="2096"/>
      <c r="B54" s="2249" t="s">
        <v>32</v>
      </c>
      <c r="C54" s="2250" t="s">
        <v>31</v>
      </c>
      <c r="D54" s="2105"/>
      <c r="E54" s="2105"/>
      <c r="F54" s="2105"/>
      <c r="G54" s="2251" t="s">
        <v>30</v>
      </c>
      <c r="H54" s="2254" t="s">
        <v>731</v>
      </c>
      <c r="I54" s="2254"/>
      <c r="J54" s="2254"/>
      <c r="K54" s="2251" t="s">
        <v>732</v>
      </c>
      <c r="L54" s="2251"/>
      <c r="M54" s="2251"/>
      <c r="N54" s="2251"/>
      <c r="O54" s="2251"/>
      <c r="P54" s="2251"/>
      <c r="Q54" s="2251"/>
      <c r="R54" s="2251"/>
      <c r="S54" s="2251"/>
      <c r="T54" s="2251"/>
      <c r="U54" s="2251"/>
      <c r="V54" s="2251"/>
      <c r="W54" s="2251"/>
      <c r="X54" s="2246" t="s">
        <v>27</v>
      </c>
      <c r="Y54" s="2246"/>
      <c r="Z54" s="2246"/>
      <c r="AA54" s="2246"/>
      <c r="AB54" s="2246"/>
      <c r="AC54" s="2246"/>
      <c r="AD54" s="2246"/>
      <c r="AE54" s="2246"/>
      <c r="AF54" s="2096"/>
      <c r="AG54" s="2096"/>
      <c r="AH54" s="2096"/>
      <c r="AI54" s="2096"/>
      <c r="AJ54" s="2096"/>
      <c r="AK54" s="2100"/>
    </row>
    <row r="55" spans="1:37" ht="70">
      <c r="A55" s="2096"/>
      <c r="B55" s="2249"/>
      <c r="C55" s="2250"/>
      <c r="D55" s="2152"/>
      <c r="E55" s="2152"/>
      <c r="F55" s="2152"/>
      <c r="G55" s="2251"/>
      <c r="H55" s="2109" t="s">
        <v>26</v>
      </c>
      <c r="I55" s="2109" t="s">
        <v>733</v>
      </c>
      <c r="J55" s="2112" t="s">
        <v>250</v>
      </c>
      <c r="K55" s="2109" t="s">
        <v>23</v>
      </c>
      <c r="L55" s="2109" t="s">
        <v>734</v>
      </c>
      <c r="M55" s="2109" t="s">
        <v>735</v>
      </c>
      <c r="N55" s="2109" t="s">
        <v>736</v>
      </c>
      <c r="O55" s="2109" t="s">
        <v>737</v>
      </c>
      <c r="P55" s="2109" t="s">
        <v>18</v>
      </c>
      <c r="Q55" s="2109" t="s">
        <v>17</v>
      </c>
      <c r="R55" s="2109" t="s">
        <v>738</v>
      </c>
      <c r="S55" s="2109" t="s">
        <v>739</v>
      </c>
      <c r="T55" s="2109" t="s">
        <v>740</v>
      </c>
      <c r="U55" s="2109" t="s">
        <v>741</v>
      </c>
      <c r="V55" s="2109" t="s">
        <v>742</v>
      </c>
      <c r="W55" s="2112" t="s">
        <v>11</v>
      </c>
      <c r="X55" s="2109" t="s">
        <v>10</v>
      </c>
      <c r="Y55" s="2109" t="s">
        <v>9</v>
      </c>
      <c r="Z55" s="2109" t="s">
        <v>8</v>
      </c>
      <c r="AA55" s="2109" t="s">
        <v>7</v>
      </c>
      <c r="AB55" s="2109" t="s">
        <v>6</v>
      </c>
      <c r="AC55" s="2109" t="s">
        <v>5</v>
      </c>
      <c r="AD55" s="2109" t="s">
        <v>4</v>
      </c>
      <c r="AE55" s="2112" t="s">
        <v>3</v>
      </c>
      <c r="AF55" s="2096"/>
      <c r="AG55" s="2096"/>
      <c r="AH55" s="2096"/>
      <c r="AI55" s="2096"/>
      <c r="AJ55" s="2096"/>
      <c r="AK55" s="2100"/>
    </row>
    <row r="56" spans="1:37" ht="14.5" thickBot="1">
      <c r="A56" s="2096"/>
      <c r="B56" s="2113" t="s">
        <v>767</v>
      </c>
      <c r="C56" s="2114" t="s">
        <v>856</v>
      </c>
      <c r="D56" s="2188"/>
      <c r="E56" s="2188"/>
      <c r="F56" s="2188"/>
      <c r="G56" s="2189" t="s">
        <v>768</v>
      </c>
      <c r="H56" s="2158">
        <v>9082758</v>
      </c>
      <c r="I56" s="2118">
        <v>3654850</v>
      </c>
      <c r="J56" s="2129">
        <v>5427908</v>
      </c>
      <c r="K56" s="2118">
        <v>16008605</v>
      </c>
      <c r="L56" s="2114">
        <v>0.56999999999999995</v>
      </c>
      <c r="M56" s="2118">
        <v>567030</v>
      </c>
      <c r="N56" s="2120">
        <v>3.5000000000000003E-2</v>
      </c>
      <c r="O56" s="2120">
        <v>7.5999999999999998E-2</v>
      </c>
      <c r="P56" s="2118">
        <v>42997</v>
      </c>
      <c r="Q56" s="2118">
        <v>25292</v>
      </c>
      <c r="R56" s="2169">
        <v>0.58799999999999997</v>
      </c>
      <c r="S56" s="2114">
        <v>211</v>
      </c>
      <c r="T56" s="2170">
        <v>359</v>
      </c>
      <c r="U56" s="2118">
        <v>55642400</v>
      </c>
      <c r="V56" s="2114">
        <v>6.1</v>
      </c>
      <c r="W56" s="2171">
        <v>2200</v>
      </c>
      <c r="X56" s="2118">
        <v>15756</v>
      </c>
      <c r="Y56" s="2118">
        <v>11263</v>
      </c>
      <c r="Z56" s="2120">
        <v>0.71499999999999997</v>
      </c>
      <c r="AA56" s="2114">
        <v>576</v>
      </c>
      <c r="AB56" s="2170">
        <v>806</v>
      </c>
      <c r="AC56" s="2118">
        <v>32662700</v>
      </c>
      <c r="AD56" s="2114">
        <v>3.6</v>
      </c>
      <c r="AE56" s="2129">
        <v>2900</v>
      </c>
      <c r="AF56" s="2096"/>
      <c r="AG56" s="2096"/>
      <c r="AH56" s="2096"/>
      <c r="AI56" s="2096"/>
      <c r="AJ56" s="2096"/>
      <c r="AK56" s="2100"/>
    </row>
    <row r="57" spans="1:37">
      <c r="A57" s="2096"/>
      <c r="B57" s="2098"/>
      <c r="C57" s="2098"/>
      <c r="D57" s="2098"/>
      <c r="E57" s="2098"/>
      <c r="F57" s="2098"/>
      <c r="G57" s="2098"/>
      <c r="H57" s="2103"/>
      <c r="I57" s="2098"/>
      <c r="J57" s="2098"/>
      <c r="K57" s="2098"/>
      <c r="L57" s="2098"/>
      <c r="M57" s="2098"/>
      <c r="N57" s="2098"/>
      <c r="O57" s="2098"/>
      <c r="P57" s="2098"/>
      <c r="Q57" s="2098"/>
      <c r="R57" s="2098"/>
      <c r="S57" s="2098"/>
      <c r="T57" s="2098"/>
      <c r="U57" s="2098"/>
      <c r="V57" s="2098"/>
      <c r="W57" s="2098"/>
      <c r="X57" s="2098"/>
      <c r="Y57" s="2098"/>
      <c r="Z57" s="2098"/>
      <c r="AA57" s="2098"/>
      <c r="AB57" s="2098"/>
      <c r="AC57" s="2098"/>
      <c r="AD57" s="2098"/>
      <c r="AE57" s="2098"/>
      <c r="AF57" s="2096"/>
      <c r="AG57" s="2096"/>
      <c r="AH57" s="2096"/>
      <c r="AI57" s="2096"/>
      <c r="AJ57" s="2096"/>
      <c r="AK57" s="2100"/>
    </row>
    <row r="58" spans="1:37">
      <c r="A58" s="2096"/>
      <c r="B58" s="2187"/>
      <c r="C58" s="2098"/>
      <c r="D58" s="2098"/>
      <c r="E58" s="2098"/>
      <c r="F58" s="2098"/>
      <c r="G58" s="2098"/>
      <c r="H58" s="2098"/>
      <c r="I58" s="2098"/>
      <c r="J58" s="2098"/>
      <c r="K58" s="2096"/>
      <c r="L58" s="2096"/>
      <c r="M58" s="2096"/>
      <c r="N58" s="2096"/>
      <c r="O58" s="2096"/>
      <c r="P58" s="2096"/>
      <c r="Q58" s="2096"/>
      <c r="R58" s="2096"/>
      <c r="S58" s="2096"/>
      <c r="T58" s="2096"/>
      <c r="U58" s="2096"/>
      <c r="V58" s="2096"/>
      <c r="W58" s="2096"/>
      <c r="X58" s="2096"/>
      <c r="Y58" s="2096"/>
      <c r="Z58" s="2096"/>
      <c r="AA58" s="2096"/>
      <c r="AB58" s="2096"/>
      <c r="AC58" s="2096"/>
      <c r="AD58" s="2096"/>
      <c r="AE58" s="2096"/>
      <c r="AF58" s="2096"/>
      <c r="AG58" s="2096"/>
      <c r="AH58" s="2096"/>
      <c r="AI58" s="2096"/>
      <c r="AJ58" s="2096"/>
      <c r="AK58" s="2100"/>
    </row>
    <row r="59" spans="1:37" ht="14.5" thickBot="1">
      <c r="A59" s="2096"/>
      <c r="B59" s="2102" t="s">
        <v>172</v>
      </c>
      <c r="C59" s="2098"/>
      <c r="D59" s="2098"/>
      <c r="E59" s="2098"/>
      <c r="F59" s="2098"/>
      <c r="G59" s="2098"/>
      <c r="H59" s="2098"/>
      <c r="I59" s="2098"/>
      <c r="J59" s="2098"/>
      <c r="K59" s="2096"/>
      <c r="L59" s="2096"/>
      <c r="M59" s="2096"/>
      <c r="N59" s="2096"/>
      <c r="O59" s="2096"/>
      <c r="P59" s="2096"/>
      <c r="Q59" s="2096"/>
      <c r="R59" s="2096"/>
      <c r="S59" s="2096"/>
      <c r="T59" s="2096"/>
      <c r="U59" s="2096"/>
      <c r="V59" s="2096"/>
      <c r="W59" s="2096"/>
      <c r="X59" s="2096"/>
      <c r="Y59" s="2096"/>
      <c r="Z59" s="2096"/>
      <c r="AA59" s="2096"/>
      <c r="AB59" s="2096"/>
      <c r="AC59" s="2096"/>
      <c r="AD59" s="2096"/>
      <c r="AE59" s="2096"/>
      <c r="AF59" s="2096"/>
      <c r="AG59" s="2096"/>
      <c r="AH59" s="2096"/>
      <c r="AI59" s="2096"/>
      <c r="AJ59" s="2096"/>
      <c r="AK59" s="2100"/>
    </row>
    <row r="60" spans="1:37" ht="14.5" thickBot="1">
      <c r="A60" s="2190"/>
      <c r="B60" s="2249" t="s">
        <v>32</v>
      </c>
      <c r="C60" s="2250" t="s">
        <v>31</v>
      </c>
      <c r="D60" s="2105"/>
      <c r="E60" s="2105"/>
      <c r="F60" s="2105"/>
      <c r="G60" s="2251" t="s">
        <v>30</v>
      </c>
      <c r="H60" s="2254" t="s">
        <v>731</v>
      </c>
      <c r="I60" s="2254"/>
      <c r="J60" s="2254"/>
      <c r="K60" s="2251" t="s">
        <v>732</v>
      </c>
      <c r="L60" s="2251"/>
      <c r="M60" s="2251"/>
      <c r="N60" s="2251"/>
      <c r="O60" s="2251"/>
      <c r="P60" s="2251"/>
      <c r="Q60" s="2251"/>
      <c r="R60" s="2251"/>
      <c r="S60" s="2251"/>
      <c r="T60" s="2251"/>
      <c r="U60" s="2251"/>
      <c r="V60" s="2251"/>
      <c r="W60" s="2251"/>
      <c r="X60" s="2246" t="s">
        <v>27</v>
      </c>
      <c r="Y60" s="2246"/>
      <c r="Z60" s="2246"/>
      <c r="AA60" s="2246"/>
      <c r="AB60" s="2246"/>
      <c r="AC60" s="2246"/>
      <c r="AD60" s="2246"/>
      <c r="AE60" s="2246"/>
      <c r="AF60" s="2191" t="s">
        <v>244</v>
      </c>
      <c r="AG60" s="2191" t="s">
        <v>245</v>
      </c>
      <c r="AH60" s="2191" t="s">
        <v>246</v>
      </c>
      <c r="AI60" s="2191"/>
      <c r="AJ60" s="2191"/>
      <c r="AK60" s="2100"/>
    </row>
    <row r="61" spans="1:37" ht="70">
      <c r="A61" s="2096"/>
      <c r="B61" s="2249"/>
      <c r="C61" s="2250"/>
      <c r="D61" s="2152"/>
      <c r="E61" s="2152"/>
      <c r="F61" s="2152"/>
      <c r="G61" s="2251"/>
      <c r="H61" s="2109" t="s">
        <v>26</v>
      </c>
      <c r="I61" s="2109" t="s">
        <v>733</v>
      </c>
      <c r="J61" s="2112" t="s">
        <v>250</v>
      </c>
      <c r="K61" s="2109" t="s">
        <v>23</v>
      </c>
      <c r="L61" s="2109" t="s">
        <v>734</v>
      </c>
      <c r="M61" s="2109" t="s">
        <v>735</v>
      </c>
      <c r="N61" s="2109" t="s">
        <v>736</v>
      </c>
      <c r="O61" s="2109" t="s">
        <v>737</v>
      </c>
      <c r="P61" s="2109" t="s">
        <v>18</v>
      </c>
      <c r="Q61" s="2109" t="s">
        <v>17</v>
      </c>
      <c r="R61" s="2109" t="s">
        <v>738</v>
      </c>
      <c r="S61" s="2109" t="s">
        <v>739</v>
      </c>
      <c r="T61" s="2109" t="s">
        <v>740</v>
      </c>
      <c r="U61" s="2109" t="s">
        <v>741</v>
      </c>
      <c r="V61" s="2109" t="s">
        <v>742</v>
      </c>
      <c r="W61" s="2112" t="s">
        <v>11</v>
      </c>
      <c r="X61" s="2109" t="s">
        <v>10</v>
      </c>
      <c r="Y61" s="2109" t="s">
        <v>9</v>
      </c>
      <c r="Z61" s="2109" t="s">
        <v>8</v>
      </c>
      <c r="AA61" s="2109" t="s">
        <v>7</v>
      </c>
      <c r="AB61" s="2109" t="s">
        <v>6</v>
      </c>
      <c r="AC61" s="2109" t="s">
        <v>5</v>
      </c>
      <c r="AD61" s="2109" t="s">
        <v>4</v>
      </c>
      <c r="AE61" s="2112" t="s">
        <v>3</v>
      </c>
      <c r="AF61" s="2096"/>
      <c r="AG61" s="2096"/>
      <c r="AH61" s="2096"/>
      <c r="AI61" s="2096"/>
      <c r="AJ61" s="2096"/>
      <c r="AK61" s="2100"/>
    </row>
    <row r="62" spans="1:37">
      <c r="A62" s="2096"/>
      <c r="B62" s="2167" t="s">
        <v>769</v>
      </c>
      <c r="C62" s="2098" t="s">
        <v>856</v>
      </c>
      <c r="D62" s="2098"/>
      <c r="E62" s="2098"/>
      <c r="F62" s="2098"/>
      <c r="G62" s="2168" t="s">
        <v>172</v>
      </c>
      <c r="H62" s="2192">
        <v>8573221</v>
      </c>
      <c r="I62" s="2193">
        <v>5572124</v>
      </c>
      <c r="J62" s="2194">
        <v>3001097</v>
      </c>
      <c r="K62" s="2193">
        <v>11188716</v>
      </c>
      <c r="L62" s="2098">
        <v>0.77</v>
      </c>
      <c r="M62" s="2193">
        <v>1192980</v>
      </c>
      <c r="N62" s="2195">
        <v>0.107</v>
      </c>
      <c r="O62" s="2195">
        <v>6.5000000000000002E-2</v>
      </c>
      <c r="P62" s="2193">
        <v>77258</v>
      </c>
      <c r="Q62" s="2193">
        <v>56314</v>
      </c>
      <c r="R62" s="2196">
        <v>0.72899999999999998</v>
      </c>
      <c r="S62" s="2098">
        <v>111</v>
      </c>
      <c r="T62" s="2197">
        <v>152</v>
      </c>
      <c r="U62" s="2193">
        <v>123890800</v>
      </c>
      <c r="V62" s="2098">
        <v>14.5</v>
      </c>
      <c r="W62" s="2247">
        <v>2200</v>
      </c>
      <c r="X62" s="2193">
        <v>22117</v>
      </c>
      <c r="Y62" s="2193">
        <v>15043</v>
      </c>
      <c r="Z62" s="2195">
        <v>0.68</v>
      </c>
      <c r="AA62" s="2098">
        <v>388</v>
      </c>
      <c r="AB62" s="2197">
        <v>570</v>
      </c>
      <c r="AC62" s="2193">
        <v>43624700</v>
      </c>
      <c r="AD62" s="2098">
        <v>5.0999999999999996</v>
      </c>
      <c r="AE62" s="2194">
        <v>2900</v>
      </c>
      <c r="AF62" s="2096"/>
      <c r="AG62" s="2096"/>
      <c r="AH62" s="2096"/>
      <c r="AI62" s="2096"/>
      <c r="AJ62" s="2096"/>
      <c r="AK62" s="2100"/>
    </row>
    <row r="63" spans="1:37">
      <c r="A63" s="2096"/>
      <c r="B63" s="2167" t="s">
        <v>769</v>
      </c>
      <c r="C63" s="2098" t="s">
        <v>862</v>
      </c>
      <c r="D63" s="2098"/>
      <c r="E63" s="2098"/>
      <c r="F63" s="2098"/>
      <c r="G63" s="2168" t="s">
        <v>172</v>
      </c>
      <c r="H63" s="2192">
        <v>11337106</v>
      </c>
      <c r="I63" s="2193">
        <v>4177229</v>
      </c>
      <c r="J63" s="2198">
        <v>7159877</v>
      </c>
      <c r="K63" s="2193">
        <v>20819964</v>
      </c>
      <c r="L63" s="2098">
        <v>0.54</v>
      </c>
      <c r="M63" s="2199">
        <v>1736193</v>
      </c>
      <c r="N63" s="2195">
        <v>8.3000000000000004E-2</v>
      </c>
      <c r="O63" s="2195">
        <v>6.2E-2</v>
      </c>
      <c r="P63" s="2193">
        <v>108005</v>
      </c>
      <c r="Q63" s="2193">
        <v>81064</v>
      </c>
      <c r="R63" s="2196">
        <v>0.751</v>
      </c>
      <c r="S63" s="2098">
        <v>105</v>
      </c>
      <c r="T63" s="2197">
        <v>140</v>
      </c>
      <c r="U63" s="2193">
        <v>178340800</v>
      </c>
      <c r="V63" s="2098">
        <v>15.7</v>
      </c>
      <c r="W63" s="2247"/>
      <c r="X63" s="2193">
        <v>34079</v>
      </c>
      <c r="Y63" s="2193">
        <v>26227</v>
      </c>
      <c r="Z63" s="2195">
        <v>0.77</v>
      </c>
      <c r="AA63" s="2098">
        <v>333</v>
      </c>
      <c r="AB63" s="2197">
        <v>432</v>
      </c>
      <c r="AC63" s="2193">
        <v>55076700</v>
      </c>
      <c r="AD63" s="2098">
        <v>4.9000000000000004</v>
      </c>
      <c r="AE63" s="2194">
        <v>2100</v>
      </c>
      <c r="AF63" s="2096"/>
      <c r="AG63" s="2096"/>
      <c r="AH63" s="2096"/>
      <c r="AI63" s="2096"/>
      <c r="AJ63" s="2096"/>
      <c r="AK63" s="2100"/>
    </row>
    <row r="64" spans="1:37" ht="14.5" thickBot="1">
      <c r="A64" s="2096"/>
      <c r="B64" s="2248" t="s">
        <v>0</v>
      </c>
      <c r="C64" s="2248"/>
      <c r="D64" s="2175"/>
      <c r="E64" s="2175"/>
      <c r="F64" s="2175"/>
      <c r="G64" s="2176"/>
      <c r="H64" s="2177">
        <v>19910327</v>
      </c>
      <c r="I64" s="2178">
        <v>9749353</v>
      </c>
      <c r="J64" s="2179">
        <v>10160974</v>
      </c>
      <c r="K64" s="2178">
        <v>32008680</v>
      </c>
      <c r="L64" s="2175">
        <v>0.62</v>
      </c>
      <c r="M64" s="2178">
        <v>2929173</v>
      </c>
      <c r="N64" s="2180">
        <v>9.1999999999999998E-2</v>
      </c>
      <c r="O64" s="2180">
        <v>6.3E-2</v>
      </c>
      <c r="P64" s="2178">
        <v>185263</v>
      </c>
      <c r="Q64" s="2178">
        <v>137378</v>
      </c>
      <c r="R64" s="2180">
        <v>0.74199999999999999</v>
      </c>
      <c r="S64" s="2175">
        <v>107</v>
      </c>
      <c r="T64" s="2175">
        <v>145</v>
      </c>
      <c r="U64" s="2178">
        <v>302231600</v>
      </c>
      <c r="V64" s="2175">
        <v>15.2</v>
      </c>
      <c r="W64" s="2179">
        <v>2200</v>
      </c>
      <c r="X64" s="2178">
        <v>56196</v>
      </c>
      <c r="Y64" s="2178">
        <v>41270</v>
      </c>
      <c r="Z64" s="2180">
        <v>0.73399999999999999</v>
      </c>
      <c r="AA64" s="2175">
        <v>354</v>
      </c>
      <c r="AB64" s="2175">
        <v>482</v>
      </c>
      <c r="AC64" s="2178">
        <v>98701400</v>
      </c>
      <c r="AD64" s="2175">
        <v>5</v>
      </c>
      <c r="AE64" s="2179">
        <v>2392</v>
      </c>
      <c r="AF64" s="2096"/>
      <c r="AG64" s="2096"/>
      <c r="AH64" s="2096"/>
      <c r="AI64" s="2096"/>
      <c r="AJ64" s="2096"/>
      <c r="AK64" s="2100"/>
    </row>
    <row r="65" spans="1:37">
      <c r="A65" s="2096"/>
      <c r="B65" s="2187"/>
      <c r="C65" s="2098"/>
      <c r="D65" s="2098"/>
      <c r="E65" s="2098"/>
      <c r="F65" s="2098"/>
      <c r="G65" s="2098"/>
      <c r="H65" s="2098"/>
      <c r="I65" s="2098"/>
      <c r="J65" s="2098"/>
      <c r="K65" s="2096"/>
      <c r="L65" s="2096"/>
      <c r="M65" s="2096"/>
      <c r="N65" s="2096"/>
      <c r="O65" s="2096"/>
      <c r="P65" s="2096"/>
      <c r="Q65" s="2096"/>
      <c r="R65" s="2096"/>
      <c r="S65" s="2096"/>
      <c r="T65" s="2096"/>
      <c r="U65" s="2096"/>
      <c r="V65" s="2096"/>
      <c r="W65" s="2096"/>
      <c r="X65" s="2096"/>
      <c r="Y65" s="2096"/>
      <c r="Z65" s="2096"/>
      <c r="AA65" s="2096"/>
      <c r="AB65" s="2096"/>
      <c r="AC65" s="2096"/>
      <c r="AD65" s="2096"/>
      <c r="AE65" s="2096"/>
      <c r="AF65" s="2096"/>
      <c r="AG65" s="2096"/>
      <c r="AH65" s="2096"/>
      <c r="AI65" s="2096"/>
      <c r="AJ65" s="2096"/>
      <c r="AK65" s="2100"/>
    </row>
    <row r="66" spans="1:37">
      <c r="A66" s="2096"/>
      <c r="B66" s="2187"/>
      <c r="C66" s="2098"/>
      <c r="D66" s="2098"/>
      <c r="E66" s="2098"/>
      <c r="F66" s="2098"/>
      <c r="G66" s="2098"/>
      <c r="H66" s="2098"/>
      <c r="I66" s="2098"/>
      <c r="J66" s="2098"/>
      <c r="K66" s="2096"/>
      <c r="L66" s="2096"/>
      <c r="M66" s="2096"/>
      <c r="N66" s="2096"/>
      <c r="O66" s="2096"/>
      <c r="P66" s="2096"/>
      <c r="Q66" s="2096"/>
      <c r="R66" s="2096"/>
      <c r="S66" s="2096"/>
      <c r="T66" s="2096"/>
      <c r="U66" s="2096"/>
      <c r="V66" s="2096"/>
      <c r="W66" s="2096"/>
      <c r="X66" s="2096"/>
      <c r="Y66" s="2096"/>
      <c r="Z66" s="2096"/>
      <c r="AA66" s="2096"/>
      <c r="AB66" s="2096"/>
      <c r="AC66" s="2096"/>
      <c r="AD66" s="2096"/>
      <c r="AE66" s="2096"/>
      <c r="AF66" s="2096"/>
      <c r="AG66" s="2096"/>
      <c r="AH66" s="2096"/>
      <c r="AI66" s="2096"/>
      <c r="AJ66" s="2096"/>
      <c r="AK66" s="2100"/>
    </row>
    <row r="67" spans="1:37" ht="14.5" thickBot="1">
      <c r="A67" s="2096"/>
      <c r="B67" s="2102" t="s">
        <v>174</v>
      </c>
      <c r="C67" s="2098"/>
      <c r="D67" s="2098"/>
      <c r="E67" s="2098"/>
      <c r="F67" s="2098"/>
      <c r="G67" s="2098"/>
      <c r="H67" s="2098"/>
      <c r="I67" s="2098"/>
      <c r="J67" s="2098"/>
      <c r="K67" s="2096"/>
      <c r="L67" s="2096"/>
      <c r="M67" s="2096"/>
      <c r="N67" s="2096"/>
      <c r="O67" s="2096"/>
      <c r="P67" s="2096"/>
      <c r="Q67" s="2096"/>
      <c r="R67" s="2096"/>
      <c r="S67" s="2096"/>
      <c r="T67" s="2096"/>
      <c r="U67" s="2096"/>
      <c r="V67" s="2096"/>
      <c r="W67" s="2096"/>
      <c r="X67" s="2096"/>
      <c r="Y67" s="2096"/>
      <c r="Z67" s="2096"/>
      <c r="AA67" s="2096"/>
      <c r="AB67" s="2096"/>
      <c r="AC67" s="2096"/>
      <c r="AD67" s="2096"/>
      <c r="AE67" s="2096"/>
      <c r="AF67" s="2096"/>
      <c r="AG67" s="2096"/>
      <c r="AH67" s="2096"/>
      <c r="AI67" s="2096"/>
      <c r="AJ67" s="2096"/>
      <c r="AK67" s="2100"/>
    </row>
    <row r="68" spans="1:37" ht="14.5" thickBot="1">
      <c r="A68" s="2190"/>
      <c r="B68" s="2249" t="s">
        <v>32</v>
      </c>
      <c r="C68" s="2250" t="s">
        <v>31</v>
      </c>
      <c r="D68" s="2105"/>
      <c r="E68" s="2105"/>
      <c r="F68" s="2105"/>
      <c r="G68" s="2251" t="s">
        <v>30</v>
      </c>
      <c r="H68" s="2254" t="s">
        <v>731</v>
      </c>
      <c r="I68" s="2254"/>
      <c r="J68" s="2254"/>
      <c r="K68" s="2251" t="s">
        <v>732</v>
      </c>
      <c r="L68" s="2251"/>
      <c r="M68" s="2251"/>
      <c r="N68" s="2251"/>
      <c r="O68" s="2251"/>
      <c r="P68" s="2251"/>
      <c r="Q68" s="2251"/>
      <c r="R68" s="2251"/>
      <c r="S68" s="2251"/>
      <c r="T68" s="2251"/>
      <c r="U68" s="2251"/>
      <c r="V68" s="2251"/>
      <c r="W68" s="2251"/>
      <c r="X68" s="2246" t="s">
        <v>27</v>
      </c>
      <c r="Y68" s="2246"/>
      <c r="Z68" s="2246"/>
      <c r="AA68" s="2246"/>
      <c r="AB68" s="2246"/>
      <c r="AC68" s="2246"/>
      <c r="AD68" s="2246"/>
      <c r="AE68" s="2246"/>
      <c r="AF68" s="2191" t="s">
        <v>244</v>
      </c>
      <c r="AG68" s="2191" t="s">
        <v>245</v>
      </c>
      <c r="AH68" s="2191" t="s">
        <v>246</v>
      </c>
      <c r="AI68" s="2191"/>
      <c r="AJ68" s="2191"/>
      <c r="AK68" s="2100"/>
    </row>
    <row r="69" spans="1:37" ht="70">
      <c r="A69" s="2096"/>
      <c r="B69" s="2249"/>
      <c r="C69" s="2250"/>
      <c r="D69" s="2152"/>
      <c r="E69" s="2152"/>
      <c r="F69" s="2152"/>
      <c r="G69" s="2251"/>
      <c r="H69" s="2109" t="s">
        <v>26</v>
      </c>
      <c r="I69" s="2109" t="s">
        <v>733</v>
      </c>
      <c r="J69" s="2112" t="s">
        <v>250</v>
      </c>
      <c r="K69" s="2109" t="s">
        <v>23</v>
      </c>
      <c r="L69" s="2109" t="s">
        <v>734</v>
      </c>
      <c r="M69" s="2109" t="s">
        <v>735</v>
      </c>
      <c r="N69" s="2109" t="s">
        <v>736</v>
      </c>
      <c r="O69" s="2109" t="s">
        <v>737</v>
      </c>
      <c r="P69" s="2109" t="s">
        <v>18</v>
      </c>
      <c r="Q69" s="2109" t="s">
        <v>17</v>
      </c>
      <c r="R69" s="2109" t="s">
        <v>738</v>
      </c>
      <c r="S69" s="2109" t="s">
        <v>739</v>
      </c>
      <c r="T69" s="2109" t="s">
        <v>740</v>
      </c>
      <c r="U69" s="2109" t="s">
        <v>741</v>
      </c>
      <c r="V69" s="2109" t="s">
        <v>742</v>
      </c>
      <c r="W69" s="2112" t="s">
        <v>11</v>
      </c>
      <c r="X69" s="2109" t="s">
        <v>10</v>
      </c>
      <c r="Y69" s="2109" t="s">
        <v>9</v>
      </c>
      <c r="Z69" s="2109" t="s">
        <v>8</v>
      </c>
      <c r="AA69" s="2109" t="s">
        <v>7</v>
      </c>
      <c r="AB69" s="2109" t="s">
        <v>6</v>
      </c>
      <c r="AC69" s="2109" t="s">
        <v>5</v>
      </c>
      <c r="AD69" s="2109" t="s">
        <v>4</v>
      </c>
      <c r="AE69" s="2112" t="s">
        <v>3</v>
      </c>
      <c r="AF69" s="2096"/>
      <c r="AG69" s="2096"/>
      <c r="AH69" s="2096"/>
      <c r="AI69" s="2096"/>
      <c r="AJ69" s="2096"/>
      <c r="AK69" s="2100"/>
    </row>
    <row r="70" spans="1:37">
      <c r="A70" s="2096"/>
      <c r="B70" s="2167" t="s">
        <v>770</v>
      </c>
      <c r="C70" s="2098" t="s">
        <v>856</v>
      </c>
      <c r="D70" s="2098"/>
      <c r="E70" s="2098"/>
      <c r="F70" s="2098"/>
      <c r="G70" s="2168" t="s">
        <v>172</v>
      </c>
      <c r="H70" s="2192">
        <v>7109288</v>
      </c>
      <c r="I70" s="2193">
        <v>4251190</v>
      </c>
      <c r="J70" s="2194">
        <v>2858098</v>
      </c>
      <c r="K70" s="2193">
        <v>8609608</v>
      </c>
      <c r="L70" s="2098">
        <v>0.83</v>
      </c>
      <c r="M70" s="2193">
        <v>766404</v>
      </c>
      <c r="N70" s="2195">
        <v>8.8999999999999996E-2</v>
      </c>
      <c r="O70" s="2195">
        <v>8.1000000000000003E-2</v>
      </c>
      <c r="P70" s="2193">
        <v>61711</v>
      </c>
      <c r="Q70" s="2193">
        <v>44263</v>
      </c>
      <c r="R70" s="2196">
        <v>0.71699999999999997</v>
      </c>
      <c r="S70" s="2098">
        <v>115</v>
      </c>
      <c r="T70" s="2197">
        <v>161</v>
      </c>
      <c r="U70" s="2193">
        <v>97378600</v>
      </c>
      <c r="V70" s="2098">
        <v>13.7</v>
      </c>
      <c r="W70" s="2247">
        <v>2200</v>
      </c>
      <c r="X70" s="2193">
        <v>18014</v>
      </c>
      <c r="Y70" s="2193">
        <v>12203</v>
      </c>
      <c r="Z70" s="2195">
        <v>0.67700000000000005</v>
      </c>
      <c r="AA70" s="2098">
        <v>395</v>
      </c>
      <c r="AB70" s="2197">
        <v>583</v>
      </c>
      <c r="AC70" s="2193">
        <v>35388700</v>
      </c>
      <c r="AD70" s="2098">
        <v>5</v>
      </c>
      <c r="AE70" s="2194">
        <v>2900</v>
      </c>
      <c r="AF70" s="2096"/>
      <c r="AG70" s="2096"/>
      <c r="AH70" s="2096"/>
      <c r="AI70" s="2096"/>
      <c r="AJ70" s="2096"/>
      <c r="AK70" s="2100"/>
    </row>
    <row r="71" spans="1:37">
      <c r="A71" s="2096"/>
      <c r="B71" s="2167" t="s">
        <v>770</v>
      </c>
      <c r="C71" s="2098" t="s">
        <v>862</v>
      </c>
      <c r="D71" s="2098"/>
      <c r="E71" s="2098"/>
      <c r="F71" s="2098"/>
      <c r="G71" s="2168" t="s">
        <v>172</v>
      </c>
      <c r="H71" s="2192">
        <v>7457866</v>
      </c>
      <c r="I71" s="2193">
        <v>3331040</v>
      </c>
      <c r="J71" s="2198">
        <v>4126827</v>
      </c>
      <c r="K71" s="2193">
        <v>15469944</v>
      </c>
      <c r="L71" s="2098">
        <v>0.48</v>
      </c>
      <c r="M71" s="2199">
        <v>1022358</v>
      </c>
      <c r="N71" s="2195">
        <v>6.6000000000000003E-2</v>
      </c>
      <c r="O71" s="2195">
        <v>7.0999999999999994E-2</v>
      </c>
      <c r="P71" s="2193">
        <v>72742</v>
      </c>
      <c r="Q71" s="2193">
        <v>54114</v>
      </c>
      <c r="R71" s="2196">
        <v>0.74399999999999999</v>
      </c>
      <c r="S71" s="2098">
        <v>103</v>
      </c>
      <c r="T71" s="2197">
        <v>138</v>
      </c>
      <c r="U71" s="2193">
        <v>119050800</v>
      </c>
      <c r="V71" s="2098">
        <v>16</v>
      </c>
      <c r="W71" s="2247"/>
      <c r="X71" s="2193">
        <v>23253</v>
      </c>
      <c r="Y71" s="2193">
        <v>17790</v>
      </c>
      <c r="Z71" s="2195">
        <v>0.76500000000000001</v>
      </c>
      <c r="AA71" s="2098">
        <v>321</v>
      </c>
      <c r="AB71" s="2197">
        <v>419</v>
      </c>
      <c r="AC71" s="2193">
        <v>37359000</v>
      </c>
      <c r="AD71" s="2098">
        <v>5</v>
      </c>
      <c r="AE71" s="2194">
        <v>2100</v>
      </c>
      <c r="AF71" s="2096"/>
      <c r="AG71" s="2096"/>
      <c r="AH71" s="2096"/>
      <c r="AI71" s="2096"/>
      <c r="AJ71" s="2096"/>
      <c r="AK71" s="2100"/>
    </row>
    <row r="72" spans="1:37" ht="14.5" thickBot="1">
      <c r="A72" s="2096"/>
      <c r="B72" s="2248" t="s">
        <v>0</v>
      </c>
      <c r="C72" s="2248"/>
      <c r="D72" s="2175"/>
      <c r="E72" s="2175"/>
      <c r="F72" s="2175"/>
      <c r="G72" s="2176"/>
      <c r="H72" s="2177">
        <v>14567154</v>
      </c>
      <c r="I72" s="2178">
        <v>7582230</v>
      </c>
      <c r="J72" s="2179">
        <v>6984925</v>
      </c>
      <c r="K72" s="2178">
        <v>24079552</v>
      </c>
      <c r="L72" s="2175">
        <v>0.6</v>
      </c>
      <c r="M72" s="2178">
        <v>1788762</v>
      </c>
      <c r="N72" s="2180">
        <v>7.3999999999999996E-2</v>
      </c>
      <c r="O72" s="2180">
        <v>7.4999999999999997E-2</v>
      </c>
      <c r="P72" s="2178">
        <v>134453</v>
      </c>
      <c r="Q72" s="2178">
        <v>98377</v>
      </c>
      <c r="R72" s="2180">
        <v>0.73199999999999998</v>
      </c>
      <c r="S72" s="2175">
        <v>108</v>
      </c>
      <c r="T72" s="2175">
        <v>148</v>
      </c>
      <c r="U72" s="2178">
        <v>216429400</v>
      </c>
      <c r="V72" s="2175">
        <v>14.9</v>
      </c>
      <c r="W72" s="2179">
        <v>2200</v>
      </c>
      <c r="X72" s="2178">
        <v>41267</v>
      </c>
      <c r="Y72" s="2178">
        <v>29993</v>
      </c>
      <c r="Z72" s="2180">
        <v>0.72699999999999998</v>
      </c>
      <c r="AA72" s="2175">
        <v>353</v>
      </c>
      <c r="AB72" s="2175">
        <v>486</v>
      </c>
      <c r="AC72" s="2178">
        <v>72747700</v>
      </c>
      <c r="AD72" s="2175">
        <v>5</v>
      </c>
      <c r="AE72" s="2179">
        <v>2425</v>
      </c>
      <c r="AF72" s="2096"/>
      <c r="AG72" s="2096"/>
      <c r="AH72" s="2096"/>
      <c r="AI72" s="2096"/>
      <c r="AJ72" s="2096"/>
      <c r="AK72" s="2100"/>
    </row>
    <row r="73" spans="1:37">
      <c r="A73" s="2096"/>
      <c r="B73" s="2187"/>
      <c r="C73" s="2098"/>
      <c r="D73" s="2098"/>
      <c r="E73" s="2098"/>
      <c r="F73" s="2098"/>
      <c r="G73" s="2098"/>
      <c r="H73" s="2098"/>
      <c r="I73" s="2098"/>
      <c r="J73" s="2098"/>
      <c r="K73" s="2096"/>
      <c r="L73" s="2096"/>
      <c r="M73" s="2096"/>
      <c r="N73" s="2096"/>
      <c r="O73" s="2096"/>
      <c r="P73" s="2096"/>
      <c r="Q73" s="2096"/>
      <c r="R73" s="2096"/>
      <c r="S73" s="2096"/>
      <c r="T73" s="2096"/>
      <c r="U73" s="2096"/>
      <c r="V73" s="2096"/>
      <c r="W73" s="2096"/>
      <c r="X73" s="2096"/>
      <c r="Y73" s="2096"/>
      <c r="Z73" s="2096"/>
      <c r="AA73" s="2096"/>
      <c r="AB73" s="2096"/>
      <c r="AC73" s="2096"/>
      <c r="AD73" s="2096"/>
      <c r="AE73" s="2096"/>
      <c r="AF73" s="2096"/>
      <c r="AG73" s="2096"/>
      <c r="AH73" s="2096"/>
      <c r="AI73" s="2096"/>
      <c r="AJ73" s="2096"/>
      <c r="AK73" s="2100"/>
    </row>
    <row r="74" spans="1:37">
      <c r="A74" s="2096"/>
      <c r="B74" s="2187"/>
      <c r="C74" s="2098"/>
      <c r="D74" s="2098"/>
      <c r="E74" s="2098"/>
      <c r="F74" s="2098"/>
      <c r="G74" s="2098"/>
      <c r="H74" s="2098"/>
      <c r="I74" s="2098"/>
      <c r="J74" s="2098"/>
      <c r="K74" s="2096"/>
      <c r="L74" s="2096"/>
      <c r="M74" s="2096"/>
      <c r="N74" s="2096"/>
      <c r="O74" s="2096"/>
      <c r="P74" s="2096"/>
      <c r="Q74" s="2096"/>
      <c r="R74" s="2096"/>
      <c r="S74" s="2096"/>
      <c r="T74" s="2096"/>
      <c r="U74" s="2096"/>
      <c r="V74" s="2096"/>
      <c r="W74" s="2096"/>
      <c r="X74" s="2096"/>
      <c r="Y74" s="2096"/>
      <c r="Z74" s="2096"/>
      <c r="AA74" s="2096"/>
      <c r="AB74" s="2096"/>
      <c r="AC74" s="2096"/>
      <c r="AD74" s="2096"/>
      <c r="AE74" s="2096"/>
      <c r="AF74" s="2096"/>
      <c r="AG74" s="2096"/>
      <c r="AH74" s="2096"/>
      <c r="AI74" s="2096"/>
      <c r="AJ74" s="2096"/>
      <c r="AK74" s="2100"/>
    </row>
    <row r="75" spans="1:37" ht="14.5" thickBot="1">
      <c r="A75" s="2096"/>
      <c r="B75" s="2102" t="s">
        <v>175</v>
      </c>
      <c r="C75" s="2098"/>
      <c r="D75" s="2098"/>
      <c r="E75" s="2098"/>
      <c r="F75" s="2098"/>
      <c r="G75" s="2098"/>
      <c r="H75" s="2098"/>
      <c r="I75" s="2098"/>
      <c r="J75" s="2098"/>
      <c r="K75" s="2096"/>
      <c r="L75" s="2096"/>
      <c r="M75" s="2096"/>
      <c r="N75" s="2096"/>
      <c r="O75" s="2096"/>
      <c r="P75" s="2096"/>
      <c r="Q75" s="2096"/>
      <c r="R75" s="2096"/>
      <c r="S75" s="2096"/>
      <c r="T75" s="2096"/>
      <c r="U75" s="2096"/>
      <c r="V75" s="2096"/>
      <c r="W75" s="2096"/>
      <c r="X75" s="2096"/>
      <c r="Y75" s="2096"/>
      <c r="Z75" s="2096"/>
      <c r="AA75" s="2096"/>
      <c r="AB75" s="2096"/>
      <c r="AC75" s="2096"/>
      <c r="AD75" s="2096"/>
      <c r="AE75" s="2096"/>
      <c r="AF75" s="2096"/>
      <c r="AG75" s="2096"/>
      <c r="AH75" s="2096"/>
      <c r="AI75" s="2096"/>
      <c r="AJ75" s="2096"/>
      <c r="AK75" s="2100"/>
    </row>
    <row r="76" spans="1:37" ht="14.5" thickBot="1">
      <c r="A76" s="2190"/>
      <c r="B76" s="2249" t="s">
        <v>32</v>
      </c>
      <c r="C76" s="2250" t="s">
        <v>31</v>
      </c>
      <c r="D76" s="2105"/>
      <c r="E76" s="2105"/>
      <c r="F76" s="2105"/>
      <c r="G76" s="2251" t="s">
        <v>30</v>
      </c>
      <c r="H76" s="2254" t="s">
        <v>731</v>
      </c>
      <c r="I76" s="2254"/>
      <c r="J76" s="2254"/>
      <c r="K76" s="2251" t="s">
        <v>732</v>
      </c>
      <c r="L76" s="2251"/>
      <c r="M76" s="2251"/>
      <c r="N76" s="2251"/>
      <c r="O76" s="2251"/>
      <c r="P76" s="2251"/>
      <c r="Q76" s="2251"/>
      <c r="R76" s="2251"/>
      <c r="S76" s="2251"/>
      <c r="T76" s="2251"/>
      <c r="U76" s="2251"/>
      <c r="V76" s="2251"/>
      <c r="W76" s="2251"/>
      <c r="X76" s="2246" t="s">
        <v>27</v>
      </c>
      <c r="Y76" s="2246"/>
      <c r="Z76" s="2246"/>
      <c r="AA76" s="2246"/>
      <c r="AB76" s="2246"/>
      <c r="AC76" s="2246"/>
      <c r="AD76" s="2246"/>
      <c r="AE76" s="2246"/>
      <c r="AF76" s="2191" t="s">
        <v>244</v>
      </c>
      <c r="AG76" s="2191" t="s">
        <v>245</v>
      </c>
      <c r="AH76" s="2191" t="s">
        <v>246</v>
      </c>
      <c r="AI76" s="2191"/>
      <c r="AJ76" s="2191"/>
      <c r="AK76" s="2100"/>
    </row>
    <row r="77" spans="1:37" ht="70">
      <c r="A77" s="2096"/>
      <c r="B77" s="2249"/>
      <c r="C77" s="2250"/>
      <c r="D77" s="2152"/>
      <c r="E77" s="2152"/>
      <c r="F77" s="2152"/>
      <c r="G77" s="2251"/>
      <c r="H77" s="2109" t="s">
        <v>26</v>
      </c>
      <c r="I77" s="2109" t="s">
        <v>733</v>
      </c>
      <c r="J77" s="2112" t="s">
        <v>250</v>
      </c>
      <c r="K77" s="2109" t="s">
        <v>23</v>
      </c>
      <c r="L77" s="2109" t="s">
        <v>734</v>
      </c>
      <c r="M77" s="2109" t="s">
        <v>735</v>
      </c>
      <c r="N77" s="2109" t="s">
        <v>736</v>
      </c>
      <c r="O77" s="2109" t="s">
        <v>737</v>
      </c>
      <c r="P77" s="2109" t="s">
        <v>18</v>
      </c>
      <c r="Q77" s="2109" t="s">
        <v>17</v>
      </c>
      <c r="R77" s="2109" t="s">
        <v>738</v>
      </c>
      <c r="S77" s="2109" t="s">
        <v>739</v>
      </c>
      <c r="T77" s="2109" t="s">
        <v>740</v>
      </c>
      <c r="U77" s="2109" t="s">
        <v>741</v>
      </c>
      <c r="V77" s="2109" t="s">
        <v>742</v>
      </c>
      <c r="W77" s="2112" t="s">
        <v>11</v>
      </c>
      <c r="X77" s="2109" t="s">
        <v>10</v>
      </c>
      <c r="Y77" s="2109" t="s">
        <v>9</v>
      </c>
      <c r="Z77" s="2109" t="s">
        <v>8</v>
      </c>
      <c r="AA77" s="2109" t="s">
        <v>7</v>
      </c>
      <c r="AB77" s="2109" t="s">
        <v>6</v>
      </c>
      <c r="AC77" s="2109" t="s">
        <v>5</v>
      </c>
      <c r="AD77" s="2109" t="s">
        <v>4</v>
      </c>
      <c r="AE77" s="2112" t="s">
        <v>3</v>
      </c>
      <c r="AF77" s="2096"/>
      <c r="AG77" s="2096"/>
      <c r="AH77" s="2096"/>
      <c r="AI77" s="2096"/>
      <c r="AJ77" s="2096"/>
      <c r="AK77" s="2100"/>
    </row>
    <row r="78" spans="1:37">
      <c r="A78" s="2096"/>
      <c r="B78" s="2167" t="s">
        <v>771</v>
      </c>
      <c r="C78" s="2098" t="s">
        <v>856</v>
      </c>
      <c r="D78" s="2098"/>
      <c r="E78" s="2098"/>
      <c r="F78" s="2098"/>
      <c r="G78" s="2168" t="s">
        <v>172</v>
      </c>
      <c r="H78" s="2192">
        <v>6366149</v>
      </c>
      <c r="I78" s="2193">
        <v>3670205</v>
      </c>
      <c r="J78" s="2194">
        <v>2695944</v>
      </c>
      <c r="K78" s="2193">
        <v>7253489</v>
      </c>
      <c r="L78" s="2098">
        <v>0.88</v>
      </c>
      <c r="M78" s="2193">
        <v>420550</v>
      </c>
      <c r="N78" s="2195">
        <v>5.8000000000000003E-2</v>
      </c>
      <c r="O78" s="2195">
        <v>5.7000000000000002E-2</v>
      </c>
      <c r="P78" s="2193">
        <v>23895</v>
      </c>
      <c r="Q78" s="2193">
        <v>17155</v>
      </c>
      <c r="R78" s="2196">
        <v>0.71799999999999997</v>
      </c>
      <c r="S78" s="2098">
        <v>266</v>
      </c>
      <c r="T78" s="2197">
        <v>371</v>
      </c>
      <c r="U78" s="2193">
        <v>37741000</v>
      </c>
      <c r="V78" s="2098">
        <v>5.9</v>
      </c>
      <c r="W78" s="2247">
        <v>2200</v>
      </c>
      <c r="X78" s="2193">
        <v>8652</v>
      </c>
      <c r="Y78" s="2193">
        <v>5767</v>
      </c>
      <c r="Z78" s="2195">
        <v>0.66700000000000004</v>
      </c>
      <c r="AA78" s="2098">
        <v>736</v>
      </c>
      <c r="AB78" s="2200">
        <v>1104</v>
      </c>
      <c r="AC78" s="2193">
        <v>16724300</v>
      </c>
      <c r="AD78" s="2098">
        <v>2.6</v>
      </c>
      <c r="AE78" s="2194">
        <v>2900</v>
      </c>
      <c r="AF78" s="2096"/>
      <c r="AG78" s="2096"/>
      <c r="AH78" s="2096"/>
      <c r="AI78" s="2096"/>
      <c r="AJ78" s="2096"/>
      <c r="AK78" s="2100"/>
    </row>
    <row r="79" spans="1:37">
      <c r="A79" s="2096"/>
      <c r="B79" s="2167" t="s">
        <v>771</v>
      </c>
      <c r="C79" s="2098" t="s">
        <v>862</v>
      </c>
      <c r="D79" s="2098"/>
      <c r="E79" s="2098"/>
      <c r="F79" s="2098"/>
      <c r="G79" s="2168" t="s">
        <v>172</v>
      </c>
      <c r="H79" s="2192">
        <v>7118394</v>
      </c>
      <c r="I79" s="2193">
        <v>2991567</v>
      </c>
      <c r="J79" s="2198">
        <v>4126827</v>
      </c>
      <c r="K79" s="2193">
        <v>11633270</v>
      </c>
      <c r="L79" s="2098">
        <v>0.61</v>
      </c>
      <c r="M79" s="2199">
        <v>529748</v>
      </c>
      <c r="N79" s="2195">
        <v>4.5999999999999999E-2</v>
      </c>
      <c r="O79" s="2195">
        <v>6.0999999999999999E-2</v>
      </c>
      <c r="P79" s="2193">
        <v>32054</v>
      </c>
      <c r="Q79" s="2193">
        <v>24018</v>
      </c>
      <c r="R79" s="2196">
        <v>0.749</v>
      </c>
      <c r="S79" s="2098">
        <v>222</v>
      </c>
      <c r="T79" s="2197">
        <v>296</v>
      </c>
      <c r="U79" s="2193">
        <v>52839600</v>
      </c>
      <c r="V79" s="2098">
        <v>7.4</v>
      </c>
      <c r="W79" s="2247"/>
      <c r="X79" s="2193">
        <v>20874</v>
      </c>
      <c r="Y79" s="2193">
        <v>15934</v>
      </c>
      <c r="Z79" s="2195">
        <v>0.76300000000000001</v>
      </c>
      <c r="AA79" s="2098">
        <v>341</v>
      </c>
      <c r="AB79" s="2197">
        <v>447</v>
      </c>
      <c r="AC79" s="2193">
        <v>33461400</v>
      </c>
      <c r="AD79" s="2098">
        <v>4.7</v>
      </c>
      <c r="AE79" s="2194">
        <v>2100</v>
      </c>
      <c r="AF79" s="2096"/>
      <c r="AG79" s="2096"/>
      <c r="AH79" s="2096"/>
      <c r="AI79" s="2096"/>
      <c r="AJ79" s="2096"/>
      <c r="AK79" s="2100"/>
    </row>
    <row r="80" spans="1:37" ht="14.5" thickBot="1">
      <c r="A80" s="2096"/>
      <c r="B80" s="2248" t="s">
        <v>0</v>
      </c>
      <c r="C80" s="2248"/>
      <c r="D80" s="2175"/>
      <c r="E80" s="2175"/>
      <c r="F80" s="2175"/>
      <c r="G80" s="2176"/>
      <c r="H80" s="2177">
        <v>13484543</v>
      </c>
      <c r="I80" s="2178">
        <v>6661772</v>
      </c>
      <c r="J80" s="2179">
        <v>6822771</v>
      </c>
      <c r="K80" s="2178">
        <v>18886759</v>
      </c>
      <c r="L80" s="2175">
        <v>0.71</v>
      </c>
      <c r="M80" s="2178">
        <v>950298</v>
      </c>
      <c r="N80" s="2180">
        <v>0.05</v>
      </c>
      <c r="O80" s="2180">
        <v>5.8999999999999997E-2</v>
      </c>
      <c r="P80" s="2178">
        <v>55949</v>
      </c>
      <c r="Q80" s="2178">
        <v>41173</v>
      </c>
      <c r="R80" s="2180">
        <v>0.73599999999999999</v>
      </c>
      <c r="S80" s="2175">
        <v>241</v>
      </c>
      <c r="T80" s="2175">
        <v>328</v>
      </c>
      <c r="U80" s="2178">
        <v>90580600</v>
      </c>
      <c r="V80" s="2175">
        <v>6.7</v>
      </c>
      <c r="W80" s="2179">
        <v>2200</v>
      </c>
      <c r="X80" s="2178">
        <v>29526</v>
      </c>
      <c r="Y80" s="2178">
        <v>21701</v>
      </c>
      <c r="Z80" s="2180">
        <v>0.73499999999999999</v>
      </c>
      <c r="AA80" s="2175">
        <v>457</v>
      </c>
      <c r="AB80" s="2175">
        <v>621</v>
      </c>
      <c r="AC80" s="2178">
        <v>50185700</v>
      </c>
      <c r="AD80" s="2175">
        <v>3.7</v>
      </c>
      <c r="AE80" s="2179">
        <v>2313</v>
      </c>
      <c r="AF80" s="2096"/>
      <c r="AG80" s="2096"/>
      <c r="AH80" s="2096"/>
      <c r="AI80" s="2096"/>
      <c r="AJ80" s="2096"/>
      <c r="AK80" s="2100"/>
    </row>
    <row r="81" spans="1:37">
      <c r="A81" s="2096"/>
      <c r="B81" s="2187"/>
      <c r="C81" s="2098"/>
      <c r="D81" s="2098"/>
      <c r="E81" s="2098"/>
      <c r="F81" s="2098"/>
      <c r="G81" s="2098"/>
      <c r="H81" s="2098"/>
      <c r="I81" s="2098"/>
      <c r="J81" s="2098"/>
      <c r="K81" s="2096"/>
      <c r="L81" s="2096"/>
      <c r="M81" s="2096"/>
      <c r="N81" s="2096"/>
      <c r="O81" s="2096"/>
      <c r="P81" s="2096"/>
      <c r="Q81" s="2096"/>
      <c r="R81" s="2096"/>
      <c r="S81" s="2096"/>
      <c r="T81" s="2096"/>
      <c r="U81" s="2096"/>
      <c r="V81" s="2096"/>
      <c r="W81" s="2096"/>
      <c r="X81" s="2096"/>
      <c r="Y81" s="2096"/>
      <c r="Z81" s="2096"/>
      <c r="AA81" s="2096"/>
      <c r="AB81" s="2096"/>
      <c r="AC81" s="2096"/>
      <c r="AD81" s="2096"/>
      <c r="AE81" s="2096"/>
      <c r="AF81" s="2096"/>
      <c r="AG81" s="2096"/>
      <c r="AH81" s="2096"/>
      <c r="AI81" s="2096"/>
      <c r="AJ81" s="2096"/>
      <c r="AK81" s="2100"/>
    </row>
    <row r="82" spans="1:37">
      <c r="A82" s="2096"/>
      <c r="B82" s="2187"/>
      <c r="C82" s="2098"/>
      <c r="D82" s="2098"/>
      <c r="E82" s="2098"/>
      <c r="F82" s="2098"/>
      <c r="G82" s="2098"/>
      <c r="H82" s="2098"/>
      <c r="I82" s="2098"/>
      <c r="J82" s="2098"/>
      <c r="K82" s="2096"/>
      <c r="L82" s="2096"/>
      <c r="M82" s="2096"/>
      <c r="N82" s="2096"/>
      <c r="O82" s="2096"/>
      <c r="P82" s="2096"/>
      <c r="Q82" s="2096"/>
      <c r="R82" s="2096"/>
      <c r="S82" s="2096"/>
      <c r="T82" s="2096"/>
      <c r="U82" s="2096"/>
      <c r="V82" s="2096"/>
      <c r="W82" s="2096"/>
      <c r="X82" s="2096"/>
      <c r="Y82" s="2096"/>
      <c r="Z82" s="2096"/>
      <c r="AA82" s="2096"/>
      <c r="AB82" s="2096"/>
      <c r="AC82" s="2096"/>
      <c r="AD82" s="2096"/>
      <c r="AE82" s="2096"/>
      <c r="AF82" s="2096"/>
      <c r="AG82" s="2096"/>
      <c r="AH82" s="2096"/>
      <c r="AI82" s="2096"/>
      <c r="AJ82" s="2096"/>
      <c r="AK82" s="2100"/>
    </row>
    <row r="83" spans="1:37" ht="14.5" thickBot="1">
      <c r="A83" s="2096"/>
      <c r="B83" s="2102" t="s">
        <v>176</v>
      </c>
      <c r="C83" s="2098"/>
      <c r="D83" s="2098"/>
      <c r="E83" s="2098"/>
      <c r="F83" s="2098"/>
      <c r="G83" s="2098"/>
      <c r="H83" s="2098"/>
      <c r="I83" s="2098"/>
      <c r="J83" s="2098"/>
      <c r="K83" s="2096"/>
      <c r="L83" s="2096"/>
      <c r="M83" s="2096"/>
      <c r="N83" s="2096"/>
      <c r="O83" s="2096"/>
      <c r="P83" s="2096"/>
      <c r="Q83" s="2096"/>
      <c r="R83" s="2096"/>
      <c r="S83" s="2096"/>
      <c r="T83" s="2096"/>
      <c r="U83" s="2096"/>
      <c r="V83" s="2096"/>
      <c r="W83" s="2096"/>
      <c r="X83" s="2096"/>
      <c r="Y83" s="2096"/>
      <c r="Z83" s="2096"/>
      <c r="AA83" s="2096"/>
      <c r="AB83" s="2096"/>
      <c r="AC83" s="2096"/>
      <c r="AD83" s="2096"/>
      <c r="AE83" s="2096"/>
      <c r="AF83" s="2096"/>
      <c r="AG83" s="2096"/>
      <c r="AH83" s="2096"/>
      <c r="AI83" s="2096"/>
      <c r="AJ83" s="2096"/>
      <c r="AK83" s="2100"/>
    </row>
    <row r="84" spans="1:37" ht="14.5" thickBot="1">
      <c r="A84" s="2190"/>
      <c r="B84" s="2249" t="s">
        <v>32</v>
      </c>
      <c r="C84" s="2250" t="s">
        <v>31</v>
      </c>
      <c r="D84" s="2105"/>
      <c r="E84" s="2105"/>
      <c r="F84" s="2105"/>
      <c r="G84" s="2251" t="s">
        <v>30</v>
      </c>
      <c r="H84" s="2254" t="s">
        <v>731</v>
      </c>
      <c r="I84" s="2254"/>
      <c r="J84" s="2254"/>
      <c r="K84" s="2251" t="s">
        <v>732</v>
      </c>
      <c r="L84" s="2251"/>
      <c r="M84" s="2251"/>
      <c r="N84" s="2251"/>
      <c r="O84" s="2251"/>
      <c r="P84" s="2251"/>
      <c r="Q84" s="2251"/>
      <c r="R84" s="2251"/>
      <c r="S84" s="2251"/>
      <c r="T84" s="2251"/>
      <c r="U84" s="2251"/>
      <c r="V84" s="2251"/>
      <c r="W84" s="2251"/>
      <c r="X84" s="2246" t="s">
        <v>27</v>
      </c>
      <c r="Y84" s="2246"/>
      <c r="Z84" s="2246"/>
      <c r="AA84" s="2246"/>
      <c r="AB84" s="2246"/>
      <c r="AC84" s="2246"/>
      <c r="AD84" s="2246"/>
      <c r="AE84" s="2246"/>
      <c r="AF84" s="2191" t="s">
        <v>244</v>
      </c>
      <c r="AG84" s="2191" t="s">
        <v>245</v>
      </c>
      <c r="AH84" s="2191" t="s">
        <v>246</v>
      </c>
      <c r="AI84" s="2191"/>
      <c r="AJ84" s="2191"/>
      <c r="AK84" s="2100"/>
    </row>
    <row r="85" spans="1:37" ht="70">
      <c r="A85" s="2096"/>
      <c r="B85" s="2249"/>
      <c r="C85" s="2250"/>
      <c r="D85" s="2152"/>
      <c r="E85" s="2152"/>
      <c r="F85" s="2152"/>
      <c r="G85" s="2251"/>
      <c r="H85" s="2109" t="s">
        <v>26</v>
      </c>
      <c r="I85" s="2109" t="s">
        <v>733</v>
      </c>
      <c r="J85" s="2112" t="s">
        <v>250</v>
      </c>
      <c r="K85" s="2109" t="s">
        <v>23</v>
      </c>
      <c r="L85" s="2109" t="s">
        <v>734</v>
      </c>
      <c r="M85" s="2109" t="s">
        <v>735</v>
      </c>
      <c r="N85" s="2109" t="s">
        <v>736</v>
      </c>
      <c r="O85" s="2109" t="s">
        <v>737</v>
      </c>
      <c r="P85" s="2109" t="s">
        <v>18</v>
      </c>
      <c r="Q85" s="2109" t="s">
        <v>17</v>
      </c>
      <c r="R85" s="2109" t="s">
        <v>738</v>
      </c>
      <c r="S85" s="2109" t="s">
        <v>739</v>
      </c>
      <c r="T85" s="2109" t="s">
        <v>740</v>
      </c>
      <c r="U85" s="2109" t="s">
        <v>741</v>
      </c>
      <c r="V85" s="2109" t="s">
        <v>742</v>
      </c>
      <c r="W85" s="2112" t="s">
        <v>11</v>
      </c>
      <c r="X85" s="2109" t="s">
        <v>10</v>
      </c>
      <c r="Y85" s="2109" t="s">
        <v>9</v>
      </c>
      <c r="Z85" s="2109" t="s">
        <v>8</v>
      </c>
      <c r="AA85" s="2109" t="s">
        <v>7</v>
      </c>
      <c r="AB85" s="2109" t="s">
        <v>6</v>
      </c>
      <c r="AC85" s="2109" t="s">
        <v>5</v>
      </c>
      <c r="AD85" s="2109" t="s">
        <v>4</v>
      </c>
      <c r="AE85" s="2112" t="s">
        <v>3</v>
      </c>
      <c r="AF85" s="2096"/>
      <c r="AG85" s="2096"/>
      <c r="AH85" s="2096"/>
      <c r="AI85" s="2096"/>
      <c r="AJ85" s="2096"/>
      <c r="AK85" s="2100"/>
    </row>
    <row r="86" spans="1:37">
      <c r="A86" s="2096"/>
      <c r="B86" s="2167" t="s">
        <v>772</v>
      </c>
      <c r="C86" s="2098" t="s">
        <v>856</v>
      </c>
      <c r="D86" s="2098"/>
      <c r="E86" s="2098"/>
      <c r="F86" s="2098"/>
      <c r="G86" s="2168" t="s">
        <v>172</v>
      </c>
      <c r="H86" s="2192">
        <v>5732676</v>
      </c>
      <c r="I86" s="2193">
        <v>3036732</v>
      </c>
      <c r="J86" s="2194">
        <v>2695944</v>
      </c>
      <c r="K86" s="2193">
        <v>4488209</v>
      </c>
      <c r="L86" s="2098">
        <v>1.28</v>
      </c>
      <c r="M86" s="2193">
        <v>203410</v>
      </c>
      <c r="N86" s="2195">
        <v>4.4999999999999998E-2</v>
      </c>
      <c r="O86" s="2195">
        <v>4.9000000000000002E-2</v>
      </c>
      <c r="P86" s="2193">
        <v>10004</v>
      </c>
      <c r="Q86" s="2193">
        <v>7056</v>
      </c>
      <c r="R86" s="2196">
        <v>0.70499999999999996</v>
      </c>
      <c r="S86" s="2098">
        <v>573</v>
      </c>
      <c r="T86" s="2197">
        <v>812</v>
      </c>
      <c r="U86" s="2193">
        <v>15523200</v>
      </c>
      <c r="V86" s="2098">
        <v>2.7</v>
      </c>
      <c r="W86" s="2247">
        <v>2200</v>
      </c>
      <c r="X86" s="2193">
        <v>3544</v>
      </c>
      <c r="Y86" s="2193">
        <v>2309</v>
      </c>
      <c r="Z86" s="2195">
        <v>0.65200000000000002</v>
      </c>
      <c r="AA86" s="2193">
        <v>1618</v>
      </c>
      <c r="AB86" s="2200">
        <v>2483</v>
      </c>
      <c r="AC86" s="2193">
        <v>6696100</v>
      </c>
      <c r="AD86" s="2098">
        <v>1.2</v>
      </c>
      <c r="AE86" s="2194">
        <v>2900</v>
      </c>
      <c r="AF86" s="2096"/>
      <c r="AG86" s="2096"/>
      <c r="AH86" s="2096"/>
      <c r="AI86" s="2096"/>
      <c r="AJ86" s="2096"/>
      <c r="AK86" s="2100"/>
    </row>
    <row r="87" spans="1:37">
      <c r="A87" s="2096"/>
      <c r="B87" s="2167" t="s">
        <v>772</v>
      </c>
      <c r="C87" s="2098" t="s">
        <v>862</v>
      </c>
      <c r="D87" s="2098"/>
      <c r="E87" s="2098"/>
      <c r="F87" s="2098"/>
      <c r="G87" s="2168" t="s">
        <v>172</v>
      </c>
      <c r="H87" s="2192">
        <v>6588982</v>
      </c>
      <c r="I87" s="2193">
        <v>2462155</v>
      </c>
      <c r="J87" s="2198">
        <v>4126827</v>
      </c>
      <c r="K87" s="2193">
        <v>7639036</v>
      </c>
      <c r="L87" s="2098">
        <v>0.86</v>
      </c>
      <c r="M87" s="2199">
        <v>275638</v>
      </c>
      <c r="N87" s="2195">
        <v>3.5999999999999997E-2</v>
      </c>
      <c r="O87" s="2195">
        <v>5.6000000000000001E-2</v>
      </c>
      <c r="P87" s="2193">
        <v>15384</v>
      </c>
      <c r="Q87" s="2193">
        <v>11382</v>
      </c>
      <c r="R87" s="2196">
        <v>0.74</v>
      </c>
      <c r="S87" s="2098">
        <v>428</v>
      </c>
      <c r="T87" s="2197">
        <v>579</v>
      </c>
      <c r="U87" s="2193">
        <v>25040400</v>
      </c>
      <c r="V87" s="2098">
        <v>3.8</v>
      </c>
      <c r="W87" s="2247"/>
      <c r="X87" s="2193">
        <v>9463</v>
      </c>
      <c r="Y87" s="2193">
        <v>7164</v>
      </c>
      <c r="Z87" s="2195">
        <v>0.75700000000000001</v>
      </c>
      <c r="AA87" s="2098">
        <v>696</v>
      </c>
      <c r="AB87" s="2197">
        <v>920</v>
      </c>
      <c r="AC87" s="2193">
        <v>15044400</v>
      </c>
      <c r="AD87" s="2098">
        <v>2.2999999999999998</v>
      </c>
      <c r="AE87" s="2194">
        <v>2100</v>
      </c>
      <c r="AF87" s="2096"/>
      <c r="AG87" s="2096"/>
      <c r="AH87" s="2096"/>
      <c r="AI87" s="2096"/>
      <c r="AJ87" s="2096"/>
      <c r="AK87" s="2100"/>
    </row>
    <row r="88" spans="1:37" ht="14.5" thickBot="1">
      <c r="A88" s="2096"/>
      <c r="B88" s="2248" t="s">
        <v>0</v>
      </c>
      <c r="C88" s="2248"/>
      <c r="D88" s="2175"/>
      <c r="E88" s="2175"/>
      <c r="F88" s="2175"/>
      <c r="G88" s="2176"/>
      <c r="H88" s="2177">
        <v>12321659</v>
      </c>
      <c r="I88" s="2178">
        <v>5498887</v>
      </c>
      <c r="J88" s="2179">
        <v>6822771</v>
      </c>
      <c r="K88" s="2178">
        <v>12127245</v>
      </c>
      <c r="L88" s="2175">
        <v>1.02</v>
      </c>
      <c r="M88" s="2178">
        <v>479048</v>
      </c>
      <c r="N88" s="2180">
        <v>0.04</v>
      </c>
      <c r="O88" s="2180">
        <v>5.2999999999999999E-2</v>
      </c>
      <c r="P88" s="2178">
        <v>25388</v>
      </c>
      <c r="Q88" s="2178">
        <v>18438</v>
      </c>
      <c r="R88" s="2180">
        <v>0.72599999999999998</v>
      </c>
      <c r="S88" s="2175">
        <v>485</v>
      </c>
      <c r="T88" s="2175">
        <v>668</v>
      </c>
      <c r="U88" s="2178">
        <v>40563600</v>
      </c>
      <c r="V88" s="2175">
        <v>3.3</v>
      </c>
      <c r="W88" s="2179">
        <v>2200</v>
      </c>
      <c r="X88" s="2178">
        <v>13007</v>
      </c>
      <c r="Y88" s="2178">
        <v>9473</v>
      </c>
      <c r="Z88" s="2180">
        <v>0.72799999999999998</v>
      </c>
      <c r="AA88" s="2175">
        <v>947</v>
      </c>
      <c r="AB88" s="2178">
        <v>1301</v>
      </c>
      <c r="AC88" s="2178">
        <v>21740500</v>
      </c>
      <c r="AD88" s="2175">
        <v>1.8</v>
      </c>
      <c r="AE88" s="2179">
        <v>2295</v>
      </c>
      <c r="AF88" s="2096"/>
      <c r="AG88" s="2096"/>
      <c r="AH88" s="2096"/>
      <c r="AI88" s="2096"/>
      <c r="AJ88" s="2096"/>
      <c r="AK88" s="2100"/>
    </row>
    <row r="89" spans="1:37">
      <c r="A89" s="2096"/>
      <c r="B89" s="2096"/>
      <c r="C89" s="2098"/>
      <c r="D89" s="2098"/>
      <c r="E89" s="2098"/>
      <c r="F89" s="2098"/>
      <c r="G89" s="2098"/>
      <c r="H89" s="2098"/>
      <c r="I89" s="2098"/>
      <c r="J89" s="2098"/>
      <c r="K89" s="2096"/>
      <c r="L89" s="2096"/>
      <c r="M89" s="2096"/>
      <c r="N89" s="2096"/>
      <c r="O89" s="2096"/>
      <c r="P89" s="2098"/>
      <c r="Q89" s="2098"/>
      <c r="R89" s="2098"/>
      <c r="S89" s="2098"/>
      <c r="T89" s="2098"/>
      <c r="U89" s="2096"/>
      <c r="V89" s="2096"/>
      <c r="W89" s="2096"/>
      <c r="X89" s="2098"/>
      <c r="Y89" s="2098"/>
      <c r="Z89" s="2098"/>
      <c r="AA89" s="2098"/>
      <c r="AB89" s="2098"/>
      <c r="AC89" s="2096"/>
      <c r="AD89" s="2096"/>
      <c r="AE89" s="2096"/>
      <c r="AF89" s="2096"/>
      <c r="AG89" s="2096"/>
      <c r="AH89" s="2096"/>
      <c r="AI89" s="2096"/>
      <c r="AJ89" s="2096"/>
      <c r="AK89" s="2100"/>
    </row>
    <row r="90" spans="1:37">
      <c r="A90" s="2096"/>
      <c r="B90" s="2096"/>
      <c r="C90" s="2098"/>
      <c r="D90" s="2098"/>
      <c r="E90" s="2098"/>
      <c r="F90" s="2098"/>
      <c r="G90" s="2098"/>
      <c r="H90" s="2098"/>
      <c r="I90" s="2098"/>
      <c r="J90" s="2098"/>
      <c r="K90" s="2096"/>
      <c r="L90" s="2096"/>
      <c r="M90" s="2096"/>
      <c r="N90" s="2096"/>
      <c r="O90" s="2096"/>
      <c r="P90" s="2098"/>
      <c r="Q90" s="2098"/>
      <c r="R90" s="2098"/>
      <c r="S90" s="2098"/>
      <c r="T90" s="2098"/>
      <c r="U90" s="2096"/>
      <c r="V90" s="2096"/>
      <c r="W90" s="2096"/>
      <c r="X90" s="2098"/>
      <c r="Y90" s="2098"/>
      <c r="Z90" s="2098"/>
      <c r="AA90" s="2098"/>
      <c r="AB90" s="2098"/>
      <c r="AC90" s="2096"/>
      <c r="AD90" s="2096"/>
      <c r="AE90" s="2096"/>
      <c r="AF90" s="2096"/>
      <c r="AG90" s="2096"/>
      <c r="AH90" s="2096"/>
      <c r="AI90" s="2096"/>
      <c r="AJ90" s="2096"/>
      <c r="AK90" s="2100"/>
    </row>
    <row r="91" spans="1:37" ht="14.5" thickBot="1">
      <c r="A91" s="2096"/>
      <c r="B91" s="2102" t="s">
        <v>384</v>
      </c>
      <c r="C91" s="2098"/>
      <c r="D91" s="2098"/>
      <c r="E91" s="2098"/>
      <c r="F91" s="2098"/>
      <c r="G91" s="2098"/>
      <c r="H91" s="2098"/>
      <c r="I91" s="2098"/>
      <c r="J91" s="2098"/>
      <c r="K91" s="2096"/>
      <c r="L91" s="2096"/>
      <c r="M91" s="2096"/>
      <c r="N91" s="2096"/>
      <c r="O91" s="2096"/>
      <c r="P91" s="2096"/>
      <c r="Q91" s="2096"/>
      <c r="R91" s="2096"/>
      <c r="S91" s="2096"/>
      <c r="T91" s="2096"/>
      <c r="U91" s="2096"/>
      <c r="V91" s="2096"/>
      <c r="W91" s="2096"/>
      <c r="X91" s="2096"/>
      <c r="Y91" s="2096"/>
      <c r="Z91" s="2096"/>
      <c r="AA91" s="2096"/>
      <c r="AB91" s="2096"/>
      <c r="AC91" s="2096"/>
      <c r="AD91" s="2096"/>
      <c r="AE91" s="2096"/>
      <c r="AF91" s="2096"/>
      <c r="AG91" s="2096"/>
      <c r="AH91" s="2096"/>
      <c r="AI91" s="2096"/>
      <c r="AJ91" s="2096"/>
      <c r="AK91" s="2100"/>
    </row>
    <row r="92" spans="1:37" ht="14.5" thickBot="1">
      <c r="A92" s="2190"/>
      <c r="B92" s="2249" t="s">
        <v>32</v>
      </c>
      <c r="C92" s="2250" t="s">
        <v>31</v>
      </c>
      <c r="D92" s="2105"/>
      <c r="E92" s="2105"/>
      <c r="F92" s="2105"/>
      <c r="G92" s="2251" t="s">
        <v>30</v>
      </c>
      <c r="H92" s="2252" t="s">
        <v>731</v>
      </c>
      <c r="I92" s="2252"/>
      <c r="J92" s="2252"/>
      <c r="K92" s="2253" t="s">
        <v>732</v>
      </c>
      <c r="L92" s="2253"/>
      <c r="M92" s="2253"/>
      <c r="N92" s="2253"/>
      <c r="O92" s="2253"/>
      <c r="P92" s="2253"/>
      <c r="Q92" s="2253"/>
      <c r="R92" s="2253"/>
      <c r="S92" s="2253"/>
      <c r="T92" s="2253"/>
      <c r="U92" s="2253"/>
      <c r="V92" s="2253"/>
      <c r="W92" s="2253"/>
      <c r="X92" s="2246" t="s">
        <v>27</v>
      </c>
      <c r="Y92" s="2246"/>
      <c r="Z92" s="2246"/>
      <c r="AA92" s="2246"/>
      <c r="AB92" s="2246"/>
      <c r="AC92" s="2246"/>
      <c r="AD92" s="2246"/>
      <c r="AE92" s="2246"/>
      <c r="AF92" s="2191" t="s">
        <v>244</v>
      </c>
      <c r="AG92" s="2191" t="s">
        <v>245</v>
      </c>
      <c r="AH92" s="2191" t="s">
        <v>246</v>
      </c>
      <c r="AI92" s="2191"/>
      <c r="AJ92" s="2191"/>
      <c r="AK92" s="2100"/>
    </row>
    <row r="93" spans="1:37" ht="70">
      <c r="A93" s="2096"/>
      <c r="B93" s="2249"/>
      <c r="C93" s="2250"/>
      <c r="D93" s="2152"/>
      <c r="E93" s="2152"/>
      <c r="F93" s="2152"/>
      <c r="G93" s="2251"/>
      <c r="H93" s="2201" t="s">
        <v>26</v>
      </c>
      <c r="I93" s="2201" t="s">
        <v>733</v>
      </c>
      <c r="J93" s="2201" t="s">
        <v>250</v>
      </c>
      <c r="K93" s="2202" t="s">
        <v>23</v>
      </c>
      <c r="L93" s="2201" t="s">
        <v>734</v>
      </c>
      <c r="M93" s="2201" t="s">
        <v>735</v>
      </c>
      <c r="N93" s="2201" t="s">
        <v>736</v>
      </c>
      <c r="O93" s="2201" t="s">
        <v>737</v>
      </c>
      <c r="P93" s="2201" t="s">
        <v>18</v>
      </c>
      <c r="Q93" s="2201" t="s">
        <v>17</v>
      </c>
      <c r="R93" s="2201" t="s">
        <v>738</v>
      </c>
      <c r="S93" s="2201" t="s">
        <v>739</v>
      </c>
      <c r="T93" s="2201" t="s">
        <v>740</v>
      </c>
      <c r="U93" s="2201" t="s">
        <v>741</v>
      </c>
      <c r="V93" s="2201" t="s">
        <v>742</v>
      </c>
      <c r="W93" s="2203" t="s">
        <v>11</v>
      </c>
      <c r="X93" s="2152" t="s">
        <v>10</v>
      </c>
      <c r="Y93" s="2201" t="s">
        <v>9</v>
      </c>
      <c r="Z93" s="2152" t="s">
        <v>8</v>
      </c>
      <c r="AA93" s="2152" t="s">
        <v>7</v>
      </c>
      <c r="AB93" s="2152" t="s">
        <v>6</v>
      </c>
      <c r="AC93" s="2152" t="s">
        <v>5</v>
      </c>
      <c r="AD93" s="2152" t="s">
        <v>4</v>
      </c>
      <c r="AE93" s="2203" t="s">
        <v>3</v>
      </c>
      <c r="AF93" s="2096"/>
      <c r="AG93" s="2096"/>
      <c r="AH93" s="2096"/>
      <c r="AI93" s="2096"/>
      <c r="AJ93" s="2096"/>
      <c r="AK93" s="2100"/>
    </row>
    <row r="94" spans="1:37">
      <c r="A94" s="2096"/>
      <c r="B94" s="2167" t="s">
        <v>773</v>
      </c>
      <c r="C94" s="2204" t="s">
        <v>856</v>
      </c>
      <c r="D94" s="2098"/>
      <c r="E94" s="2098"/>
      <c r="F94" s="2098"/>
      <c r="G94" s="2168" t="s">
        <v>172</v>
      </c>
      <c r="H94" s="2192">
        <v>3900413</v>
      </c>
      <c r="I94" s="2193">
        <v>1204469</v>
      </c>
      <c r="J94" s="2194">
        <v>2695944</v>
      </c>
      <c r="K94" s="2193">
        <v>3742320</v>
      </c>
      <c r="L94" s="2098">
        <v>1.04</v>
      </c>
      <c r="M94" s="2200">
        <v>59929</v>
      </c>
      <c r="N94" s="2195">
        <v>1.6E-2</v>
      </c>
      <c r="O94" s="2205" t="s">
        <v>774</v>
      </c>
      <c r="P94" s="2197"/>
      <c r="Q94" s="2197"/>
      <c r="R94" s="2197"/>
      <c r="S94" s="2098"/>
      <c r="T94" s="2197"/>
      <c r="U94" s="2098"/>
      <c r="V94" s="2098"/>
      <c r="W94" s="2245"/>
      <c r="X94" s="2197"/>
      <c r="Y94" s="2197"/>
      <c r="Z94" s="2098"/>
      <c r="AA94" s="2098"/>
      <c r="AB94" s="2197"/>
      <c r="AC94" s="2098"/>
      <c r="AD94" s="2098"/>
      <c r="AE94" s="2168"/>
      <c r="AF94" s="2096"/>
      <c r="AG94" s="2096"/>
      <c r="AH94" s="2096"/>
      <c r="AI94" s="2096"/>
      <c r="AJ94" s="2096"/>
      <c r="AK94" s="2100"/>
    </row>
    <row r="95" spans="1:37">
      <c r="A95" s="2096"/>
      <c r="B95" s="2167" t="s">
        <v>773</v>
      </c>
      <c r="C95" s="2204" t="s">
        <v>862</v>
      </c>
      <c r="D95" s="2098"/>
      <c r="E95" s="2098"/>
      <c r="F95" s="2098"/>
      <c r="G95" s="2168" t="s">
        <v>172</v>
      </c>
      <c r="H95" s="2192">
        <v>5186124</v>
      </c>
      <c r="I95" s="2193">
        <v>1059297</v>
      </c>
      <c r="J95" s="2198">
        <v>4126827</v>
      </c>
      <c r="K95" s="2193">
        <v>5248927</v>
      </c>
      <c r="L95" s="2098">
        <v>0.99</v>
      </c>
      <c r="M95" s="2206">
        <v>58605</v>
      </c>
      <c r="N95" s="2195">
        <v>1.0999999999999999E-2</v>
      </c>
      <c r="O95" s="2098"/>
      <c r="P95" s="2197"/>
      <c r="Q95" s="2197"/>
      <c r="R95" s="2197"/>
      <c r="S95" s="2098"/>
      <c r="T95" s="2197"/>
      <c r="U95" s="2098"/>
      <c r="V95" s="2098"/>
      <c r="W95" s="2245"/>
      <c r="X95" s="2197"/>
      <c r="Y95" s="2197"/>
      <c r="Z95" s="2098"/>
      <c r="AA95" s="2098"/>
      <c r="AB95" s="2197"/>
      <c r="AC95" s="2098"/>
      <c r="AD95" s="2098"/>
      <c r="AE95" s="2168"/>
      <c r="AF95" s="2096"/>
      <c r="AG95" s="2096"/>
      <c r="AH95" s="2096"/>
      <c r="AI95" s="2096"/>
      <c r="AJ95" s="2096"/>
      <c r="AK95" s="2100"/>
    </row>
    <row r="96" spans="1:37" ht="14.5" thickBot="1">
      <c r="A96" s="2096"/>
      <c r="B96" s="2207"/>
      <c r="C96" s="2175" t="s">
        <v>0</v>
      </c>
      <c r="D96" s="2175"/>
      <c r="E96" s="2175"/>
      <c r="F96" s="2175"/>
      <c r="G96" s="2176"/>
      <c r="H96" s="2177">
        <v>9086537</v>
      </c>
      <c r="I96" s="2178">
        <v>2263766</v>
      </c>
      <c r="J96" s="2179">
        <v>6822771</v>
      </c>
      <c r="K96" s="2178">
        <v>8991247</v>
      </c>
      <c r="L96" s="2175">
        <v>1.01</v>
      </c>
      <c r="M96" s="2178">
        <v>118534</v>
      </c>
      <c r="N96" s="2180">
        <v>1.2999999999999999E-2</v>
      </c>
      <c r="O96" s="2175"/>
      <c r="P96" s="2175"/>
      <c r="Q96" s="2175"/>
      <c r="R96" s="2175"/>
      <c r="S96" s="2175"/>
      <c r="T96" s="2175"/>
      <c r="U96" s="2175"/>
      <c r="V96" s="2175"/>
      <c r="W96" s="2176"/>
      <c r="X96" s="2175"/>
      <c r="Y96" s="2175"/>
      <c r="Z96" s="2175"/>
      <c r="AA96" s="2175"/>
      <c r="AB96" s="2175"/>
      <c r="AC96" s="2175"/>
      <c r="AD96" s="2175"/>
      <c r="AE96" s="2176"/>
      <c r="AF96" s="2096"/>
      <c r="AG96" s="2096"/>
      <c r="AH96" s="2096"/>
      <c r="AI96" s="2096"/>
      <c r="AJ96" s="2096"/>
      <c r="AK96" s="2100"/>
    </row>
    <row r="97" spans="1:37">
      <c r="A97" s="2208"/>
      <c r="B97" s="2208"/>
      <c r="C97" s="2208"/>
      <c r="D97" s="2208"/>
      <c r="E97" s="2208"/>
      <c r="F97" s="2208"/>
      <c r="G97" s="2208"/>
      <c r="H97" s="2208"/>
      <c r="I97" s="2208"/>
      <c r="J97" s="2208"/>
      <c r="K97" s="2208"/>
      <c r="L97" s="2208"/>
      <c r="M97" s="2208"/>
      <c r="N97" s="2208"/>
      <c r="O97" s="2208"/>
      <c r="P97" s="2208"/>
      <c r="Q97" s="2208"/>
      <c r="R97" s="2208"/>
      <c r="S97" s="2208"/>
      <c r="T97" s="2208"/>
      <c r="U97" s="2208"/>
      <c r="V97" s="2208"/>
      <c r="W97" s="2208"/>
      <c r="X97" s="2208"/>
      <c r="Y97" s="2208"/>
      <c r="Z97" s="2208"/>
      <c r="AA97" s="2208"/>
      <c r="AB97" s="2208"/>
      <c r="AC97" s="2208"/>
      <c r="AD97" s="2208"/>
      <c r="AE97" s="2208"/>
      <c r="AF97" s="2208"/>
      <c r="AG97" s="2208"/>
      <c r="AH97" s="2208"/>
      <c r="AI97" s="2208"/>
      <c r="AJ97" s="2208"/>
      <c r="AK97" s="2100"/>
    </row>
    <row r="98" spans="1:37">
      <c r="A98" s="2208"/>
      <c r="B98" s="2208"/>
      <c r="C98" s="2208"/>
      <c r="D98" s="2208"/>
      <c r="E98" s="2208"/>
      <c r="F98" s="2208"/>
      <c r="G98" s="2208"/>
      <c r="H98" s="2208"/>
      <c r="I98" s="2208"/>
      <c r="J98" s="2208"/>
      <c r="K98" s="2208"/>
      <c r="L98" s="2208"/>
      <c r="M98" s="2208"/>
      <c r="N98" s="2208"/>
      <c r="O98" s="2208"/>
      <c r="P98" s="2208"/>
      <c r="Q98" s="2208"/>
      <c r="R98" s="2208"/>
      <c r="S98" s="2208"/>
      <c r="T98" s="2208"/>
      <c r="U98" s="2208"/>
      <c r="V98" s="2208"/>
      <c r="W98" s="2208"/>
      <c r="X98" s="2208"/>
      <c r="Y98" s="2208"/>
      <c r="Z98" s="2208"/>
      <c r="AA98" s="2208"/>
      <c r="AB98" s="2208"/>
      <c r="AC98" s="2208"/>
      <c r="AD98" s="2208"/>
      <c r="AE98" s="2208"/>
      <c r="AF98" s="2208"/>
      <c r="AG98" s="2208"/>
      <c r="AH98" s="2208"/>
      <c r="AI98" s="2208"/>
      <c r="AJ98" s="2208"/>
      <c r="AK98" s="2100"/>
    </row>
    <row r="99" spans="1:37">
      <c r="A99" s="2208"/>
      <c r="B99" s="2208"/>
      <c r="C99" s="2208"/>
      <c r="D99" s="2208"/>
      <c r="E99" s="2208"/>
      <c r="F99" s="2208"/>
      <c r="G99" s="2208"/>
      <c r="H99" s="2208"/>
      <c r="I99" s="2208"/>
      <c r="J99" s="2208"/>
      <c r="K99" s="2208"/>
      <c r="L99" s="2208"/>
      <c r="M99" s="2208"/>
      <c r="N99" s="2208"/>
      <c r="O99" s="2208"/>
      <c r="P99" s="2208"/>
      <c r="Q99" s="2208"/>
      <c r="R99" s="2208"/>
      <c r="S99" s="2208"/>
      <c r="T99" s="2208"/>
      <c r="U99" s="2208"/>
      <c r="V99" s="2208"/>
      <c r="W99" s="2208"/>
      <c r="X99" s="2208"/>
      <c r="Y99" s="2208"/>
      <c r="Z99" s="2208"/>
      <c r="AA99" s="2208"/>
      <c r="AB99" s="2208"/>
      <c r="AC99" s="2208"/>
      <c r="AD99" s="2208"/>
      <c r="AE99" s="2208"/>
      <c r="AF99" s="2208"/>
      <c r="AG99" s="2208"/>
      <c r="AH99" s="2208"/>
      <c r="AI99" s="2208"/>
      <c r="AJ99" s="2208"/>
      <c r="AK99" s="2100"/>
    </row>
    <row r="100" spans="1:37">
      <c r="A100" s="2208"/>
      <c r="B100" s="2208"/>
      <c r="C100" s="2208"/>
      <c r="D100" s="2208"/>
      <c r="E100" s="2208"/>
      <c r="F100" s="2208"/>
      <c r="G100" s="2208"/>
      <c r="H100" s="2208"/>
      <c r="I100" s="2208"/>
      <c r="J100" s="2208"/>
      <c r="K100" s="2208"/>
      <c r="L100" s="2208"/>
      <c r="M100" s="2208"/>
      <c r="N100" s="2208"/>
      <c r="O100" s="2208"/>
      <c r="P100" s="2208"/>
      <c r="Q100" s="2208"/>
      <c r="R100" s="2208"/>
      <c r="S100" s="2208"/>
      <c r="T100" s="2208"/>
      <c r="U100" s="2208"/>
      <c r="V100" s="2208"/>
      <c r="W100" s="2208"/>
      <c r="X100" s="2208"/>
      <c r="Y100" s="2208"/>
      <c r="Z100" s="2208"/>
      <c r="AA100" s="2208"/>
      <c r="AB100" s="2208"/>
      <c r="AC100" s="2208"/>
      <c r="AD100" s="2208"/>
      <c r="AE100" s="2208"/>
      <c r="AF100" s="2208"/>
      <c r="AG100" s="2208"/>
      <c r="AH100" s="2208"/>
      <c r="AI100" s="2208"/>
      <c r="AJ100" s="2208"/>
      <c r="AK100" s="2100"/>
    </row>
    <row r="101" spans="1:37">
      <c r="A101" s="2208"/>
      <c r="B101" s="2208"/>
      <c r="C101" s="2208"/>
      <c r="D101" s="2208"/>
      <c r="E101" s="2208"/>
      <c r="F101" s="2208"/>
      <c r="G101" s="2208"/>
      <c r="H101" s="2208"/>
      <c r="I101" s="2208"/>
      <c r="J101" s="2208"/>
      <c r="K101" s="2208"/>
      <c r="L101" s="2208"/>
      <c r="M101" s="2208"/>
      <c r="N101" s="2208"/>
      <c r="O101" s="2208"/>
      <c r="P101" s="2208"/>
      <c r="Q101" s="2208"/>
      <c r="R101" s="2208"/>
      <c r="S101" s="2208"/>
      <c r="T101" s="2208"/>
      <c r="U101" s="2208"/>
      <c r="V101" s="2208"/>
      <c r="W101" s="2208"/>
      <c r="X101" s="2208"/>
      <c r="Y101" s="2208"/>
      <c r="Z101" s="2208"/>
      <c r="AA101" s="2208"/>
      <c r="AB101" s="2208"/>
      <c r="AC101" s="2208"/>
      <c r="AD101" s="2208"/>
      <c r="AE101" s="2208"/>
      <c r="AF101" s="2208"/>
      <c r="AG101" s="2208"/>
      <c r="AH101" s="2208"/>
      <c r="AI101" s="2208"/>
      <c r="AJ101" s="2208"/>
      <c r="AK101" s="2100"/>
    </row>
    <row r="102" spans="1:37">
      <c r="A102" s="2208"/>
      <c r="B102" s="2208"/>
      <c r="C102" s="2208"/>
      <c r="D102" s="2208"/>
      <c r="E102" s="2208"/>
      <c r="F102" s="2208"/>
      <c r="G102" s="2208"/>
      <c r="H102" s="2208"/>
      <c r="I102" s="2208"/>
      <c r="J102" s="2208"/>
      <c r="K102" s="2208"/>
      <c r="L102" s="2208"/>
      <c r="M102" s="2208"/>
      <c r="N102" s="2208"/>
      <c r="O102" s="2208"/>
      <c r="P102" s="2208"/>
      <c r="Q102" s="2208"/>
      <c r="R102" s="2208"/>
      <c r="S102" s="2208"/>
      <c r="T102" s="2208"/>
      <c r="U102" s="2208"/>
      <c r="V102" s="2208"/>
      <c r="W102" s="2208"/>
      <c r="X102" s="2208"/>
      <c r="Y102" s="2208"/>
      <c r="Z102" s="2208"/>
      <c r="AA102" s="2208"/>
      <c r="AB102" s="2208"/>
      <c r="AC102" s="2208"/>
      <c r="AD102" s="2208"/>
      <c r="AE102" s="2208"/>
      <c r="AF102" s="2208"/>
      <c r="AG102" s="2208"/>
      <c r="AH102" s="2208"/>
      <c r="AI102" s="2208"/>
      <c r="AJ102" s="2208"/>
      <c r="AK102" s="2100"/>
    </row>
    <row r="103" spans="1:37">
      <c r="A103" s="2208"/>
      <c r="B103" s="2208"/>
      <c r="C103" s="2208"/>
      <c r="D103" s="2208"/>
      <c r="E103" s="2208"/>
      <c r="F103" s="2208"/>
      <c r="G103" s="2208"/>
      <c r="H103" s="2208"/>
      <c r="I103" s="2208"/>
      <c r="J103" s="2208"/>
      <c r="K103" s="2208"/>
      <c r="L103" s="2208"/>
      <c r="M103" s="2208"/>
      <c r="N103" s="2208"/>
      <c r="O103" s="2208"/>
      <c r="P103" s="2208"/>
      <c r="Q103" s="2208"/>
      <c r="R103" s="2208"/>
      <c r="S103" s="2208"/>
      <c r="T103" s="2208"/>
      <c r="U103" s="2208"/>
      <c r="V103" s="2208"/>
      <c r="W103" s="2208"/>
      <c r="X103" s="2208"/>
      <c r="Y103" s="2208"/>
      <c r="Z103" s="2208"/>
      <c r="AA103" s="2208"/>
      <c r="AB103" s="2208"/>
      <c r="AC103" s="2208"/>
      <c r="AD103" s="2208"/>
      <c r="AE103" s="2208"/>
      <c r="AF103" s="2208"/>
      <c r="AG103" s="2208"/>
      <c r="AH103" s="2208"/>
      <c r="AI103" s="2208"/>
      <c r="AJ103" s="2208"/>
      <c r="AK103" s="2100"/>
    </row>
    <row r="104" spans="1:37">
      <c r="A104" s="2208"/>
      <c r="B104" s="2208"/>
      <c r="C104" s="2208"/>
      <c r="D104" s="2208"/>
      <c r="E104" s="2208"/>
      <c r="F104" s="2208"/>
      <c r="G104" s="2208"/>
      <c r="H104" s="2208"/>
      <c r="I104" s="2208"/>
      <c r="J104" s="2208"/>
      <c r="K104" s="2208"/>
      <c r="L104" s="2208"/>
      <c r="M104" s="2208"/>
      <c r="N104" s="2208"/>
      <c r="O104" s="2208"/>
      <c r="P104" s="2208"/>
      <c r="Q104" s="2208"/>
      <c r="R104" s="2208"/>
      <c r="S104" s="2208"/>
      <c r="T104" s="2208"/>
      <c r="U104" s="2208"/>
      <c r="V104" s="2208"/>
      <c r="W104" s="2208"/>
      <c r="X104" s="2208"/>
      <c r="Y104" s="2208"/>
      <c r="Z104" s="2208"/>
      <c r="AA104" s="2208"/>
      <c r="AB104" s="2208"/>
      <c r="AC104" s="2208"/>
      <c r="AD104" s="2208"/>
      <c r="AE104" s="2208"/>
      <c r="AF104" s="2208"/>
      <c r="AG104" s="2208"/>
      <c r="AH104" s="2208"/>
      <c r="AI104" s="2208"/>
      <c r="AJ104" s="2208"/>
      <c r="AK104" s="2100"/>
    </row>
    <row r="105" spans="1:37">
      <c r="A105" s="2208"/>
      <c r="B105" s="2208"/>
      <c r="C105" s="2208"/>
      <c r="D105" s="2208"/>
      <c r="E105" s="2208"/>
      <c r="F105" s="2208"/>
      <c r="G105" s="2208"/>
      <c r="H105" s="2208"/>
      <c r="I105" s="2208"/>
      <c r="J105" s="2208"/>
      <c r="K105" s="2208"/>
      <c r="L105" s="2208"/>
      <c r="M105" s="2208"/>
      <c r="N105" s="2208"/>
      <c r="O105" s="2208"/>
      <c r="P105" s="2208"/>
      <c r="Q105" s="2208"/>
      <c r="R105" s="2208"/>
      <c r="S105" s="2208"/>
      <c r="T105" s="2208"/>
      <c r="U105" s="2208"/>
      <c r="V105" s="2208"/>
      <c r="W105" s="2208"/>
      <c r="X105" s="2208"/>
      <c r="Y105" s="2208"/>
      <c r="Z105" s="2208"/>
      <c r="AA105" s="2208"/>
      <c r="AB105" s="2208"/>
      <c r="AC105" s="2208"/>
      <c r="AD105" s="2208"/>
      <c r="AE105" s="2208"/>
      <c r="AF105" s="2208"/>
      <c r="AG105" s="2208"/>
      <c r="AH105" s="2208"/>
      <c r="AI105" s="2208"/>
      <c r="AJ105" s="2208"/>
      <c r="AK105" s="2100"/>
    </row>
    <row r="106" spans="1:37">
      <c r="A106" s="2208"/>
      <c r="B106" s="2208"/>
      <c r="C106" s="2208"/>
      <c r="D106" s="2208"/>
      <c r="E106" s="2208"/>
      <c r="F106" s="2208"/>
      <c r="G106" s="2208"/>
      <c r="H106" s="2208"/>
      <c r="I106" s="2208"/>
      <c r="J106" s="2208"/>
      <c r="K106" s="2208"/>
      <c r="L106" s="2208"/>
      <c r="M106" s="2208"/>
      <c r="N106" s="2208"/>
      <c r="O106" s="2208"/>
      <c r="P106" s="2208"/>
      <c r="Q106" s="2208"/>
      <c r="R106" s="2208"/>
      <c r="S106" s="2208"/>
      <c r="T106" s="2208"/>
      <c r="U106" s="2208"/>
      <c r="V106" s="2208"/>
      <c r="W106" s="2208"/>
      <c r="X106" s="2208"/>
      <c r="Y106" s="2208"/>
      <c r="Z106" s="2208"/>
      <c r="AA106" s="2208"/>
      <c r="AB106" s="2208"/>
      <c r="AC106" s="2208"/>
      <c r="AD106" s="2208"/>
      <c r="AE106" s="2208"/>
      <c r="AF106" s="2208"/>
      <c r="AG106" s="2208"/>
      <c r="AH106" s="2208"/>
      <c r="AI106" s="2208"/>
      <c r="AJ106" s="2208"/>
      <c r="AK106" s="2100"/>
    </row>
    <row r="107" spans="1:37">
      <c r="A107" s="2208"/>
      <c r="B107" s="2208"/>
      <c r="C107" s="2208"/>
      <c r="D107" s="2208"/>
      <c r="E107" s="2208"/>
      <c r="F107" s="2208"/>
      <c r="G107" s="2208"/>
      <c r="H107" s="2208"/>
      <c r="I107" s="2208"/>
      <c r="J107" s="2208"/>
      <c r="K107" s="2208"/>
      <c r="L107" s="2208"/>
      <c r="M107" s="2208"/>
      <c r="N107" s="2208"/>
      <c r="O107" s="2208"/>
      <c r="P107" s="2208"/>
      <c r="Q107" s="2208"/>
      <c r="R107" s="2208"/>
      <c r="S107" s="2208"/>
      <c r="T107" s="2208"/>
      <c r="U107" s="2208"/>
      <c r="V107" s="2208"/>
      <c r="W107" s="2208"/>
      <c r="X107" s="2208"/>
      <c r="Y107" s="2208"/>
      <c r="Z107" s="2208"/>
      <c r="AA107" s="2208"/>
      <c r="AB107" s="2208"/>
      <c r="AC107" s="2208"/>
      <c r="AD107" s="2208"/>
      <c r="AE107" s="2208"/>
      <c r="AF107" s="2208"/>
      <c r="AG107" s="2208"/>
      <c r="AH107" s="2208"/>
      <c r="AI107" s="2208"/>
      <c r="AJ107" s="2208"/>
      <c r="AK107" s="2100"/>
    </row>
    <row r="108" spans="1:37">
      <c r="A108" s="2208"/>
      <c r="B108" s="2208"/>
      <c r="C108" s="2208"/>
      <c r="D108" s="2208"/>
      <c r="E108" s="2208"/>
      <c r="F108" s="2208"/>
      <c r="G108" s="2208"/>
      <c r="H108" s="2208"/>
      <c r="I108" s="2208"/>
      <c r="J108" s="2208"/>
      <c r="K108" s="2208"/>
      <c r="L108" s="2208"/>
      <c r="M108" s="2208"/>
      <c r="N108" s="2208"/>
      <c r="O108" s="2208"/>
      <c r="P108" s="2208"/>
      <c r="Q108" s="2208"/>
      <c r="R108" s="2208"/>
      <c r="S108" s="2208"/>
      <c r="T108" s="2208"/>
      <c r="U108" s="2208"/>
      <c r="V108" s="2208"/>
      <c r="W108" s="2208"/>
      <c r="X108" s="2208"/>
      <c r="Y108" s="2208"/>
      <c r="Z108" s="2208"/>
      <c r="AA108" s="2208"/>
      <c r="AB108" s="2208"/>
      <c r="AC108" s="2208"/>
      <c r="AD108" s="2208"/>
      <c r="AE108" s="2208"/>
      <c r="AF108" s="2208"/>
      <c r="AG108" s="2208"/>
      <c r="AH108" s="2208"/>
      <c r="AI108" s="2208"/>
      <c r="AJ108" s="2208"/>
      <c r="AK108" s="2100"/>
    </row>
    <row r="109" spans="1:37">
      <c r="A109" s="2208"/>
      <c r="B109" s="2208"/>
      <c r="C109" s="2208"/>
      <c r="D109" s="2208"/>
      <c r="E109" s="2208"/>
      <c r="F109" s="2208"/>
      <c r="G109" s="2208"/>
      <c r="H109" s="2208"/>
      <c r="I109" s="2208"/>
      <c r="J109" s="2208"/>
      <c r="K109" s="2208"/>
      <c r="L109" s="2208"/>
      <c r="M109" s="2208"/>
      <c r="N109" s="2208"/>
      <c r="O109" s="2208"/>
      <c r="P109" s="2208"/>
      <c r="Q109" s="2208"/>
      <c r="R109" s="2208"/>
      <c r="S109" s="2208"/>
      <c r="T109" s="2208"/>
      <c r="U109" s="2208"/>
      <c r="V109" s="2208"/>
      <c r="W109" s="2208"/>
      <c r="X109" s="2208"/>
      <c r="Y109" s="2208"/>
      <c r="Z109" s="2208"/>
      <c r="AA109" s="2208"/>
      <c r="AB109" s="2208"/>
      <c r="AC109" s="2208"/>
      <c r="AD109" s="2208"/>
      <c r="AE109" s="2208"/>
      <c r="AF109" s="2208"/>
      <c r="AG109" s="2208"/>
      <c r="AH109" s="2208"/>
      <c r="AI109" s="2208"/>
      <c r="AJ109" s="2208"/>
      <c r="AK109" s="2100"/>
    </row>
    <row r="110" spans="1:37">
      <c r="A110" s="2208"/>
      <c r="B110" s="2208"/>
      <c r="C110" s="2208"/>
      <c r="D110" s="2208"/>
      <c r="E110" s="2208"/>
      <c r="F110" s="2208"/>
      <c r="G110" s="2208"/>
      <c r="H110" s="2208"/>
      <c r="I110" s="2208"/>
      <c r="J110" s="2208"/>
      <c r="K110" s="2208"/>
      <c r="L110" s="2208"/>
      <c r="M110" s="2208"/>
      <c r="N110" s="2208"/>
      <c r="O110" s="2208"/>
      <c r="P110" s="2208"/>
      <c r="Q110" s="2208"/>
      <c r="R110" s="2208"/>
      <c r="S110" s="2208"/>
      <c r="T110" s="2208"/>
      <c r="U110" s="2208"/>
      <c r="V110" s="2208"/>
      <c r="W110" s="2208"/>
      <c r="X110" s="2208"/>
      <c r="Y110" s="2208"/>
      <c r="Z110" s="2208"/>
      <c r="AA110" s="2208"/>
      <c r="AB110" s="2208"/>
      <c r="AC110" s="2208"/>
      <c r="AD110" s="2208"/>
      <c r="AE110" s="2208"/>
      <c r="AF110" s="2208"/>
      <c r="AG110" s="2208"/>
      <c r="AH110" s="2208"/>
      <c r="AI110" s="2208"/>
      <c r="AJ110" s="2208"/>
      <c r="AK110" s="2100"/>
    </row>
    <row r="111" spans="1:37">
      <c r="A111" s="2208"/>
      <c r="B111" s="2208"/>
      <c r="C111" s="2208"/>
      <c r="D111" s="2208"/>
      <c r="E111" s="2208"/>
      <c r="F111" s="2208"/>
      <c r="G111" s="2208"/>
      <c r="H111" s="2208"/>
      <c r="I111" s="2208"/>
      <c r="J111" s="2208"/>
      <c r="K111" s="2208"/>
      <c r="L111" s="2208"/>
      <c r="M111" s="2208"/>
      <c r="N111" s="2208"/>
      <c r="O111" s="2208"/>
      <c r="P111" s="2208"/>
      <c r="Q111" s="2208"/>
      <c r="R111" s="2208"/>
      <c r="S111" s="2208"/>
      <c r="T111" s="2208"/>
      <c r="U111" s="2208"/>
      <c r="V111" s="2208"/>
      <c r="W111" s="2208"/>
      <c r="X111" s="2208"/>
      <c r="Y111" s="2208"/>
      <c r="Z111" s="2208"/>
      <c r="AA111" s="2208"/>
      <c r="AB111" s="2208"/>
      <c r="AC111" s="2208"/>
      <c r="AD111" s="2208"/>
      <c r="AE111" s="2208"/>
      <c r="AF111" s="2208"/>
      <c r="AG111" s="2208"/>
      <c r="AH111" s="2208"/>
      <c r="AI111" s="2208"/>
      <c r="AJ111" s="2208"/>
      <c r="AK111" s="2100"/>
    </row>
    <row r="112" spans="1:37">
      <c r="A112" s="2208"/>
      <c r="B112" s="2208"/>
      <c r="C112" s="2208"/>
      <c r="D112" s="2208"/>
      <c r="E112" s="2208"/>
      <c r="F112" s="2208"/>
      <c r="G112" s="2208"/>
      <c r="H112" s="2208"/>
      <c r="I112" s="2208"/>
      <c r="J112" s="2208"/>
      <c r="K112" s="2208"/>
      <c r="L112" s="2208"/>
      <c r="M112" s="2208"/>
      <c r="N112" s="2208"/>
      <c r="O112" s="2208"/>
      <c r="P112" s="2208"/>
      <c r="Q112" s="2208"/>
      <c r="R112" s="2208"/>
      <c r="S112" s="2208"/>
      <c r="T112" s="2208"/>
      <c r="U112" s="2208"/>
      <c r="V112" s="2208"/>
      <c r="W112" s="2208"/>
      <c r="X112" s="2208"/>
      <c r="Y112" s="2208"/>
      <c r="Z112" s="2208"/>
      <c r="AA112" s="2208"/>
      <c r="AB112" s="2208"/>
      <c r="AC112" s="2208"/>
      <c r="AD112" s="2208"/>
      <c r="AE112" s="2208"/>
      <c r="AF112" s="2208"/>
      <c r="AG112" s="2208"/>
      <c r="AH112" s="2208"/>
      <c r="AI112" s="2208"/>
      <c r="AJ112" s="2208"/>
      <c r="AK112" s="2100"/>
    </row>
    <row r="113" spans="1:37">
      <c r="A113" s="2208"/>
      <c r="B113" s="2208"/>
      <c r="C113" s="2208"/>
      <c r="D113" s="2208"/>
      <c r="E113" s="2208"/>
      <c r="F113" s="2208"/>
      <c r="G113" s="2208"/>
      <c r="H113" s="2208"/>
      <c r="I113" s="2208"/>
      <c r="J113" s="2208"/>
      <c r="K113" s="2208"/>
      <c r="L113" s="2208"/>
      <c r="M113" s="2208"/>
      <c r="N113" s="2208"/>
      <c r="O113" s="2208"/>
      <c r="P113" s="2208"/>
      <c r="Q113" s="2208"/>
      <c r="R113" s="2208"/>
      <c r="S113" s="2208"/>
      <c r="T113" s="2208"/>
      <c r="U113" s="2208"/>
      <c r="V113" s="2208"/>
      <c r="W113" s="2208"/>
      <c r="X113" s="2208"/>
      <c r="Y113" s="2208"/>
      <c r="Z113" s="2208"/>
      <c r="AA113" s="2208"/>
      <c r="AB113" s="2208"/>
      <c r="AC113" s="2208"/>
      <c r="AD113" s="2208"/>
      <c r="AE113" s="2208"/>
      <c r="AF113" s="2208"/>
      <c r="AG113" s="2208"/>
      <c r="AH113" s="2208"/>
      <c r="AI113" s="2208"/>
      <c r="AJ113" s="2208"/>
      <c r="AK113" s="2100"/>
    </row>
    <row r="114" spans="1:37">
      <c r="A114" s="2208"/>
      <c r="B114" s="2208"/>
      <c r="C114" s="2208"/>
      <c r="D114" s="2208"/>
      <c r="E114" s="2208"/>
      <c r="F114" s="2208"/>
      <c r="G114" s="2208"/>
      <c r="H114" s="2208"/>
      <c r="I114" s="2208"/>
      <c r="J114" s="2208"/>
      <c r="K114" s="2208"/>
      <c r="L114" s="2208"/>
      <c r="M114" s="2208"/>
      <c r="N114" s="2208"/>
      <c r="O114" s="2208"/>
      <c r="P114" s="2208"/>
      <c r="Q114" s="2208"/>
      <c r="R114" s="2208"/>
      <c r="S114" s="2208"/>
      <c r="T114" s="2208"/>
      <c r="U114" s="2208"/>
      <c r="V114" s="2208"/>
      <c r="W114" s="2208"/>
      <c r="X114" s="2208"/>
      <c r="Y114" s="2208"/>
      <c r="Z114" s="2208"/>
      <c r="AA114" s="2208"/>
      <c r="AB114" s="2208"/>
      <c r="AC114" s="2208"/>
      <c r="AD114" s="2208"/>
      <c r="AE114" s="2208"/>
      <c r="AF114" s="2208"/>
      <c r="AG114" s="2208"/>
      <c r="AH114" s="2208"/>
      <c r="AI114" s="2208"/>
      <c r="AJ114" s="2208"/>
      <c r="AK114" s="2100"/>
    </row>
    <row r="115" spans="1:37">
      <c r="A115" s="2208"/>
      <c r="B115" s="2208"/>
      <c r="C115" s="2208"/>
      <c r="D115" s="2208"/>
      <c r="E115" s="2208"/>
      <c r="F115" s="2208"/>
      <c r="G115" s="2208"/>
      <c r="H115" s="2208"/>
      <c r="I115" s="2208"/>
      <c r="J115" s="2208"/>
      <c r="K115" s="2208"/>
      <c r="L115" s="2208"/>
      <c r="M115" s="2208"/>
      <c r="N115" s="2208"/>
      <c r="O115" s="2208"/>
      <c r="P115" s="2208"/>
      <c r="Q115" s="2208"/>
      <c r="R115" s="2208"/>
      <c r="S115" s="2208"/>
      <c r="T115" s="2208"/>
      <c r="U115" s="2208"/>
      <c r="V115" s="2208"/>
      <c r="W115" s="2208"/>
      <c r="X115" s="2208"/>
      <c r="Y115" s="2208"/>
      <c r="Z115" s="2208"/>
      <c r="AA115" s="2208"/>
      <c r="AB115" s="2208"/>
      <c r="AC115" s="2208"/>
      <c r="AD115" s="2208"/>
      <c r="AE115" s="2208"/>
      <c r="AF115" s="2208"/>
      <c r="AG115" s="2208"/>
      <c r="AH115" s="2208"/>
      <c r="AI115" s="2208"/>
      <c r="AJ115" s="2208"/>
      <c r="AK115" s="2100"/>
    </row>
    <row r="116" spans="1:37">
      <c r="A116" s="2208"/>
      <c r="B116" s="2208"/>
      <c r="C116" s="2208"/>
      <c r="D116" s="2208"/>
      <c r="E116" s="2208"/>
      <c r="F116" s="2208"/>
      <c r="G116" s="2208"/>
      <c r="H116" s="2208"/>
      <c r="I116" s="2208"/>
      <c r="J116" s="2208"/>
      <c r="K116" s="2208"/>
      <c r="L116" s="2208"/>
      <c r="M116" s="2208"/>
      <c r="N116" s="2208"/>
      <c r="O116" s="2208"/>
      <c r="P116" s="2208"/>
      <c r="Q116" s="2208"/>
      <c r="R116" s="2208"/>
      <c r="S116" s="2208"/>
      <c r="T116" s="2208"/>
      <c r="U116" s="2208"/>
      <c r="V116" s="2208"/>
      <c r="W116" s="2208"/>
      <c r="X116" s="2208"/>
      <c r="Y116" s="2208"/>
      <c r="Z116" s="2208"/>
      <c r="AA116" s="2208"/>
      <c r="AB116" s="2208"/>
      <c r="AC116" s="2208"/>
      <c r="AD116" s="2208"/>
      <c r="AE116" s="2208"/>
      <c r="AF116" s="2208"/>
      <c r="AG116" s="2208"/>
      <c r="AH116" s="2208"/>
      <c r="AI116" s="2208"/>
      <c r="AJ116" s="2208"/>
      <c r="AK116" s="2100"/>
    </row>
    <row r="117" spans="1:37">
      <c r="A117" s="2208"/>
      <c r="B117" s="2208"/>
      <c r="C117" s="2208"/>
      <c r="D117" s="2208"/>
      <c r="E117" s="2208"/>
      <c r="F117" s="2208"/>
      <c r="G117" s="2208"/>
      <c r="H117" s="2208"/>
      <c r="I117" s="2208"/>
      <c r="J117" s="2208"/>
      <c r="K117" s="2208"/>
      <c r="L117" s="2208"/>
      <c r="M117" s="2208"/>
      <c r="N117" s="2208"/>
      <c r="O117" s="2208"/>
      <c r="P117" s="2208"/>
      <c r="Q117" s="2208"/>
      <c r="R117" s="2208"/>
      <c r="S117" s="2208"/>
      <c r="T117" s="2208"/>
      <c r="U117" s="2208"/>
      <c r="V117" s="2208"/>
      <c r="W117" s="2208"/>
      <c r="X117" s="2208"/>
      <c r="Y117" s="2208"/>
      <c r="Z117" s="2208"/>
      <c r="AA117" s="2208"/>
      <c r="AB117" s="2208"/>
      <c r="AC117" s="2208"/>
      <c r="AD117" s="2208"/>
      <c r="AE117" s="2208"/>
      <c r="AF117" s="2208"/>
      <c r="AG117" s="2208"/>
      <c r="AH117" s="2208"/>
      <c r="AI117" s="2208"/>
      <c r="AJ117" s="2208"/>
      <c r="AK117" s="2100"/>
    </row>
    <row r="118" spans="1:37">
      <c r="A118" s="2208"/>
      <c r="B118" s="2208"/>
      <c r="C118" s="2208"/>
      <c r="D118" s="2208"/>
      <c r="E118" s="2208"/>
      <c r="F118" s="2208"/>
      <c r="G118" s="2208"/>
      <c r="H118" s="2208"/>
      <c r="I118" s="2208"/>
      <c r="J118" s="2208"/>
      <c r="K118" s="2208"/>
      <c r="L118" s="2208"/>
      <c r="M118" s="2208"/>
      <c r="N118" s="2208"/>
      <c r="O118" s="2208"/>
      <c r="P118" s="2208"/>
      <c r="Q118" s="2208"/>
      <c r="R118" s="2208"/>
      <c r="S118" s="2208"/>
      <c r="T118" s="2208"/>
      <c r="U118" s="2208"/>
      <c r="V118" s="2208"/>
      <c r="W118" s="2208"/>
      <c r="X118" s="2208"/>
      <c r="Y118" s="2208"/>
      <c r="Z118" s="2208"/>
      <c r="AA118" s="2208"/>
      <c r="AB118" s="2208"/>
      <c r="AC118" s="2208"/>
      <c r="AD118" s="2208"/>
      <c r="AE118" s="2208"/>
      <c r="AF118" s="2208"/>
      <c r="AG118" s="2208"/>
      <c r="AH118" s="2208"/>
      <c r="AI118" s="2208"/>
      <c r="AJ118" s="2208"/>
      <c r="AK118" s="2100"/>
    </row>
    <row r="119" spans="1:37">
      <c r="A119" s="2208"/>
      <c r="B119" s="2208"/>
      <c r="C119" s="2208"/>
      <c r="D119" s="2208"/>
      <c r="E119" s="2208"/>
      <c r="F119" s="2208"/>
      <c r="G119" s="2208"/>
      <c r="H119" s="2208"/>
      <c r="I119" s="2208"/>
      <c r="J119" s="2208"/>
      <c r="K119" s="2208"/>
      <c r="L119" s="2208"/>
      <c r="M119" s="2208"/>
      <c r="N119" s="2208"/>
      <c r="O119" s="2208"/>
      <c r="P119" s="2208"/>
      <c r="Q119" s="2208"/>
      <c r="R119" s="2208"/>
      <c r="S119" s="2208"/>
      <c r="T119" s="2208"/>
      <c r="U119" s="2208"/>
      <c r="V119" s="2208"/>
      <c r="W119" s="2208"/>
      <c r="X119" s="2208"/>
      <c r="Y119" s="2208"/>
      <c r="Z119" s="2208"/>
      <c r="AA119" s="2208"/>
      <c r="AB119" s="2208"/>
      <c r="AC119" s="2208"/>
      <c r="AD119" s="2208"/>
      <c r="AE119" s="2208"/>
      <c r="AF119" s="2208"/>
      <c r="AG119" s="2208"/>
      <c r="AH119" s="2208"/>
      <c r="AI119" s="2208"/>
      <c r="AJ119" s="2208"/>
      <c r="AK119" s="2100"/>
    </row>
    <row r="120" spans="1:37">
      <c r="A120" s="2208"/>
      <c r="B120" s="2208"/>
      <c r="C120" s="2208"/>
      <c r="D120" s="2208"/>
      <c r="E120" s="2208"/>
      <c r="F120" s="2208"/>
      <c r="G120" s="2208"/>
      <c r="H120" s="2208"/>
      <c r="I120" s="2208"/>
      <c r="J120" s="2208"/>
      <c r="K120" s="2208"/>
      <c r="L120" s="2208"/>
      <c r="M120" s="2208"/>
      <c r="N120" s="2208"/>
      <c r="O120" s="2208"/>
      <c r="P120" s="2208"/>
      <c r="Q120" s="2208"/>
      <c r="R120" s="2208"/>
      <c r="S120" s="2208"/>
      <c r="T120" s="2208"/>
      <c r="U120" s="2208"/>
      <c r="V120" s="2208"/>
      <c r="W120" s="2208"/>
      <c r="X120" s="2208"/>
      <c r="Y120" s="2208"/>
      <c r="Z120" s="2208"/>
      <c r="AA120" s="2208"/>
      <c r="AB120" s="2208"/>
      <c r="AC120" s="2208"/>
      <c r="AD120" s="2208"/>
      <c r="AE120" s="2208"/>
      <c r="AF120" s="2208"/>
      <c r="AG120" s="2208"/>
      <c r="AH120" s="2208"/>
      <c r="AI120" s="2208"/>
      <c r="AJ120" s="2208"/>
      <c r="AK120" s="2100"/>
    </row>
    <row r="121" spans="1:37">
      <c r="A121" s="2208"/>
      <c r="B121" s="2208"/>
      <c r="C121" s="2208"/>
      <c r="D121" s="2208"/>
      <c r="E121" s="2208"/>
      <c r="F121" s="2208"/>
      <c r="G121" s="2208"/>
      <c r="H121" s="2208"/>
      <c r="I121" s="2208"/>
      <c r="J121" s="2208"/>
      <c r="K121" s="2208"/>
      <c r="L121" s="2208"/>
      <c r="M121" s="2208"/>
      <c r="N121" s="2208"/>
      <c r="O121" s="2208"/>
      <c r="P121" s="2208"/>
      <c r="Q121" s="2208"/>
      <c r="R121" s="2208"/>
      <c r="S121" s="2208"/>
      <c r="T121" s="2208"/>
      <c r="U121" s="2208"/>
      <c r="V121" s="2208"/>
      <c r="W121" s="2208"/>
      <c r="X121" s="2208"/>
      <c r="Y121" s="2208"/>
      <c r="Z121" s="2208"/>
      <c r="AA121" s="2208"/>
      <c r="AB121" s="2208"/>
      <c r="AC121" s="2208"/>
      <c r="AD121" s="2208"/>
      <c r="AE121" s="2208"/>
      <c r="AF121" s="2208"/>
      <c r="AG121" s="2208"/>
      <c r="AH121" s="2208"/>
      <c r="AI121" s="2208"/>
      <c r="AJ121" s="2208"/>
      <c r="AK121" s="2100"/>
    </row>
    <row r="122" spans="1:37">
      <c r="A122" s="2208"/>
      <c r="B122" s="2208"/>
      <c r="C122" s="2208"/>
      <c r="D122" s="2208"/>
      <c r="E122" s="2208"/>
      <c r="F122" s="2208"/>
      <c r="G122" s="2208"/>
      <c r="H122" s="2208"/>
      <c r="I122" s="2208"/>
      <c r="J122" s="2208"/>
      <c r="K122" s="2208"/>
      <c r="L122" s="2208"/>
      <c r="M122" s="2208"/>
      <c r="N122" s="2208"/>
      <c r="O122" s="2208"/>
      <c r="P122" s="2208"/>
      <c r="Q122" s="2208"/>
      <c r="R122" s="2208"/>
      <c r="S122" s="2208"/>
      <c r="T122" s="2208"/>
      <c r="U122" s="2208"/>
      <c r="V122" s="2208"/>
      <c r="W122" s="2208"/>
      <c r="X122" s="2208"/>
      <c r="Y122" s="2208"/>
      <c r="Z122" s="2208"/>
      <c r="AA122" s="2208"/>
      <c r="AB122" s="2208"/>
      <c r="AC122" s="2208"/>
      <c r="AD122" s="2208"/>
      <c r="AE122" s="2208"/>
      <c r="AF122" s="2208"/>
      <c r="AG122" s="2208"/>
      <c r="AH122" s="2208"/>
      <c r="AI122" s="2208"/>
      <c r="AJ122" s="2208"/>
      <c r="AK122" s="2100"/>
    </row>
    <row r="123" spans="1:37">
      <c r="A123" s="2208"/>
      <c r="B123" s="2208"/>
      <c r="C123" s="2208"/>
      <c r="D123" s="2208"/>
      <c r="E123" s="2208"/>
      <c r="F123" s="2208"/>
      <c r="G123" s="2208"/>
      <c r="H123" s="2208"/>
      <c r="I123" s="2208"/>
      <c r="J123" s="2208"/>
      <c r="K123" s="2208"/>
      <c r="L123" s="2208"/>
      <c r="M123" s="2208"/>
      <c r="N123" s="2208"/>
      <c r="O123" s="2208"/>
      <c r="P123" s="2208"/>
      <c r="Q123" s="2208"/>
      <c r="R123" s="2208"/>
      <c r="S123" s="2208"/>
      <c r="T123" s="2208"/>
      <c r="U123" s="2208"/>
      <c r="V123" s="2208"/>
      <c r="W123" s="2208"/>
      <c r="X123" s="2208"/>
      <c r="Y123" s="2208"/>
      <c r="Z123" s="2208"/>
      <c r="AA123" s="2208"/>
      <c r="AB123" s="2208"/>
      <c r="AC123" s="2208"/>
      <c r="AD123" s="2208"/>
      <c r="AE123" s="2208"/>
      <c r="AF123" s="2208"/>
      <c r="AG123" s="2208"/>
      <c r="AH123" s="2208"/>
      <c r="AI123" s="2208"/>
      <c r="AJ123" s="2208"/>
      <c r="AK123" s="2100"/>
    </row>
    <row r="124" spans="1:37">
      <c r="A124" s="2208"/>
      <c r="B124" s="2208"/>
      <c r="C124" s="2208"/>
      <c r="D124" s="2208"/>
      <c r="E124" s="2208"/>
      <c r="F124" s="2208"/>
      <c r="G124" s="2208"/>
      <c r="H124" s="2208"/>
      <c r="I124" s="2208"/>
      <c r="J124" s="2208"/>
      <c r="K124" s="2208"/>
      <c r="L124" s="2208"/>
      <c r="M124" s="2208"/>
      <c r="N124" s="2208"/>
      <c r="O124" s="2208"/>
      <c r="P124" s="2208"/>
      <c r="Q124" s="2208"/>
      <c r="R124" s="2208"/>
      <c r="S124" s="2208"/>
      <c r="T124" s="2208"/>
      <c r="U124" s="2208"/>
      <c r="V124" s="2208"/>
      <c r="W124" s="2208"/>
      <c r="X124" s="2208"/>
      <c r="Y124" s="2208"/>
      <c r="Z124" s="2208"/>
      <c r="AA124" s="2208"/>
      <c r="AB124" s="2208"/>
      <c r="AC124" s="2208"/>
      <c r="AD124" s="2208"/>
      <c r="AE124" s="2208"/>
      <c r="AF124" s="2208"/>
      <c r="AG124" s="2208"/>
      <c r="AH124" s="2208"/>
      <c r="AI124" s="2208"/>
      <c r="AJ124" s="2208"/>
      <c r="AK124" s="2100"/>
    </row>
    <row r="125" spans="1:37">
      <c r="A125" s="2208"/>
      <c r="B125" s="2208"/>
      <c r="C125" s="2208"/>
      <c r="D125" s="2208"/>
      <c r="E125" s="2208"/>
      <c r="F125" s="2208"/>
      <c r="G125" s="2208"/>
      <c r="H125" s="2208"/>
      <c r="I125" s="2208"/>
      <c r="J125" s="2208"/>
      <c r="K125" s="2208"/>
      <c r="L125" s="2208"/>
      <c r="M125" s="2208"/>
      <c r="N125" s="2208"/>
      <c r="O125" s="2208"/>
      <c r="P125" s="2208"/>
      <c r="Q125" s="2208"/>
      <c r="R125" s="2208"/>
      <c r="S125" s="2208"/>
      <c r="T125" s="2208"/>
      <c r="U125" s="2208"/>
      <c r="V125" s="2208"/>
      <c r="W125" s="2208"/>
      <c r="X125" s="2208"/>
      <c r="Y125" s="2208"/>
      <c r="Z125" s="2208"/>
      <c r="AA125" s="2208"/>
      <c r="AB125" s="2208"/>
      <c r="AC125" s="2208"/>
      <c r="AD125" s="2208"/>
      <c r="AE125" s="2208"/>
      <c r="AF125" s="2208"/>
      <c r="AG125" s="2208"/>
      <c r="AH125" s="2208"/>
      <c r="AI125" s="2208"/>
      <c r="AJ125" s="2208"/>
      <c r="AK125" s="2100"/>
    </row>
    <row r="126" spans="1:37">
      <c r="A126" s="2208"/>
      <c r="B126" s="2208"/>
      <c r="C126" s="2208"/>
      <c r="D126" s="2208"/>
      <c r="E126" s="2208"/>
      <c r="F126" s="2208"/>
      <c r="G126" s="2208"/>
      <c r="H126" s="2208"/>
      <c r="I126" s="2208"/>
      <c r="J126" s="2208"/>
      <c r="K126" s="2208"/>
      <c r="L126" s="2208"/>
      <c r="M126" s="2208"/>
      <c r="N126" s="2208"/>
      <c r="O126" s="2208"/>
      <c r="P126" s="2208"/>
      <c r="Q126" s="2208"/>
      <c r="R126" s="2208"/>
      <c r="S126" s="2208"/>
      <c r="T126" s="2208"/>
      <c r="U126" s="2208"/>
      <c r="V126" s="2208"/>
      <c r="W126" s="2208"/>
      <c r="X126" s="2208"/>
      <c r="Y126" s="2208"/>
      <c r="Z126" s="2208"/>
      <c r="AA126" s="2208"/>
      <c r="AB126" s="2208"/>
      <c r="AC126" s="2208"/>
      <c r="AD126" s="2208"/>
      <c r="AE126" s="2208"/>
      <c r="AF126" s="2208"/>
      <c r="AG126" s="2208"/>
      <c r="AH126" s="2208"/>
      <c r="AI126" s="2208"/>
      <c r="AJ126" s="2208"/>
      <c r="AK126" s="2100"/>
    </row>
    <row r="127" spans="1:37">
      <c r="A127" s="2208"/>
      <c r="B127" s="2208"/>
      <c r="C127" s="2208"/>
      <c r="D127" s="2208"/>
      <c r="E127" s="2208"/>
      <c r="F127" s="2208"/>
      <c r="G127" s="2208"/>
      <c r="H127" s="2208"/>
      <c r="I127" s="2208"/>
      <c r="J127" s="2208"/>
      <c r="K127" s="2208"/>
      <c r="L127" s="2208"/>
      <c r="M127" s="2208"/>
      <c r="N127" s="2208"/>
      <c r="O127" s="2208"/>
      <c r="P127" s="2208"/>
      <c r="Q127" s="2208"/>
      <c r="R127" s="2208"/>
      <c r="S127" s="2208"/>
      <c r="T127" s="2208"/>
      <c r="U127" s="2208"/>
      <c r="V127" s="2208"/>
      <c r="W127" s="2208"/>
      <c r="X127" s="2208"/>
      <c r="Y127" s="2208"/>
      <c r="Z127" s="2208"/>
      <c r="AA127" s="2208"/>
      <c r="AB127" s="2208"/>
      <c r="AC127" s="2208"/>
      <c r="AD127" s="2208"/>
      <c r="AE127" s="2208"/>
      <c r="AF127" s="2208"/>
      <c r="AG127" s="2208"/>
      <c r="AH127" s="2208"/>
      <c r="AI127" s="2208"/>
      <c r="AJ127" s="2208"/>
      <c r="AK127" s="2100"/>
    </row>
    <row r="128" spans="1:37">
      <c r="A128" s="2208"/>
      <c r="B128" s="2208"/>
      <c r="C128" s="2208"/>
      <c r="D128" s="2208"/>
      <c r="E128" s="2208"/>
      <c r="F128" s="2208"/>
      <c r="G128" s="2208"/>
      <c r="H128" s="2208"/>
      <c r="I128" s="2208"/>
      <c r="J128" s="2208"/>
      <c r="K128" s="2208"/>
      <c r="L128" s="2208"/>
      <c r="M128" s="2208"/>
      <c r="N128" s="2208"/>
      <c r="O128" s="2208"/>
      <c r="P128" s="2208"/>
      <c r="Q128" s="2208"/>
      <c r="R128" s="2208"/>
      <c r="S128" s="2208"/>
      <c r="T128" s="2208"/>
      <c r="U128" s="2208"/>
      <c r="V128" s="2208"/>
      <c r="W128" s="2208"/>
      <c r="X128" s="2208"/>
      <c r="Y128" s="2208"/>
      <c r="Z128" s="2208"/>
      <c r="AA128" s="2208"/>
      <c r="AB128" s="2208"/>
      <c r="AC128" s="2208"/>
      <c r="AD128" s="2208"/>
      <c r="AE128" s="2208"/>
      <c r="AF128" s="2208"/>
      <c r="AG128" s="2208"/>
      <c r="AH128" s="2208"/>
      <c r="AI128" s="2208"/>
      <c r="AJ128" s="2208"/>
      <c r="AK128" s="2100"/>
    </row>
    <row r="129" spans="1:37">
      <c r="A129" s="2208"/>
      <c r="B129" s="2208"/>
      <c r="C129" s="2208"/>
      <c r="D129" s="2208"/>
      <c r="E129" s="2208"/>
      <c r="F129" s="2208"/>
      <c r="G129" s="2208"/>
      <c r="H129" s="2208"/>
      <c r="I129" s="2208"/>
      <c r="J129" s="2208"/>
      <c r="K129" s="2208"/>
      <c r="L129" s="2208"/>
      <c r="M129" s="2208"/>
      <c r="N129" s="2208"/>
      <c r="O129" s="2208"/>
      <c r="P129" s="2208"/>
      <c r="Q129" s="2208"/>
      <c r="R129" s="2208"/>
      <c r="S129" s="2208"/>
      <c r="T129" s="2208"/>
      <c r="U129" s="2208"/>
      <c r="V129" s="2208"/>
      <c r="W129" s="2208"/>
      <c r="X129" s="2208"/>
      <c r="Y129" s="2208"/>
      <c r="Z129" s="2208"/>
      <c r="AA129" s="2208"/>
      <c r="AB129" s="2208"/>
      <c r="AC129" s="2208"/>
      <c r="AD129" s="2208"/>
      <c r="AE129" s="2208"/>
      <c r="AF129" s="2208"/>
      <c r="AG129" s="2208"/>
      <c r="AH129" s="2208"/>
      <c r="AI129" s="2208"/>
      <c r="AJ129" s="2208"/>
      <c r="AK129" s="2100"/>
    </row>
    <row r="130" spans="1:37">
      <c r="A130" s="2208"/>
      <c r="B130" s="2208"/>
      <c r="C130" s="2208"/>
      <c r="D130" s="2208"/>
      <c r="E130" s="2208"/>
      <c r="F130" s="2208"/>
      <c r="G130" s="2208"/>
      <c r="H130" s="2208"/>
      <c r="I130" s="2208"/>
      <c r="J130" s="2208"/>
      <c r="K130" s="2208"/>
      <c r="L130" s="2208"/>
      <c r="M130" s="2208"/>
      <c r="N130" s="2208"/>
      <c r="O130" s="2208"/>
      <c r="P130" s="2208"/>
      <c r="Q130" s="2208"/>
      <c r="R130" s="2208"/>
      <c r="S130" s="2208"/>
      <c r="T130" s="2208"/>
      <c r="U130" s="2208"/>
      <c r="V130" s="2208"/>
      <c r="W130" s="2208"/>
      <c r="X130" s="2208"/>
      <c r="Y130" s="2208"/>
      <c r="Z130" s="2208"/>
      <c r="AA130" s="2208"/>
      <c r="AB130" s="2208"/>
      <c r="AC130" s="2208"/>
      <c r="AD130" s="2208"/>
      <c r="AE130" s="2208"/>
      <c r="AF130" s="2208"/>
      <c r="AG130" s="2208"/>
      <c r="AH130" s="2208"/>
      <c r="AI130" s="2208"/>
      <c r="AJ130" s="2208"/>
      <c r="AK130" s="2100"/>
    </row>
    <row r="131" spans="1:37">
      <c r="A131" s="2208"/>
      <c r="B131" s="2208"/>
      <c r="C131" s="2208"/>
      <c r="D131" s="2208"/>
      <c r="E131" s="2208"/>
      <c r="F131" s="2208"/>
      <c r="G131" s="2208"/>
      <c r="H131" s="2208"/>
      <c r="I131" s="2208"/>
      <c r="J131" s="2208"/>
      <c r="K131" s="2208"/>
      <c r="L131" s="2208"/>
      <c r="M131" s="2208"/>
      <c r="N131" s="2208"/>
      <c r="O131" s="2208"/>
      <c r="P131" s="2208"/>
      <c r="Q131" s="2208"/>
      <c r="R131" s="2208"/>
      <c r="S131" s="2208"/>
      <c r="T131" s="2208"/>
      <c r="U131" s="2208"/>
      <c r="V131" s="2208"/>
      <c r="W131" s="2208"/>
      <c r="X131" s="2208"/>
      <c r="Y131" s="2208"/>
      <c r="Z131" s="2208"/>
      <c r="AA131" s="2208"/>
      <c r="AB131" s="2208"/>
      <c r="AC131" s="2208"/>
      <c r="AD131" s="2208"/>
      <c r="AE131" s="2208"/>
      <c r="AF131" s="2208"/>
      <c r="AG131" s="2208"/>
      <c r="AH131" s="2208"/>
      <c r="AI131" s="2208"/>
      <c r="AJ131" s="2208"/>
      <c r="AK131" s="2100"/>
    </row>
    <row r="132" spans="1:37">
      <c r="A132" s="2208"/>
      <c r="B132" s="2208"/>
      <c r="C132" s="2208"/>
      <c r="D132" s="2208"/>
      <c r="E132" s="2208"/>
      <c r="F132" s="2208"/>
      <c r="G132" s="2208"/>
      <c r="H132" s="2208"/>
      <c r="I132" s="2208"/>
      <c r="J132" s="2208"/>
      <c r="K132" s="2208"/>
      <c r="L132" s="2208"/>
      <c r="M132" s="2208"/>
      <c r="N132" s="2208"/>
      <c r="O132" s="2208"/>
      <c r="P132" s="2208"/>
      <c r="Q132" s="2208"/>
      <c r="R132" s="2208"/>
      <c r="S132" s="2208"/>
      <c r="T132" s="2208"/>
      <c r="U132" s="2208"/>
      <c r="V132" s="2208"/>
      <c r="W132" s="2208"/>
      <c r="X132" s="2208"/>
      <c r="Y132" s="2208"/>
      <c r="Z132" s="2208"/>
      <c r="AA132" s="2208"/>
      <c r="AB132" s="2208"/>
      <c r="AC132" s="2208"/>
      <c r="AD132" s="2208"/>
      <c r="AE132" s="2208"/>
      <c r="AF132" s="2208"/>
      <c r="AG132" s="2208"/>
      <c r="AH132" s="2208"/>
      <c r="AI132" s="2208"/>
      <c r="AJ132" s="2208"/>
      <c r="AK132" s="2100"/>
    </row>
    <row r="133" spans="1:37">
      <c r="A133" s="2208"/>
      <c r="B133" s="2208"/>
      <c r="C133" s="2208"/>
      <c r="D133" s="2208"/>
      <c r="E133" s="2208"/>
      <c r="F133" s="2208"/>
      <c r="G133" s="2208"/>
      <c r="H133" s="2208"/>
      <c r="I133" s="2208"/>
      <c r="J133" s="2208"/>
      <c r="K133" s="2208"/>
      <c r="L133" s="2208"/>
      <c r="M133" s="2208"/>
      <c r="N133" s="2208"/>
      <c r="O133" s="2208"/>
      <c r="P133" s="2208"/>
      <c r="Q133" s="2208"/>
      <c r="R133" s="2208"/>
      <c r="S133" s="2208"/>
      <c r="T133" s="2208"/>
      <c r="U133" s="2208"/>
      <c r="V133" s="2208"/>
      <c r="W133" s="2208"/>
      <c r="X133" s="2208"/>
      <c r="Y133" s="2208"/>
      <c r="Z133" s="2208"/>
      <c r="AA133" s="2208"/>
      <c r="AB133" s="2208"/>
      <c r="AC133" s="2208"/>
      <c r="AD133" s="2208"/>
      <c r="AE133" s="2208"/>
      <c r="AF133" s="2208"/>
      <c r="AG133" s="2208"/>
      <c r="AH133" s="2208"/>
      <c r="AI133" s="2208"/>
      <c r="AJ133" s="2208"/>
      <c r="AK133" s="2100"/>
    </row>
    <row r="134" spans="1:37">
      <c r="A134" s="2208"/>
      <c r="B134" s="2208"/>
      <c r="C134" s="2208"/>
      <c r="D134" s="2208"/>
      <c r="E134" s="2208"/>
      <c r="F134" s="2208"/>
      <c r="G134" s="2208"/>
      <c r="H134" s="2208"/>
      <c r="I134" s="2208"/>
      <c r="J134" s="2208"/>
      <c r="K134" s="2208"/>
      <c r="L134" s="2208"/>
      <c r="M134" s="2208"/>
      <c r="N134" s="2208"/>
      <c r="O134" s="2208"/>
      <c r="P134" s="2208"/>
      <c r="Q134" s="2208"/>
      <c r="R134" s="2208"/>
      <c r="S134" s="2208"/>
      <c r="T134" s="2208"/>
      <c r="U134" s="2208"/>
      <c r="V134" s="2208"/>
      <c r="W134" s="2208"/>
      <c r="X134" s="2208"/>
      <c r="Y134" s="2208"/>
      <c r="Z134" s="2208"/>
      <c r="AA134" s="2208"/>
      <c r="AB134" s="2208"/>
      <c r="AC134" s="2208"/>
      <c r="AD134" s="2208"/>
      <c r="AE134" s="2208"/>
      <c r="AF134" s="2208"/>
      <c r="AG134" s="2208"/>
      <c r="AH134" s="2208"/>
      <c r="AI134" s="2208"/>
      <c r="AJ134" s="2208"/>
      <c r="AK134" s="2100"/>
    </row>
    <row r="135" spans="1:37">
      <c r="A135" s="2208"/>
      <c r="B135" s="2208"/>
      <c r="C135" s="2208"/>
      <c r="D135" s="2208"/>
      <c r="E135" s="2208"/>
      <c r="F135" s="2208"/>
      <c r="G135" s="2208"/>
      <c r="H135" s="2208"/>
      <c r="I135" s="2208"/>
      <c r="J135" s="2208"/>
      <c r="K135" s="2208"/>
      <c r="L135" s="2208"/>
      <c r="M135" s="2208"/>
      <c r="N135" s="2208"/>
      <c r="O135" s="2208"/>
      <c r="P135" s="2208"/>
      <c r="Q135" s="2208"/>
      <c r="R135" s="2208"/>
      <c r="S135" s="2208"/>
      <c r="T135" s="2208"/>
      <c r="U135" s="2208"/>
      <c r="V135" s="2208"/>
      <c r="W135" s="2208"/>
      <c r="X135" s="2208"/>
      <c r="Y135" s="2208"/>
      <c r="Z135" s="2208"/>
      <c r="AA135" s="2208"/>
      <c r="AB135" s="2208"/>
      <c r="AC135" s="2208"/>
      <c r="AD135" s="2208"/>
      <c r="AE135" s="2208"/>
      <c r="AF135" s="2208"/>
      <c r="AG135" s="2208"/>
      <c r="AH135" s="2208"/>
      <c r="AI135" s="2208"/>
      <c r="AJ135" s="2208"/>
      <c r="AK135" s="2100"/>
    </row>
    <row r="136" spans="1:37">
      <c r="A136" s="2208"/>
      <c r="B136" s="2208"/>
      <c r="C136" s="2208"/>
      <c r="D136" s="2208"/>
      <c r="E136" s="2208"/>
      <c r="F136" s="2208"/>
      <c r="G136" s="2208"/>
      <c r="H136" s="2208"/>
      <c r="I136" s="2208"/>
      <c r="J136" s="2208"/>
      <c r="K136" s="2208"/>
      <c r="L136" s="2208"/>
      <c r="M136" s="2208"/>
      <c r="N136" s="2208"/>
      <c r="O136" s="2208"/>
      <c r="P136" s="2208"/>
      <c r="Q136" s="2208"/>
      <c r="R136" s="2208"/>
      <c r="S136" s="2208"/>
      <c r="T136" s="2208"/>
      <c r="U136" s="2208"/>
      <c r="V136" s="2208"/>
      <c r="W136" s="2208"/>
      <c r="X136" s="2208"/>
      <c r="Y136" s="2208"/>
      <c r="Z136" s="2208"/>
      <c r="AA136" s="2208"/>
      <c r="AB136" s="2208"/>
      <c r="AC136" s="2208"/>
      <c r="AD136" s="2208"/>
      <c r="AE136" s="2208"/>
      <c r="AF136" s="2208"/>
      <c r="AG136" s="2208"/>
      <c r="AH136" s="2208"/>
      <c r="AI136" s="2208"/>
      <c r="AJ136" s="2208"/>
      <c r="AK136" s="2100"/>
    </row>
    <row r="137" spans="1:37">
      <c r="A137" s="2208"/>
      <c r="B137" s="2208"/>
      <c r="C137" s="2208"/>
      <c r="D137" s="2208"/>
      <c r="E137" s="2208"/>
      <c r="F137" s="2208"/>
      <c r="G137" s="2208"/>
      <c r="H137" s="2208"/>
      <c r="I137" s="2208"/>
      <c r="J137" s="2208"/>
      <c r="K137" s="2208"/>
      <c r="L137" s="2208"/>
      <c r="M137" s="2208"/>
      <c r="N137" s="2208"/>
      <c r="O137" s="2208"/>
      <c r="P137" s="2208"/>
      <c r="Q137" s="2208"/>
      <c r="R137" s="2208"/>
      <c r="S137" s="2208"/>
      <c r="T137" s="2208"/>
      <c r="U137" s="2208"/>
      <c r="V137" s="2208"/>
      <c r="W137" s="2208"/>
      <c r="X137" s="2208"/>
      <c r="Y137" s="2208"/>
      <c r="Z137" s="2208"/>
      <c r="AA137" s="2208"/>
      <c r="AB137" s="2208"/>
      <c r="AC137" s="2208"/>
      <c r="AD137" s="2208"/>
      <c r="AE137" s="2208"/>
      <c r="AF137" s="2208"/>
      <c r="AG137" s="2208"/>
      <c r="AH137" s="2208"/>
      <c r="AI137" s="2208"/>
      <c r="AJ137" s="2208"/>
      <c r="AK137" s="2100"/>
    </row>
    <row r="138" spans="1:37">
      <c r="A138" s="2208"/>
      <c r="B138" s="2208"/>
      <c r="C138" s="2208"/>
      <c r="D138" s="2208"/>
      <c r="E138" s="2208"/>
      <c r="F138" s="2208"/>
      <c r="G138" s="2208"/>
      <c r="H138" s="2208"/>
      <c r="I138" s="2208"/>
      <c r="J138" s="2208"/>
      <c r="K138" s="2208"/>
      <c r="L138" s="2208"/>
      <c r="M138" s="2208"/>
      <c r="N138" s="2208"/>
      <c r="O138" s="2208"/>
      <c r="P138" s="2208"/>
      <c r="Q138" s="2208"/>
      <c r="R138" s="2208"/>
      <c r="S138" s="2208"/>
      <c r="T138" s="2208"/>
      <c r="U138" s="2208"/>
      <c r="V138" s="2208"/>
      <c r="W138" s="2208"/>
      <c r="X138" s="2208"/>
      <c r="Y138" s="2208"/>
      <c r="Z138" s="2208"/>
      <c r="AA138" s="2208"/>
      <c r="AB138" s="2208"/>
      <c r="AC138" s="2208"/>
      <c r="AD138" s="2208"/>
      <c r="AE138" s="2208"/>
      <c r="AF138" s="2208"/>
      <c r="AG138" s="2208"/>
      <c r="AH138" s="2208"/>
      <c r="AI138" s="2208"/>
      <c r="AJ138" s="2208"/>
      <c r="AK138" s="2100"/>
    </row>
    <row r="139" spans="1:37">
      <c r="A139" s="2208"/>
      <c r="B139" s="2208"/>
      <c r="C139" s="2208"/>
      <c r="D139" s="2208"/>
      <c r="E139" s="2208"/>
      <c r="F139" s="2208"/>
      <c r="G139" s="2208"/>
      <c r="H139" s="2208"/>
      <c r="I139" s="2208"/>
      <c r="J139" s="2208"/>
      <c r="K139" s="2208"/>
      <c r="L139" s="2208"/>
      <c r="M139" s="2208"/>
      <c r="N139" s="2208"/>
      <c r="O139" s="2208"/>
      <c r="P139" s="2208"/>
      <c r="Q139" s="2208"/>
      <c r="R139" s="2208"/>
      <c r="S139" s="2208"/>
      <c r="T139" s="2208"/>
      <c r="U139" s="2208"/>
      <c r="V139" s="2208"/>
      <c r="W139" s="2208"/>
      <c r="X139" s="2208"/>
      <c r="Y139" s="2208"/>
      <c r="Z139" s="2208"/>
      <c r="AA139" s="2208"/>
      <c r="AB139" s="2208"/>
      <c r="AC139" s="2208"/>
      <c r="AD139" s="2208"/>
      <c r="AE139" s="2208"/>
      <c r="AF139" s="2208"/>
      <c r="AG139" s="2208"/>
      <c r="AH139" s="2208"/>
      <c r="AI139" s="2208"/>
      <c r="AJ139" s="2208"/>
      <c r="AK139" s="2100"/>
    </row>
    <row r="140" spans="1:37">
      <c r="A140" s="2208"/>
      <c r="B140" s="2208"/>
      <c r="C140" s="2208"/>
      <c r="D140" s="2208"/>
      <c r="E140" s="2208"/>
      <c r="F140" s="2208"/>
      <c r="G140" s="2208"/>
      <c r="H140" s="2208"/>
      <c r="I140" s="2208"/>
      <c r="J140" s="2208"/>
      <c r="K140" s="2208"/>
      <c r="L140" s="2208"/>
      <c r="M140" s="2208"/>
      <c r="N140" s="2208"/>
      <c r="O140" s="2208"/>
      <c r="P140" s="2208"/>
      <c r="Q140" s="2208"/>
      <c r="R140" s="2208"/>
      <c r="S140" s="2208"/>
      <c r="T140" s="2208"/>
      <c r="U140" s="2208"/>
      <c r="V140" s="2208"/>
      <c r="W140" s="2208"/>
      <c r="X140" s="2208"/>
      <c r="Y140" s="2208"/>
      <c r="Z140" s="2208"/>
      <c r="AA140" s="2208"/>
      <c r="AB140" s="2208"/>
      <c r="AC140" s="2208"/>
      <c r="AD140" s="2208"/>
      <c r="AE140" s="2208"/>
      <c r="AF140" s="2208"/>
      <c r="AG140" s="2208"/>
      <c r="AH140" s="2208"/>
      <c r="AI140" s="2208"/>
      <c r="AJ140" s="2208"/>
      <c r="AK140" s="2100"/>
    </row>
    <row r="141" spans="1:37">
      <c r="A141" s="2208"/>
      <c r="B141" s="2208"/>
      <c r="C141" s="2208"/>
      <c r="D141" s="2208"/>
      <c r="E141" s="2208"/>
      <c r="F141" s="2208"/>
      <c r="G141" s="2208"/>
      <c r="H141" s="2208"/>
      <c r="I141" s="2208"/>
      <c r="J141" s="2208"/>
      <c r="K141" s="2208"/>
      <c r="L141" s="2208"/>
      <c r="M141" s="2208"/>
      <c r="N141" s="2208"/>
      <c r="O141" s="2208"/>
      <c r="P141" s="2208"/>
      <c r="Q141" s="2208"/>
      <c r="R141" s="2208"/>
      <c r="S141" s="2208"/>
      <c r="T141" s="2208"/>
      <c r="U141" s="2208"/>
      <c r="V141" s="2208"/>
      <c r="W141" s="2208"/>
      <c r="X141" s="2208"/>
      <c r="Y141" s="2208"/>
      <c r="Z141" s="2208"/>
      <c r="AA141" s="2208"/>
      <c r="AB141" s="2208"/>
      <c r="AC141" s="2208"/>
      <c r="AD141" s="2208"/>
      <c r="AE141" s="2208"/>
      <c r="AF141" s="2208"/>
      <c r="AG141" s="2208"/>
      <c r="AH141" s="2208"/>
      <c r="AI141" s="2208"/>
      <c r="AJ141" s="2208"/>
      <c r="AK141" s="2100"/>
    </row>
    <row r="142" spans="1:37">
      <c r="A142" s="2208"/>
      <c r="B142" s="2208"/>
      <c r="C142" s="2208"/>
      <c r="D142" s="2208"/>
      <c r="E142" s="2208"/>
      <c r="F142" s="2208"/>
      <c r="G142" s="2208"/>
      <c r="H142" s="2208"/>
      <c r="I142" s="2208"/>
      <c r="J142" s="2208"/>
      <c r="K142" s="2208"/>
      <c r="L142" s="2208"/>
      <c r="M142" s="2208"/>
      <c r="N142" s="2208"/>
      <c r="O142" s="2208"/>
      <c r="P142" s="2208"/>
      <c r="Q142" s="2208"/>
      <c r="R142" s="2208"/>
      <c r="S142" s="2208"/>
      <c r="T142" s="2208"/>
      <c r="U142" s="2208"/>
      <c r="V142" s="2208"/>
      <c r="W142" s="2208"/>
      <c r="X142" s="2208"/>
      <c r="Y142" s="2208"/>
      <c r="Z142" s="2208"/>
      <c r="AA142" s="2208"/>
      <c r="AB142" s="2208"/>
      <c r="AC142" s="2208"/>
      <c r="AD142" s="2208"/>
      <c r="AE142" s="2208"/>
      <c r="AF142" s="2208"/>
      <c r="AG142" s="2208"/>
      <c r="AH142" s="2208"/>
      <c r="AI142" s="2208"/>
      <c r="AJ142" s="2208"/>
      <c r="AK142" s="2100"/>
    </row>
    <row r="143" spans="1:37">
      <c r="A143" s="2208"/>
      <c r="B143" s="2208"/>
      <c r="C143" s="2208"/>
      <c r="D143" s="2208"/>
      <c r="E143" s="2208"/>
      <c r="F143" s="2208"/>
      <c r="G143" s="2208"/>
      <c r="H143" s="2208"/>
      <c r="I143" s="2208"/>
      <c r="J143" s="2208"/>
      <c r="K143" s="2208"/>
      <c r="L143" s="2208"/>
      <c r="M143" s="2208"/>
      <c r="N143" s="2208"/>
      <c r="O143" s="2208"/>
      <c r="P143" s="2208"/>
      <c r="Q143" s="2208"/>
      <c r="R143" s="2208"/>
      <c r="S143" s="2208"/>
      <c r="T143" s="2208"/>
      <c r="U143" s="2208"/>
      <c r="V143" s="2208"/>
      <c r="W143" s="2208"/>
      <c r="X143" s="2208"/>
      <c r="Y143" s="2208"/>
      <c r="Z143" s="2208"/>
      <c r="AA143" s="2208"/>
      <c r="AB143" s="2208"/>
      <c r="AC143" s="2208"/>
      <c r="AD143" s="2208"/>
      <c r="AE143" s="2208"/>
      <c r="AF143" s="2208"/>
      <c r="AG143" s="2208"/>
      <c r="AH143" s="2208"/>
      <c r="AI143" s="2208"/>
      <c r="AJ143" s="2208"/>
      <c r="AK143" s="2100"/>
    </row>
    <row r="144" spans="1:37">
      <c r="A144" s="2208"/>
      <c r="B144" s="2208"/>
      <c r="C144" s="2208"/>
      <c r="D144" s="2208"/>
      <c r="E144" s="2208"/>
      <c r="F144" s="2208"/>
      <c r="G144" s="2208"/>
      <c r="H144" s="2208"/>
      <c r="I144" s="2208"/>
      <c r="J144" s="2208"/>
      <c r="K144" s="2208"/>
      <c r="L144" s="2208"/>
      <c r="M144" s="2208"/>
      <c r="N144" s="2208"/>
      <c r="O144" s="2208"/>
      <c r="P144" s="2208"/>
      <c r="Q144" s="2208"/>
      <c r="R144" s="2208"/>
      <c r="S144" s="2208"/>
      <c r="T144" s="2208"/>
      <c r="U144" s="2208"/>
      <c r="V144" s="2208"/>
      <c r="W144" s="2208"/>
      <c r="X144" s="2208"/>
      <c r="Y144" s="2208"/>
      <c r="Z144" s="2208"/>
      <c r="AA144" s="2208"/>
      <c r="AB144" s="2208"/>
      <c r="AC144" s="2208"/>
      <c r="AD144" s="2208"/>
      <c r="AE144" s="2208"/>
      <c r="AF144" s="2208"/>
      <c r="AG144" s="2208"/>
      <c r="AH144" s="2208"/>
      <c r="AI144" s="2208"/>
      <c r="AJ144" s="2208"/>
      <c r="AK144" s="2100"/>
    </row>
    <row r="145" spans="1:37">
      <c r="A145" s="2208"/>
      <c r="B145" s="2208"/>
      <c r="C145" s="2208"/>
      <c r="D145" s="2208"/>
      <c r="E145" s="2208"/>
      <c r="F145" s="2208"/>
      <c r="G145" s="2208"/>
      <c r="H145" s="2208"/>
      <c r="I145" s="2208"/>
      <c r="J145" s="2208"/>
      <c r="K145" s="2208"/>
      <c r="L145" s="2208"/>
      <c r="M145" s="2208"/>
      <c r="N145" s="2208"/>
      <c r="O145" s="2208"/>
      <c r="P145" s="2208"/>
      <c r="Q145" s="2208"/>
      <c r="R145" s="2208"/>
      <c r="S145" s="2208"/>
      <c r="T145" s="2208"/>
      <c r="U145" s="2208"/>
      <c r="V145" s="2208"/>
      <c r="W145" s="2208"/>
      <c r="X145" s="2208"/>
      <c r="Y145" s="2208"/>
      <c r="Z145" s="2208"/>
      <c r="AA145" s="2208"/>
      <c r="AB145" s="2208"/>
      <c r="AC145" s="2208"/>
      <c r="AD145" s="2208"/>
      <c r="AE145" s="2208"/>
      <c r="AF145" s="2208"/>
      <c r="AG145" s="2208"/>
      <c r="AH145" s="2208"/>
      <c r="AI145" s="2208"/>
      <c r="AJ145" s="2208"/>
      <c r="AK145" s="2100"/>
    </row>
    <row r="146" spans="1:37">
      <c r="A146" s="2208"/>
      <c r="B146" s="2208"/>
      <c r="C146" s="2208"/>
      <c r="D146" s="2208"/>
      <c r="E146" s="2208"/>
      <c r="F146" s="2208"/>
      <c r="G146" s="2208"/>
      <c r="H146" s="2208"/>
      <c r="I146" s="2208"/>
      <c r="J146" s="2208"/>
      <c r="K146" s="2208"/>
      <c r="L146" s="2208"/>
      <c r="M146" s="2208"/>
      <c r="N146" s="2208"/>
      <c r="O146" s="2208"/>
      <c r="P146" s="2208"/>
      <c r="Q146" s="2208"/>
      <c r="R146" s="2208"/>
      <c r="S146" s="2208"/>
      <c r="T146" s="2208"/>
      <c r="U146" s="2208"/>
      <c r="V146" s="2208"/>
      <c r="W146" s="2208"/>
      <c r="X146" s="2208"/>
      <c r="Y146" s="2208"/>
      <c r="Z146" s="2208"/>
      <c r="AA146" s="2208"/>
      <c r="AB146" s="2208"/>
      <c r="AC146" s="2208"/>
      <c r="AD146" s="2208"/>
      <c r="AE146" s="2208"/>
      <c r="AF146" s="2208"/>
      <c r="AG146" s="2208"/>
      <c r="AH146" s="2208"/>
      <c r="AI146" s="2208"/>
      <c r="AJ146" s="2208"/>
      <c r="AK146" s="2100"/>
    </row>
    <row r="147" spans="1:37">
      <c r="A147" s="2208"/>
      <c r="B147" s="2208"/>
      <c r="C147" s="2208"/>
      <c r="D147" s="2208"/>
      <c r="E147" s="2208"/>
      <c r="F147" s="2208"/>
      <c r="G147" s="2208"/>
      <c r="H147" s="2208"/>
      <c r="I147" s="2208"/>
      <c r="J147" s="2208"/>
      <c r="K147" s="2208"/>
      <c r="L147" s="2208"/>
      <c r="M147" s="2208"/>
      <c r="N147" s="2208"/>
      <c r="O147" s="2208"/>
      <c r="P147" s="2208"/>
      <c r="Q147" s="2208"/>
      <c r="R147" s="2208"/>
      <c r="S147" s="2208"/>
      <c r="T147" s="2208"/>
      <c r="U147" s="2208"/>
      <c r="V147" s="2208"/>
      <c r="W147" s="2208"/>
      <c r="X147" s="2208"/>
      <c r="Y147" s="2208"/>
      <c r="Z147" s="2208"/>
      <c r="AA147" s="2208"/>
      <c r="AB147" s="2208"/>
      <c r="AC147" s="2208"/>
      <c r="AD147" s="2208"/>
      <c r="AE147" s="2208"/>
      <c r="AF147" s="2208"/>
      <c r="AG147" s="2208"/>
      <c r="AH147" s="2208"/>
      <c r="AI147" s="2208"/>
      <c r="AJ147" s="2208"/>
      <c r="AK147" s="2100"/>
    </row>
    <row r="148" spans="1:37">
      <c r="A148" s="2208"/>
      <c r="B148" s="2208"/>
      <c r="C148" s="2208"/>
      <c r="D148" s="2208"/>
      <c r="E148" s="2208"/>
      <c r="F148" s="2208"/>
      <c r="G148" s="2208"/>
      <c r="H148" s="2208"/>
      <c r="I148" s="2208"/>
      <c r="J148" s="2208"/>
      <c r="K148" s="2208"/>
      <c r="L148" s="2208"/>
      <c r="M148" s="2208"/>
      <c r="N148" s="2208"/>
      <c r="O148" s="2208"/>
      <c r="P148" s="2208"/>
      <c r="Q148" s="2208"/>
      <c r="R148" s="2208"/>
      <c r="S148" s="2208"/>
      <c r="T148" s="2208"/>
      <c r="U148" s="2208"/>
      <c r="V148" s="2208"/>
      <c r="W148" s="2208"/>
      <c r="X148" s="2208"/>
      <c r="Y148" s="2208"/>
      <c r="Z148" s="2208"/>
      <c r="AA148" s="2208"/>
      <c r="AB148" s="2208"/>
      <c r="AC148" s="2208"/>
      <c r="AD148" s="2208"/>
      <c r="AE148" s="2208"/>
      <c r="AF148" s="2208"/>
      <c r="AG148" s="2208"/>
      <c r="AH148" s="2208"/>
      <c r="AI148" s="2208"/>
      <c r="AJ148" s="2208"/>
      <c r="AK148" s="2100"/>
    </row>
    <row r="149" spans="1:37">
      <c r="A149" s="2208"/>
      <c r="B149" s="2208"/>
      <c r="C149" s="2208"/>
      <c r="D149" s="2208"/>
      <c r="E149" s="2208"/>
      <c r="F149" s="2208"/>
      <c r="G149" s="2208"/>
      <c r="H149" s="2208"/>
      <c r="I149" s="2208"/>
      <c r="J149" s="2208"/>
      <c r="K149" s="2208"/>
      <c r="L149" s="2208"/>
      <c r="M149" s="2208"/>
      <c r="N149" s="2208"/>
      <c r="O149" s="2208"/>
      <c r="P149" s="2208"/>
      <c r="Q149" s="2208"/>
      <c r="R149" s="2208"/>
      <c r="S149" s="2208"/>
      <c r="T149" s="2208"/>
      <c r="U149" s="2208"/>
      <c r="V149" s="2208"/>
      <c r="W149" s="2208"/>
      <c r="X149" s="2208"/>
      <c r="Y149" s="2208"/>
      <c r="Z149" s="2208"/>
      <c r="AA149" s="2208"/>
      <c r="AB149" s="2208"/>
      <c r="AC149" s="2208"/>
      <c r="AD149" s="2208"/>
      <c r="AE149" s="2208"/>
      <c r="AF149" s="2208"/>
      <c r="AG149" s="2208"/>
      <c r="AH149" s="2208"/>
      <c r="AI149" s="2208"/>
      <c r="AJ149" s="2208"/>
      <c r="AK149" s="2100"/>
    </row>
    <row r="150" spans="1:37">
      <c r="A150" s="2208"/>
      <c r="B150" s="2208"/>
      <c r="C150" s="2208"/>
      <c r="D150" s="2208"/>
      <c r="E150" s="2208"/>
      <c r="F150" s="2208"/>
      <c r="G150" s="2208"/>
      <c r="H150" s="2208"/>
      <c r="I150" s="2208"/>
      <c r="J150" s="2208"/>
      <c r="K150" s="2208"/>
      <c r="L150" s="2208"/>
      <c r="M150" s="2208"/>
      <c r="N150" s="2208"/>
      <c r="O150" s="2208"/>
      <c r="P150" s="2208"/>
      <c r="Q150" s="2208"/>
      <c r="R150" s="2208"/>
      <c r="S150" s="2208"/>
      <c r="T150" s="2208"/>
      <c r="U150" s="2208"/>
      <c r="V150" s="2208"/>
      <c r="W150" s="2208"/>
      <c r="X150" s="2208"/>
      <c r="Y150" s="2208"/>
      <c r="Z150" s="2208"/>
      <c r="AA150" s="2208"/>
      <c r="AB150" s="2208"/>
      <c r="AC150" s="2208"/>
      <c r="AD150" s="2208"/>
      <c r="AE150" s="2208"/>
      <c r="AF150" s="2208"/>
      <c r="AG150" s="2208"/>
      <c r="AH150" s="2208"/>
      <c r="AI150" s="2208"/>
      <c r="AJ150" s="2208"/>
      <c r="AK150" s="2100"/>
    </row>
    <row r="151" spans="1:37">
      <c r="A151" s="2208"/>
      <c r="B151" s="2208"/>
      <c r="C151" s="2208"/>
      <c r="D151" s="2208"/>
      <c r="E151" s="2208"/>
      <c r="F151" s="2208"/>
      <c r="G151" s="2208"/>
      <c r="H151" s="2208"/>
      <c r="I151" s="2208"/>
      <c r="J151" s="2208"/>
      <c r="K151" s="2208"/>
      <c r="L151" s="2208"/>
      <c r="M151" s="2208"/>
      <c r="N151" s="2208"/>
      <c r="O151" s="2208"/>
      <c r="P151" s="2208"/>
      <c r="Q151" s="2208"/>
      <c r="R151" s="2208"/>
      <c r="S151" s="2208"/>
      <c r="T151" s="2208"/>
      <c r="U151" s="2208"/>
      <c r="V151" s="2208"/>
      <c r="W151" s="2208"/>
      <c r="X151" s="2208"/>
      <c r="Y151" s="2208"/>
      <c r="Z151" s="2208"/>
      <c r="AA151" s="2208"/>
      <c r="AB151" s="2208"/>
      <c r="AC151" s="2208"/>
      <c r="AD151" s="2208"/>
      <c r="AE151" s="2208"/>
      <c r="AF151" s="2208"/>
      <c r="AG151" s="2208"/>
      <c r="AH151" s="2208"/>
      <c r="AI151" s="2208"/>
      <c r="AJ151" s="2208"/>
      <c r="AK151" s="2100"/>
    </row>
    <row r="152" spans="1:37">
      <c r="A152" s="2208"/>
      <c r="B152" s="2208"/>
      <c r="C152" s="2208"/>
      <c r="D152" s="2208"/>
      <c r="E152" s="2208"/>
      <c r="F152" s="2208"/>
      <c r="G152" s="2208"/>
      <c r="H152" s="2208"/>
      <c r="I152" s="2208"/>
      <c r="J152" s="2208"/>
      <c r="K152" s="2208"/>
      <c r="L152" s="2208"/>
      <c r="M152" s="2208"/>
      <c r="N152" s="2208"/>
      <c r="O152" s="2208"/>
      <c r="P152" s="2208"/>
      <c r="Q152" s="2208"/>
      <c r="R152" s="2208"/>
      <c r="S152" s="2208"/>
      <c r="T152" s="2208"/>
      <c r="U152" s="2208"/>
      <c r="V152" s="2208"/>
      <c r="W152" s="2208"/>
      <c r="X152" s="2208"/>
      <c r="Y152" s="2208"/>
      <c r="Z152" s="2208"/>
      <c r="AA152" s="2208"/>
      <c r="AB152" s="2208"/>
      <c r="AC152" s="2208"/>
      <c r="AD152" s="2208"/>
      <c r="AE152" s="2208"/>
      <c r="AF152" s="2208"/>
      <c r="AG152" s="2208"/>
      <c r="AH152" s="2208"/>
      <c r="AI152" s="2208"/>
      <c r="AJ152" s="2208"/>
      <c r="AK152" s="2100"/>
    </row>
    <row r="153" spans="1:37">
      <c r="A153" s="2208"/>
      <c r="B153" s="2208"/>
      <c r="C153" s="2208"/>
      <c r="D153" s="2208"/>
      <c r="E153" s="2208"/>
      <c r="F153" s="2208"/>
      <c r="G153" s="2208"/>
      <c r="H153" s="2208"/>
      <c r="I153" s="2208"/>
      <c r="J153" s="2208"/>
      <c r="K153" s="2208"/>
      <c r="L153" s="2208"/>
      <c r="M153" s="2208"/>
      <c r="N153" s="2208"/>
      <c r="O153" s="2208"/>
      <c r="P153" s="2208"/>
      <c r="Q153" s="2208"/>
      <c r="R153" s="2208"/>
      <c r="S153" s="2208"/>
      <c r="T153" s="2208"/>
      <c r="U153" s="2208"/>
      <c r="V153" s="2208"/>
      <c r="W153" s="2208"/>
      <c r="X153" s="2208"/>
      <c r="Y153" s="2208"/>
      <c r="Z153" s="2208"/>
      <c r="AA153" s="2208"/>
      <c r="AB153" s="2208"/>
      <c r="AC153" s="2208"/>
      <c r="AD153" s="2208"/>
      <c r="AE153" s="2208"/>
      <c r="AF153" s="2208"/>
      <c r="AG153" s="2208"/>
      <c r="AH153" s="2208"/>
      <c r="AI153" s="2208"/>
      <c r="AJ153" s="2208"/>
      <c r="AK153" s="2100"/>
    </row>
    <row r="154" spans="1:37">
      <c r="A154" s="2208"/>
      <c r="B154" s="2208"/>
      <c r="C154" s="2208"/>
      <c r="D154" s="2208"/>
      <c r="E154" s="2208"/>
      <c r="F154" s="2208"/>
      <c r="G154" s="2208"/>
      <c r="H154" s="2208"/>
      <c r="I154" s="2208"/>
      <c r="J154" s="2208"/>
      <c r="K154" s="2208"/>
      <c r="L154" s="2208"/>
      <c r="M154" s="2208"/>
      <c r="N154" s="2208"/>
      <c r="O154" s="2208"/>
      <c r="P154" s="2208"/>
      <c r="Q154" s="2208"/>
      <c r="R154" s="2208"/>
      <c r="S154" s="2208"/>
      <c r="T154" s="2208"/>
      <c r="U154" s="2208"/>
      <c r="V154" s="2208"/>
      <c r="W154" s="2208"/>
      <c r="X154" s="2208"/>
      <c r="Y154" s="2208"/>
      <c r="Z154" s="2208"/>
      <c r="AA154" s="2208"/>
      <c r="AB154" s="2208"/>
      <c r="AC154" s="2208"/>
      <c r="AD154" s="2208"/>
      <c r="AE154" s="2208"/>
      <c r="AF154" s="2208"/>
      <c r="AG154" s="2208"/>
      <c r="AH154" s="2208"/>
      <c r="AI154" s="2208"/>
      <c r="AJ154" s="2208"/>
      <c r="AK154" s="2100"/>
    </row>
    <row r="155" spans="1:37">
      <c r="A155" s="2208"/>
      <c r="B155" s="2208"/>
      <c r="C155" s="2208"/>
      <c r="D155" s="2208"/>
      <c r="E155" s="2208"/>
      <c r="F155" s="2208"/>
      <c r="G155" s="2208"/>
      <c r="H155" s="2208"/>
      <c r="I155" s="2208"/>
      <c r="J155" s="2208"/>
      <c r="K155" s="2208"/>
      <c r="L155" s="2208"/>
      <c r="M155" s="2208"/>
      <c r="N155" s="2208"/>
      <c r="O155" s="2208"/>
      <c r="P155" s="2208"/>
      <c r="Q155" s="2208"/>
      <c r="R155" s="2208"/>
      <c r="S155" s="2208"/>
      <c r="T155" s="2208"/>
      <c r="U155" s="2208"/>
      <c r="V155" s="2208"/>
      <c r="W155" s="2208"/>
      <c r="X155" s="2208"/>
      <c r="Y155" s="2208"/>
      <c r="Z155" s="2208"/>
      <c r="AA155" s="2208"/>
      <c r="AB155" s="2208"/>
      <c r="AC155" s="2208"/>
      <c r="AD155" s="2208"/>
      <c r="AE155" s="2208"/>
      <c r="AF155" s="2208"/>
      <c r="AG155" s="2208"/>
      <c r="AH155" s="2208"/>
      <c r="AI155" s="2208"/>
      <c r="AJ155" s="2208"/>
      <c r="AK155" s="2100"/>
    </row>
    <row r="156" spans="1:37">
      <c r="A156" s="2208"/>
      <c r="B156" s="2208"/>
      <c r="C156" s="2208"/>
      <c r="D156" s="2208"/>
      <c r="E156" s="2208"/>
      <c r="F156" s="2208"/>
      <c r="G156" s="2208"/>
      <c r="H156" s="2208"/>
      <c r="I156" s="2208"/>
      <c r="J156" s="2208"/>
      <c r="K156" s="2208"/>
      <c r="L156" s="2208"/>
      <c r="M156" s="2208"/>
      <c r="N156" s="2208"/>
      <c r="O156" s="2208"/>
      <c r="P156" s="2208"/>
      <c r="Q156" s="2208"/>
      <c r="R156" s="2208"/>
      <c r="S156" s="2208"/>
      <c r="T156" s="2208"/>
      <c r="U156" s="2208"/>
      <c r="V156" s="2208"/>
      <c r="W156" s="2208"/>
      <c r="X156" s="2208"/>
      <c r="Y156" s="2208"/>
      <c r="Z156" s="2208"/>
      <c r="AA156" s="2208"/>
      <c r="AB156" s="2208"/>
      <c r="AC156" s="2208"/>
      <c r="AD156" s="2208"/>
      <c r="AE156" s="2208"/>
      <c r="AF156" s="2208"/>
      <c r="AG156" s="2208"/>
      <c r="AH156" s="2208"/>
      <c r="AI156" s="2208"/>
      <c r="AJ156" s="2208"/>
      <c r="AK156" s="2100"/>
    </row>
    <row r="157" spans="1:37">
      <c r="A157" s="2208"/>
      <c r="B157" s="2208"/>
      <c r="C157" s="2208"/>
      <c r="D157" s="2208"/>
      <c r="E157" s="2208"/>
      <c r="F157" s="2208"/>
      <c r="G157" s="2208"/>
      <c r="H157" s="2208"/>
      <c r="I157" s="2208"/>
      <c r="J157" s="2208"/>
      <c r="K157" s="2208"/>
      <c r="L157" s="2208"/>
      <c r="M157" s="2208"/>
      <c r="N157" s="2208"/>
      <c r="O157" s="2208"/>
      <c r="P157" s="2208"/>
      <c r="Q157" s="2208"/>
      <c r="R157" s="2208"/>
      <c r="S157" s="2208"/>
      <c r="T157" s="2208"/>
      <c r="U157" s="2208"/>
      <c r="V157" s="2208"/>
      <c r="W157" s="2208"/>
      <c r="X157" s="2208"/>
      <c r="Y157" s="2208"/>
      <c r="Z157" s="2208"/>
      <c r="AA157" s="2208"/>
      <c r="AB157" s="2208"/>
      <c r="AC157" s="2208"/>
      <c r="AD157" s="2208"/>
      <c r="AE157" s="2208"/>
      <c r="AF157" s="2208"/>
      <c r="AG157" s="2208"/>
      <c r="AH157" s="2208"/>
      <c r="AI157" s="2208"/>
      <c r="AJ157" s="2208"/>
      <c r="AK157" s="2100"/>
    </row>
    <row r="158" spans="1:37">
      <c r="A158" s="2208"/>
      <c r="B158" s="2208"/>
      <c r="C158" s="2208"/>
      <c r="D158" s="2208"/>
      <c r="E158" s="2208"/>
      <c r="F158" s="2208"/>
      <c r="G158" s="2208"/>
      <c r="H158" s="2208"/>
      <c r="I158" s="2208"/>
      <c r="J158" s="2208"/>
      <c r="K158" s="2208"/>
      <c r="L158" s="2208"/>
      <c r="M158" s="2208"/>
      <c r="N158" s="2208"/>
      <c r="O158" s="2208"/>
      <c r="P158" s="2208"/>
      <c r="Q158" s="2208"/>
      <c r="R158" s="2208"/>
      <c r="S158" s="2208"/>
      <c r="T158" s="2208"/>
      <c r="U158" s="2208"/>
      <c r="V158" s="2208"/>
      <c r="W158" s="2208"/>
      <c r="X158" s="2208"/>
      <c r="Y158" s="2208"/>
      <c r="Z158" s="2208"/>
      <c r="AA158" s="2208"/>
      <c r="AB158" s="2208"/>
      <c r="AC158" s="2208"/>
      <c r="AD158" s="2208"/>
      <c r="AE158" s="2208"/>
      <c r="AF158" s="2208"/>
      <c r="AG158" s="2208"/>
      <c r="AH158" s="2208"/>
      <c r="AI158" s="2208"/>
      <c r="AJ158" s="2208"/>
      <c r="AK158" s="2100"/>
    </row>
    <row r="159" spans="1:37">
      <c r="A159" s="2208"/>
      <c r="B159" s="2208"/>
      <c r="C159" s="2208"/>
      <c r="D159" s="2208"/>
      <c r="E159" s="2208"/>
      <c r="F159" s="2208"/>
      <c r="G159" s="2208"/>
      <c r="H159" s="2208"/>
      <c r="I159" s="2208"/>
      <c r="J159" s="2208"/>
      <c r="K159" s="2208"/>
      <c r="L159" s="2208"/>
      <c r="M159" s="2208"/>
      <c r="N159" s="2208"/>
      <c r="O159" s="2208"/>
      <c r="P159" s="2208"/>
      <c r="Q159" s="2208"/>
      <c r="R159" s="2208"/>
      <c r="S159" s="2208"/>
      <c r="T159" s="2208"/>
      <c r="U159" s="2208"/>
      <c r="V159" s="2208"/>
      <c r="W159" s="2208"/>
      <c r="X159" s="2208"/>
      <c r="Y159" s="2208"/>
      <c r="Z159" s="2208"/>
      <c r="AA159" s="2208"/>
      <c r="AB159" s="2208"/>
      <c r="AC159" s="2208"/>
      <c r="AD159" s="2208"/>
      <c r="AE159" s="2208"/>
      <c r="AF159" s="2208"/>
      <c r="AG159" s="2208"/>
      <c r="AH159" s="2208"/>
      <c r="AI159" s="2208"/>
      <c r="AJ159" s="2208"/>
      <c r="AK159" s="2100"/>
    </row>
    <row r="160" spans="1:37">
      <c r="A160" s="2208"/>
      <c r="B160" s="2208"/>
      <c r="C160" s="2208"/>
      <c r="D160" s="2208"/>
      <c r="E160" s="2208"/>
      <c r="F160" s="2208"/>
      <c r="G160" s="2208"/>
      <c r="H160" s="2208"/>
      <c r="I160" s="2208"/>
      <c r="J160" s="2208"/>
      <c r="K160" s="2208"/>
      <c r="L160" s="2208"/>
      <c r="M160" s="2208"/>
      <c r="N160" s="2208"/>
      <c r="O160" s="2208"/>
      <c r="P160" s="2208"/>
      <c r="Q160" s="2208"/>
      <c r="R160" s="2208"/>
      <c r="S160" s="2208"/>
      <c r="T160" s="2208"/>
      <c r="U160" s="2208"/>
      <c r="V160" s="2208"/>
      <c r="W160" s="2208"/>
      <c r="X160" s="2208"/>
      <c r="Y160" s="2208"/>
      <c r="Z160" s="2208"/>
      <c r="AA160" s="2208"/>
      <c r="AB160" s="2208"/>
      <c r="AC160" s="2208"/>
      <c r="AD160" s="2208"/>
      <c r="AE160" s="2208"/>
      <c r="AF160" s="2208"/>
      <c r="AG160" s="2208"/>
      <c r="AH160" s="2208"/>
      <c r="AI160" s="2208"/>
      <c r="AJ160" s="2208"/>
      <c r="AK160" s="2100"/>
    </row>
    <row r="161" spans="1:37">
      <c r="A161" s="2208"/>
      <c r="B161" s="2208"/>
      <c r="C161" s="2208"/>
      <c r="D161" s="2208"/>
      <c r="E161" s="2208"/>
      <c r="F161" s="2208"/>
      <c r="G161" s="2208"/>
      <c r="H161" s="2208"/>
      <c r="I161" s="2208"/>
      <c r="J161" s="2208"/>
      <c r="K161" s="2208"/>
      <c r="L161" s="2208"/>
      <c r="M161" s="2208"/>
      <c r="N161" s="2208"/>
      <c r="O161" s="2208"/>
      <c r="P161" s="2208"/>
      <c r="Q161" s="2208"/>
      <c r="R161" s="2208"/>
      <c r="S161" s="2208"/>
      <c r="T161" s="2208"/>
      <c r="U161" s="2208"/>
      <c r="V161" s="2208"/>
      <c r="W161" s="2208"/>
      <c r="X161" s="2208"/>
      <c r="Y161" s="2208"/>
      <c r="Z161" s="2208"/>
      <c r="AA161" s="2208"/>
      <c r="AB161" s="2208"/>
      <c r="AC161" s="2208"/>
      <c r="AD161" s="2208"/>
      <c r="AE161" s="2208"/>
      <c r="AF161" s="2208"/>
      <c r="AG161" s="2208"/>
      <c r="AH161" s="2100"/>
      <c r="AI161" s="2100"/>
      <c r="AJ161" s="2100"/>
      <c r="AK161" s="2100"/>
    </row>
    <row r="162" spans="1:37">
      <c r="A162" s="2208"/>
      <c r="B162" s="2208"/>
      <c r="C162" s="2208"/>
      <c r="D162" s="2208"/>
      <c r="E162" s="2208"/>
      <c r="F162" s="2208"/>
      <c r="G162" s="2208"/>
      <c r="H162" s="2208"/>
      <c r="I162" s="2208"/>
      <c r="J162" s="2208"/>
      <c r="K162" s="2208"/>
      <c r="L162" s="2208"/>
      <c r="M162" s="2208"/>
      <c r="N162" s="2208"/>
      <c r="O162" s="2208"/>
      <c r="P162" s="2208"/>
      <c r="Q162" s="2208"/>
      <c r="R162" s="2208"/>
      <c r="S162" s="2208"/>
      <c r="T162" s="2208"/>
      <c r="U162" s="2208"/>
      <c r="V162" s="2208"/>
      <c r="W162" s="2208"/>
      <c r="X162" s="2208"/>
      <c r="Y162" s="2208"/>
      <c r="Z162" s="2208"/>
      <c r="AA162" s="2208"/>
      <c r="AB162" s="2208"/>
      <c r="AC162" s="2208"/>
      <c r="AD162" s="2208"/>
      <c r="AE162" s="2208"/>
      <c r="AF162" s="2208"/>
      <c r="AG162" s="2208"/>
      <c r="AH162" s="2100"/>
      <c r="AI162" s="2100"/>
      <c r="AJ162" s="2100"/>
      <c r="AK162" s="2100"/>
    </row>
    <row r="163" spans="1:37">
      <c r="A163" s="2208"/>
      <c r="B163" s="2208"/>
      <c r="C163" s="2208"/>
      <c r="D163" s="2208"/>
      <c r="E163" s="2208"/>
      <c r="F163" s="2208"/>
      <c r="G163" s="2208"/>
      <c r="H163" s="2208"/>
      <c r="I163" s="2208"/>
      <c r="J163" s="2208"/>
      <c r="K163" s="2208"/>
      <c r="L163" s="2208"/>
      <c r="M163" s="2208"/>
      <c r="N163" s="2208"/>
      <c r="O163" s="2208"/>
      <c r="P163" s="2208"/>
      <c r="Q163" s="2208"/>
      <c r="R163" s="2208"/>
      <c r="S163" s="2208"/>
      <c r="T163" s="2208"/>
      <c r="U163" s="2208"/>
      <c r="V163" s="2208"/>
      <c r="W163" s="2208"/>
      <c r="X163" s="2208"/>
      <c r="Y163" s="2208"/>
      <c r="Z163" s="2208"/>
      <c r="AA163" s="2208"/>
      <c r="AB163" s="2208"/>
      <c r="AC163" s="2208"/>
      <c r="AD163" s="2208"/>
      <c r="AE163" s="2208"/>
      <c r="AF163" s="2208"/>
      <c r="AG163" s="2208"/>
      <c r="AH163" s="2100"/>
      <c r="AI163" s="2100"/>
      <c r="AJ163" s="2100"/>
      <c r="AK163" s="2100"/>
    </row>
    <row r="164" spans="1:37">
      <c r="A164" s="2208"/>
      <c r="B164" s="2208"/>
      <c r="C164" s="2208"/>
      <c r="D164" s="2208"/>
      <c r="E164" s="2208"/>
      <c r="F164" s="2208"/>
      <c r="G164" s="2208"/>
      <c r="H164" s="2208"/>
      <c r="I164" s="2208"/>
      <c r="J164" s="2208"/>
      <c r="K164" s="2208"/>
      <c r="L164" s="2208"/>
      <c r="M164" s="2208"/>
      <c r="N164" s="2208"/>
      <c r="O164" s="2208"/>
      <c r="P164" s="2208"/>
      <c r="Q164" s="2208"/>
      <c r="R164" s="2208"/>
      <c r="S164" s="2208"/>
      <c r="T164" s="2208"/>
      <c r="U164" s="2208"/>
      <c r="V164" s="2208"/>
      <c r="W164" s="2208"/>
      <c r="X164" s="2208"/>
      <c r="Y164" s="2208"/>
      <c r="Z164" s="2208"/>
      <c r="AA164" s="2208"/>
      <c r="AB164" s="2208"/>
      <c r="AC164" s="2208"/>
      <c r="AD164" s="2208"/>
      <c r="AE164" s="2208"/>
      <c r="AF164" s="2208"/>
      <c r="AG164" s="2208"/>
      <c r="AH164" s="2100"/>
      <c r="AI164" s="2100"/>
      <c r="AJ164" s="2100"/>
      <c r="AK164" s="2100"/>
    </row>
    <row r="165" spans="1:37">
      <c r="A165" s="2208"/>
      <c r="B165" s="2208"/>
      <c r="C165" s="2208"/>
      <c r="D165" s="2208"/>
      <c r="E165" s="2208"/>
      <c r="F165" s="2208"/>
      <c r="G165" s="2208"/>
      <c r="H165" s="2208"/>
      <c r="I165" s="2208"/>
      <c r="J165" s="2208"/>
      <c r="K165" s="2208"/>
      <c r="L165" s="2208"/>
      <c r="M165" s="2208"/>
      <c r="N165" s="2208"/>
      <c r="O165" s="2208"/>
      <c r="P165" s="2208"/>
      <c r="Q165" s="2208"/>
      <c r="R165" s="2208"/>
      <c r="S165" s="2208"/>
      <c r="T165" s="2208"/>
      <c r="U165" s="2208"/>
      <c r="V165" s="2208"/>
      <c r="W165" s="2208"/>
      <c r="X165" s="2208"/>
      <c r="Y165" s="2208"/>
      <c r="Z165" s="2208"/>
      <c r="AA165" s="2208"/>
      <c r="AB165" s="2208"/>
      <c r="AC165" s="2208"/>
      <c r="AD165" s="2208"/>
      <c r="AE165" s="2208"/>
      <c r="AF165" s="2208"/>
      <c r="AG165" s="2208"/>
      <c r="AH165" s="2100"/>
      <c r="AI165" s="2100"/>
      <c r="AJ165" s="2100"/>
      <c r="AK165" s="2100"/>
    </row>
    <row r="166" spans="1:37">
      <c r="A166" s="2208"/>
      <c r="B166" s="2208"/>
      <c r="C166" s="2208"/>
      <c r="D166" s="2208"/>
      <c r="E166" s="2208"/>
      <c r="F166" s="2208"/>
      <c r="G166" s="2208"/>
      <c r="H166" s="2208"/>
      <c r="I166" s="2208"/>
      <c r="J166" s="2208"/>
      <c r="K166" s="2208"/>
      <c r="L166" s="2208"/>
      <c r="M166" s="2208"/>
      <c r="N166" s="2208"/>
      <c r="O166" s="2208"/>
      <c r="P166" s="2208"/>
      <c r="Q166" s="2208"/>
      <c r="R166" s="2208"/>
      <c r="S166" s="2208"/>
      <c r="T166" s="2208"/>
      <c r="U166" s="2208"/>
      <c r="V166" s="2208"/>
      <c r="W166" s="2208"/>
      <c r="X166" s="2208"/>
      <c r="Y166" s="2208"/>
      <c r="Z166" s="2208"/>
      <c r="AA166" s="2208"/>
      <c r="AB166" s="2208"/>
      <c r="AC166" s="2208"/>
      <c r="AD166" s="2208"/>
      <c r="AE166" s="2208"/>
      <c r="AF166" s="2208"/>
      <c r="AG166" s="2208"/>
      <c r="AH166" s="2100"/>
      <c r="AI166" s="2100"/>
      <c r="AJ166" s="2100"/>
      <c r="AK166" s="2100"/>
    </row>
    <row r="167" spans="1:37">
      <c r="A167" s="2208"/>
      <c r="B167" s="2208"/>
      <c r="C167" s="2208"/>
      <c r="D167" s="2208"/>
      <c r="E167" s="2208"/>
      <c r="F167" s="2208"/>
      <c r="G167" s="2208"/>
      <c r="H167" s="2208"/>
      <c r="I167" s="2208"/>
      <c r="J167" s="2208"/>
      <c r="K167" s="2208"/>
      <c r="L167" s="2208"/>
      <c r="M167" s="2208"/>
      <c r="N167" s="2208"/>
      <c r="O167" s="2208"/>
      <c r="P167" s="2208"/>
      <c r="Q167" s="2208"/>
      <c r="R167" s="2208"/>
      <c r="S167" s="2208"/>
      <c r="T167" s="2208"/>
      <c r="U167" s="2208"/>
      <c r="V167" s="2208"/>
      <c r="W167" s="2208"/>
      <c r="X167" s="2208"/>
      <c r="Y167" s="2208"/>
      <c r="Z167" s="2208"/>
      <c r="AA167" s="2208"/>
      <c r="AB167" s="2208"/>
      <c r="AC167" s="2208"/>
      <c r="AD167" s="2208"/>
      <c r="AE167" s="2208"/>
      <c r="AF167" s="2208"/>
      <c r="AG167" s="2208"/>
      <c r="AH167" s="2100"/>
      <c r="AI167" s="2100"/>
      <c r="AJ167" s="2100"/>
      <c r="AK167" s="2100"/>
    </row>
    <row r="168" spans="1:37">
      <c r="A168" s="2208"/>
      <c r="B168" s="2208"/>
      <c r="C168" s="2208"/>
      <c r="D168" s="2208"/>
      <c r="E168" s="2208"/>
      <c r="F168" s="2208"/>
      <c r="G168" s="2208"/>
      <c r="H168" s="2208"/>
      <c r="I168" s="2208"/>
      <c r="J168" s="2208"/>
      <c r="K168" s="2208"/>
      <c r="L168" s="2208"/>
      <c r="M168" s="2208"/>
      <c r="N168" s="2208"/>
      <c r="O168" s="2208"/>
      <c r="P168" s="2208"/>
      <c r="Q168" s="2208"/>
      <c r="R168" s="2208"/>
      <c r="S168" s="2208"/>
      <c r="T168" s="2208"/>
      <c r="U168" s="2208"/>
      <c r="V168" s="2208"/>
      <c r="W168" s="2208"/>
      <c r="X168" s="2208"/>
      <c r="Y168" s="2208"/>
      <c r="Z168" s="2208"/>
      <c r="AA168" s="2208"/>
      <c r="AB168" s="2208"/>
      <c r="AC168" s="2208"/>
      <c r="AD168" s="2208"/>
      <c r="AE168" s="2208"/>
      <c r="AF168" s="2208"/>
      <c r="AG168" s="2208"/>
      <c r="AH168" s="2100"/>
      <c r="AI168" s="2100"/>
      <c r="AJ168" s="2100"/>
      <c r="AK168" s="2100"/>
    </row>
    <row r="169" spans="1:37">
      <c r="A169" s="2208"/>
      <c r="B169" s="2208"/>
      <c r="C169" s="2208"/>
      <c r="D169" s="2208"/>
      <c r="E169" s="2208"/>
      <c r="F169" s="2208"/>
      <c r="G169" s="2208"/>
      <c r="H169" s="2208"/>
      <c r="I169" s="2208"/>
      <c r="J169" s="2208"/>
      <c r="K169" s="2208"/>
      <c r="L169" s="2208"/>
      <c r="M169" s="2208"/>
      <c r="N169" s="2208"/>
      <c r="O169" s="2208"/>
      <c r="P169" s="2208"/>
      <c r="Q169" s="2208"/>
      <c r="R169" s="2208"/>
      <c r="S169" s="2208"/>
      <c r="T169" s="2208"/>
      <c r="U169" s="2208"/>
      <c r="V169" s="2208"/>
      <c r="W169" s="2208"/>
      <c r="X169" s="2208"/>
      <c r="Y169" s="2208"/>
      <c r="Z169" s="2208"/>
      <c r="AA169" s="2208"/>
      <c r="AB169" s="2208"/>
      <c r="AC169" s="2208"/>
      <c r="AD169" s="2208"/>
      <c r="AE169" s="2208"/>
      <c r="AF169" s="2208"/>
      <c r="AG169" s="2208"/>
      <c r="AH169" s="2100"/>
      <c r="AI169" s="2100"/>
      <c r="AJ169" s="2100"/>
      <c r="AK169" s="2100"/>
    </row>
    <row r="170" spans="1:37">
      <c r="A170" s="2208"/>
      <c r="B170" s="2208"/>
      <c r="C170" s="2208"/>
      <c r="D170" s="2208"/>
      <c r="E170" s="2208"/>
      <c r="F170" s="2208"/>
      <c r="G170" s="2208"/>
      <c r="H170" s="2208"/>
      <c r="I170" s="2208"/>
      <c r="J170" s="2208"/>
      <c r="K170" s="2208"/>
      <c r="L170" s="2208"/>
      <c r="M170" s="2208"/>
      <c r="N170" s="2208"/>
      <c r="O170" s="2208"/>
      <c r="P170" s="2208"/>
      <c r="Q170" s="2208"/>
      <c r="R170" s="2208"/>
      <c r="S170" s="2208"/>
      <c r="T170" s="2208"/>
      <c r="U170" s="2208"/>
      <c r="V170" s="2208"/>
      <c r="W170" s="2208"/>
      <c r="X170" s="2208"/>
      <c r="Y170" s="2208"/>
      <c r="Z170" s="2208"/>
      <c r="AA170" s="2208"/>
      <c r="AB170" s="2208"/>
      <c r="AC170" s="2208"/>
      <c r="AD170" s="2208"/>
      <c r="AE170" s="2208"/>
      <c r="AF170" s="2208"/>
      <c r="AG170" s="2208"/>
      <c r="AH170" s="2100"/>
      <c r="AI170" s="2100"/>
      <c r="AJ170" s="2100"/>
      <c r="AK170" s="2100"/>
    </row>
    <row r="171" spans="1:37">
      <c r="A171" s="2208"/>
      <c r="B171" s="2208"/>
      <c r="C171" s="2208"/>
      <c r="D171" s="2208"/>
      <c r="E171" s="2208"/>
      <c r="F171" s="2208"/>
      <c r="G171" s="2208"/>
      <c r="H171" s="2208"/>
      <c r="I171" s="2208"/>
      <c r="J171" s="2208"/>
      <c r="K171" s="2208"/>
      <c r="L171" s="2208"/>
      <c r="M171" s="2208"/>
      <c r="N171" s="2208"/>
      <c r="O171" s="2208"/>
      <c r="P171" s="2208"/>
      <c r="Q171" s="2208"/>
      <c r="R171" s="2208"/>
      <c r="S171" s="2208"/>
      <c r="T171" s="2208"/>
      <c r="U171" s="2208"/>
      <c r="V171" s="2208"/>
      <c r="W171" s="2208"/>
      <c r="X171" s="2208"/>
      <c r="Y171" s="2208"/>
      <c r="Z171" s="2208"/>
      <c r="AA171" s="2208"/>
      <c r="AB171" s="2208"/>
      <c r="AC171" s="2208"/>
      <c r="AD171" s="2208"/>
      <c r="AE171" s="2208"/>
      <c r="AF171" s="2208"/>
      <c r="AG171" s="2208"/>
      <c r="AH171" s="2100"/>
      <c r="AI171" s="2100"/>
      <c r="AJ171" s="2100"/>
      <c r="AK171" s="2100"/>
    </row>
    <row r="172" spans="1:37">
      <c r="A172" s="2208"/>
      <c r="B172" s="2208"/>
      <c r="C172" s="2208"/>
      <c r="D172" s="2208"/>
      <c r="E172" s="2208"/>
      <c r="F172" s="2208"/>
      <c r="G172" s="2208"/>
      <c r="H172" s="2208"/>
      <c r="I172" s="2208"/>
      <c r="J172" s="2208"/>
      <c r="K172" s="2208"/>
      <c r="L172" s="2208"/>
      <c r="M172" s="2208"/>
      <c r="N172" s="2208"/>
      <c r="O172" s="2208"/>
      <c r="P172" s="2208"/>
      <c r="Q172" s="2208"/>
      <c r="R172" s="2208"/>
      <c r="S172" s="2208"/>
      <c r="T172" s="2208"/>
      <c r="U172" s="2208"/>
      <c r="V172" s="2208"/>
      <c r="W172" s="2208"/>
      <c r="X172" s="2208"/>
      <c r="Y172" s="2208"/>
      <c r="Z172" s="2208"/>
      <c r="AA172" s="2208"/>
      <c r="AB172" s="2208"/>
      <c r="AC172" s="2208"/>
      <c r="AD172" s="2208"/>
      <c r="AE172" s="2208"/>
      <c r="AF172" s="2208"/>
      <c r="AG172" s="2208"/>
      <c r="AH172" s="2100"/>
      <c r="AI172" s="2100"/>
      <c r="AJ172" s="2100"/>
      <c r="AK172" s="2100"/>
    </row>
    <row r="173" spans="1:37">
      <c r="A173" s="2208"/>
      <c r="B173" s="2208"/>
      <c r="C173" s="2208"/>
      <c r="D173" s="2208"/>
      <c r="E173" s="2208"/>
      <c r="F173" s="2208"/>
      <c r="G173" s="2208"/>
      <c r="H173" s="2208"/>
      <c r="I173" s="2208"/>
      <c r="J173" s="2208"/>
      <c r="K173" s="2208"/>
      <c r="L173" s="2208"/>
      <c r="M173" s="2208"/>
      <c r="N173" s="2208"/>
      <c r="O173" s="2208"/>
      <c r="P173" s="2208"/>
      <c r="Q173" s="2208"/>
      <c r="R173" s="2208"/>
      <c r="S173" s="2208"/>
      <c r="T173" s="2208"/>
      <c r="U173" s="2208"/>
      <c r="V173" s="2208"/>
      <c r="W173" s="2208"/>
      <c r="X173" s="2208"/>
      <c r="Y173" s="2208"/>
      <c r="Z173" s="2208"/>
      <c r="AA173" s="2208"/>
      <c r="AB173" s="2208"/>
      <c r="AC173" s="2208"/>
      <c r="AD173" s="2208"/>
      <c r="AE173" s="2208"/>
      <c r="AF173" s="2208"/>
      <c r="AG173" s="2208"/>
      <c r="AH173" s="2100"/>
      <c r="AI173" s="2100"/>
      <c r="AJ173" s="2100"/>
      <c r="AK173" s="2100"/>
    </row>
    <row r="174" spans="1:37">
      <c r="A174" s="2208"/>
      <c r="B174" s="2208"/>
      <c r="C174" s="2208"/>
      <c r="D174" s="2208"/>
      <c r="E174" s="2208"/>
      <c r="F174" s="2208"/>
      <c r="G174" s="2208"/>
      <c r="H174" s="2208"/>
      <c r="I174" s="2208"/>
      <c r="J174" s="2208"/>
      <c r="K174" s="2208"/>
      <c r="L174" s="2208"/>
      <c r="M174" s="2208"/>
      <c r="N174" s="2208"/>
      <c r="O174" s="2208"/>
      <c r="P174" s="2208"/>
      <c r="Q174" s="2208"/>
      <c r="R174" s="2208"/>
      <c r="S174" s="2208"/>
      <c r="T174" s="2208"/>
      <c r="U174" s="2208"/>
      <c r="V174" s="2208"/>
      <c r="W174" s="2208"/>
      <c r="X174" s="2208"/>
      <c r="Y174" s="2208"/>
      <c r="Z174" s="2208"/>
      <c r="AA174" s="2208"/>
      <c r="AB174" s="2208"/>
      <c r="AC174" s="2208"/>
      <c r="AD174" s="2208"/>
      <c r="AE174" s="2208"/>
      <c r="AF174" s="2208"/>
      <c r="AG174" s="2208"/>
      <c r="AH174" s="2100"/>
      <c r="AI174" s="2100"/>
      <c r="AJ174" s="2100"/>
      <c r="AK174" s="2100"/>
    </row>
    <row r="175" spans="1:37">
      <c r="A175" s="2208"/>
      <c r="B175" s="2208"/>
      <c r="C175" s="2208"/>
      <c r="D175" s="2208"/>
      <c r="E175" s="2208"/>
      <c r="F175" s="2208"/>
      <c r="G175" s="2208"/>
      <c r="H175" s="2208"/>
      <c r="I175" s="2208"/>
      <c r="J175" s="2208"/>
      <c r="K175" s="2208"/>
      <c r="L175" s="2208"/>
      <c r="M175" s="2208"/>
      <c r="N175" s="2208"/>
      <c r="O175" s="2208"/>
      <c r="P175" s="2208"/>
      <c r="Q175" s="2208"/>
      <c r="R175" s="2208"/>
      <c r="S175" s="2208"/>
      <c r="T175" s="2208"/>
      <c r="U175" s="2208"/>
      <c r="V175" s="2208"/>
      <c r="W175" s="2208"/>
      <c r="X175" s="2208"/>
      <c r="Y175" s="2208"/>
      <c r="Z175" s="2208"/>
      <c r="AA175" s="2208"/>
      <c r="AB175" s="2208"/>
      <c r="AC175" s="2208"/>
      <c r="AD175" s="2208"/>
      <c r="AE175" s="2208"/>
      <c r="AF175" s="2208"/>
      <c r="AG175" s="2208"/>
      <c r="AH175" s="2100"/>
      <c r="AI175" s="2100"/>
      <c r="AJ175" s="2100"/>
      <c r="AK175" s="2100"/>
    </row>
    <row r="176" spans="1:37">
      <c r="A176" s="2208"/>
      <c r="B176" s="2208"/>
      <c r="C176" s="2208"/>
      <c r="D176" s="2208"/>
      <c r="E176" s="2208"/>
      <c r="F176" s="2208"/>
      <c r="G176" s="2208"/>
      <c r="H176" s="2208"/>
      <c r="I176" s="2208"/>
      <c r="J176" s="2208"/>
      <c r="K176" s="2208"/>
      <c r="L176" s="2208"/>
      <c r="M176" s="2208"/>
      <c r="N176" s="2208"/>
      <c r="O176" s="2208"/>
      <c r="P176" s="2208"/>
      <c r="Q176" s="2208"/>
      <c r="R176" s="2208"/>
      <c r="S176" s="2208"/>
      <c r="T176" s="2208"/>
      <c r="U176" s="2208"/>
      <c r="V176" s="2208"/>
      <c r="W176" s="2208"/>
      <c r="X176" s="2208"/>
      <c r="Y176" s="2208"/>
      <c r="Z176" s="2208"/>
      <c r="AA176" s="2208"/>
      <c r="AB176" s="2208"/>
      <c r="AC176" s="2208"/>
      <c r="AD176" s="2208"/>
      <c r="AE176" s="2208"/>
      <c r="AF176" s="2208"/>
      <c r="AG176" s="2208"/>
      <c r="AH176" s="2100"/>
      <c r="AI176" s="2100"/>
      <c r="AJ176" s="2100"/>
      <c r="AK176" s="2100"/>
    </row>
    <row r="177" spans="1:37">
      <c r="A177" s="2208"/>
      <c r="B177" s="2208"/>
      <c r="C177" s="2208"/>
      <c r="D177" s="2208"/>
      <c r="E177" s="2208"/>
      <c r="F177" s="2208"/>
      <c r="G177" s="2208"/>
      <c r="H177" s="2208"/>
      <c r="I177" s="2208"/>
      <c r="J177" s="2208"/>
      <c r="K177" s="2208"/>
      <c r="L177" s="2208"/>
      <c r="M177" s="2208"/>
      <c r="N177" s="2208"/>
      <c r="O177" s="2208"/>
      <c r="P177" s="2208"/>
      <c r="Q177" s="2208"/>
      <c r="R177" s="2208"/>
      <c r="S177" s="2208"/>
      <c r="T177" s="2208"/>
      <c r="U177" s="2208"/>
      <c r="V177" s="2208"/>
      <c r="W177" s="2208"/>
      <c r="X177" s="2208"/>
      <c r="Y177" s="2208"/>
      <c r="Z177" s="2208"/>
      <c r="AA177" s="2208"/>
      <c r="AB177" s="2208"/>
      <c r="AC177" s="2208"/>
      <c r="AD177" s="2208"/>
      <c r="AE177" s="2208"/>
      <c r="AF177" s="2208"/>
      <c r="AG177" s="2208"/>
      <c r="AH177" s="2100"/>
      <c r="AI177" s="2100"/>
      <c r="AJ177" s="2100"/>
      <c r="AK177" s="2100"/>
    </row>
    <row r="178" spans="1:37">
      <c r="A178" s="2208"/>
      <c r="B178" s="2208"/>
      <c r="C178" s="2208"/>
      <c r="D178" s="2208"/>
      <c r="E178" s="2208"/>
      <c r="F178" s="2208"/>
      <c r="G178" s="2208"/>
      <c r="H178" s="2208"/>
      <c r="I178" s="2208"/>
      <c r="J178" s="2208"/>
      <c r="K178" s="2208"/>
      <c r="L178" s="2208"/>
      <c r="M178" s="2208"/>
      <c r="N178" s="2208"/>
      <c r="O178" s="2208"/>
      <c r="P178" s="2208"/>
      <c r="Q178" s="2208"/>
      <c r="R178" s="2208"/>
      <c r="S178" s="2208"/>
      <c r="T178" s="2208"/>
      <c r="U178" s="2208"/>
      <c r="V178" s="2208"/>
      <c r="W178" s="2208"/>
      <c r="X178" s="2208"/>
      <c r="Y178" s="2208"/>
      <c r="Z178" s="2208"/>
      <c r="AA178" s="2208"/>
      <c r="AB178" s="2208"/>
      <c r="AC178" s="2208"/>
      <c r="AD178" s="2208"/>
      <c r="AE178" s="2208"/>
      <c r="AF178" s="2208"/>
      <c r="AG178" s="2208"/>
      <c r="AH178" s="2100"/>
      <c r="AI178" s="2100"/>
      <c r="AJ178" s="2100"/>
      <c r="AK178" s="2100"/>
    </row>
    <row r="179" spans="1:37">
      <c r="A179" s="2208"/>
      <c r="B179" s="2208"/>
      <c r="C179" s="2208"/>
      <c r="D179" s="2208"/>
      <c r="E179" s="2208"/>
      <c r="F179" s="2208"/>
      <c r="G179" s="2208"/>
      <c r="H179" s="2208"/>
      <c r="I179" s="2208"/>
      <c r="J179" s="2208"/>
      <c r="K179" s="2208"/>
      <c r="L179" s="2208"/>
      <c r="M179" s="2208"/>
      <c r="N179" s="2208"/>
      <c r="O179" s="2208"/>
      <c r="P179" s="2208"/>
      <c r="Q179" s="2208"/>
      <c r="R179" s="2208"/>
      <c r="S179" s="2208"/>
      <c r="T179" s="2208"/>
      <c r="U179" s="2208"/>
      <c r="V179" s="2208"/>
      <c r="W179" s="2208"/>
      <c r="X179" s="2208"/>
      <c r="Y179" s="2208"/>
      <c r="Z179" s="2208"/>
      <c r="AA179" s="2208"/>
      <c r="AB179" s="2208"/>
      <c r="AC179" s="2208"/>
      <c r="AD179" s="2208"/>
      <c r="AE179" s="2208"/>
      <c r="AF179" s="2208"/>
      <c r="AG179" s="2208"/>
      <c r="AH179" s="2100"/>
      <c r="AI179" s="2100"/>
      <c r="AJ179" s="2100"/>
      <c r="AK179" s="2100"/>
    </row>
    <row r="180" spans="1:37">
      <c r="A180" s="2208"/>
      <c r="B180" s="2208"/>
      <c r="C180" s="2208"/>
      <c r="D180" s="2208"/>
      <c r="E180" s="2208"/>
      <c r="F180" s="2208"/>
      <c r="G180" s="2208"/>
      <c r="H180" s="2208"/>
      <c r="I180" s="2208"/>
      <c r="J180" s="2208"/>
      <c r="K180" s="2208"/>
      <c r="L180" s="2208"/>
      <c r="M180" s="2208"/>
      <c r="N180" s="2208"/>
      <c r="O180" s="2208"/>
      <c r="P180" s="2208"/>
      <c r="Q180" s="2208"/>
      <c r="R180" s="2208"/>
      <c r="S180" s="2208"/>
      <c r="T180" s="2208"/>
      <c r="U180" s="2208"/>
      <c r="V180" s="2208"/>
      <c r="W180" s="2208"/>
      <c r="X180" s="2208"/>
      <c r="Y180" s="2208"/>
      <c r="Z180" s="2208"/>
      <c r="AA180" s="2208"/>
      <c r="AB180" s="2208"/>
      <c r="AC180" s="2208"/>
      <c r="AD180" s="2208"/>
      <c r="AE180" s="2208"/>
      <c r="AF180" s="2208"/>
      <c r="AG180" s="2208"/>
      <c r="AH180" s="2100"/>
      <c r="AI180" s="2100"/>
      <c r="AJ180" s="2100"/>
      <c r="AK180" s="2100"/>
    </row>
    <row r="181" spans="1:37">
      <c r="A181" s="2208"/>
      <c r="B181" s="2208"/>
      <c r="C181" s="2208"/>
      <c r="D181" s="2208"/>
      <c r="E181" s="2208"/>
      <c r="F181" s="2208"/>
      <c r="G181" s="2208"/>
      <c r="H181" s="2208"/>
      <c r="I181" s="2208"/>
      <c r="J181" s="2208"/>
      <c r="K181" s="2208"/>
      <c r="L181" s="2208"/>
      <c r="M181" s="2208"/>
      <c r="N181" s="2208"/>
      <c r="O181" s="2208"/>
      <c r="P181" s="2208"/>
      <c r="Q181" s="2208"/>
      <c r="R181" s="2208"/>
      <c r="S181" s="2208"/>
      <c r="T181" s="2208"/>
      <c r="U181" s="2208"/>
      <c r="V181" s="2208"/>
      <c r="W181" s="2208"/>
      <c r="X181" s="2208"/>
      <c r="Y181" s="2208"/>
      <c r="Z181" s="2208"/>
      <c r="AA181" s="2208"/>
      <c r="AB181" s="2208"/>
      <c r="AC181" s="2208"/>
      <c r="AD181" s="2208"/>
      <c r="AE181" s="2208"/>
      <c r="AF181" s="2208"/>
      <c r="AG181" s="2208"/>
      <c r="AH181" s="2100"/>
      <c r="AI181" s="2100"/>
      <c r="AJ181" s="2100"/>
      <c r="AK181" s="2100"/>
    </row>
    <row r="182" spans="1:37">
      <c r="A182" s="2208"/>
      <c r="B182" s="2208"/>
      <c r="C182" s="2208"/>
      <c r="D182" s="2208"/>
      <c r="E182" s="2208"/>
      <c r="F182" s="2208"/>
      <c r="G182" s="2208"/>
      <c r="H182" s="2208"/>
      <c r="I182" s="2208"/>
      <c r="J182" s="2208"/>
      <c r="K182" s="2208"/>
      <c r="L182" s="2208"/>
      <c r="M182" s="2208"/>
      <c r="N182" s="2208"/>
      <c r="O182" s="2208"/>
      <c r="P182" s="2208"/>
      <c r="Q182" s="2208"/>
      <c r="R182" s="2208"/>
      <c r="S182" s="2208"/>
      <c r="T182" s="2208"/>
      <c r="U182" s="2208"/>
      <c r="V182" s="2208"/>
      <c r="W182" s="2208"/>
      <c r="X182" s="2208"/>
      <c r="Y182" s="2208"/>
      <c r="Z182" s="2208"/>
      <c r="AA182" s="2208"/>
      <c r="AB182" s="2208"/>
      <c r="AC182" s="2208"/>
      <c r="AD182" s="2208"/>
      <c r="AE182" s="2208"/>
      <c r="AF182" s="2208"/>
      <c r="AG182" s="2208"/>
      <c r="AH182" s="2100"/>
      <c r="AI182" s="2100"/>
      <c r="AJ182" s="2100"/>
      <c r="AK182" s="2100"/>
    </row>
    <row r="183" spans="1:37">
      <c r="A183" s="2208"/>
      <c r="B183" s="2208"/>
      <c r="C183" s="2208"/>
      <c r="D183" s="2208"/>
      <c r="E183" s="2208"/>
      <c r="F183" s="2208"/>
      <c r="G183" s="2208"/>
      <c r="H183" s="2208"/>
      <c r="I183" s="2208"/>
      <c r="J183" s="2208"/>
      <c r="K183" s="2208"/>
      <c r="L183" s="2208"/>
      <c r="M183" s="2208"/>
      <c r="N183" s="2208"/>
      <c r="O183" s="2208"/>
      <c r="P183" s="2208"/>
      <c r="Q183" s="2208"/>
      <c r="R183" s="2208"/>
      <c r="S183" s="2208"/>
      <c r="T183" s="2208"/>
      <c r="U183" s="2208"/>
      <c r="V183" s="2208"/>
      <c r="W183" s="2208"/>
      <c r="X183" s="2208"/>
      <c r="Y183" s="2208"/>
      <c r="Z183" s="2208"/>
      <c r="AA183" s="2208"/>
      <c r="AB183" s="2208"/>
      <c r="AC183" s="2208"/>
      <c r="AD183" s="2208"/>
      <c r="AE183" s="2208"/>
      <c r="AF183" s="2208"/>
      <c r="AG183" s="2208"/>
      <c r="AH183" s="2100"/>
      <c r="AI183" s="2100"/>
      <c r="AJ183" s="2100"/>
      <c r="AK183" s="2100"/>
    </row>
    <row r="184" spans="1:37">
      <c r="A184" s="2208"/>
      <c r="B184" s="2208"/>
      <c r="C184" s="2208"/>
      <c r="D184" s="2208"/>
      <c r="E184" s="2208"/>
      <c r="F184" s="2208"/>
      <c r="G184" s="2208"/>
      <c r="H184" s="2208"/>
      <c r="I184" s="2208"/>
      <c r="J184" s="2208"/>
      <c r="K184" s="2208"/>
      <c r="L184" s="2208"/>
      <c r="M184" s="2208"/>
      <c r="N184" s="2208"/>
      <c r="O184" s="2208"/>
      <c r="P184" s="2208"/>
      <c r="Q184" s="2208"/>
      <c r="R184" s="2208"/>
      <c r="S184" s="2208"/>
      <c r="T184" s="2208"/>
      <c r="U184" s="2208"/>
      <c r="V184" s="2208"/>
      <c r="W184" s="2208"/>
      <c r="X184" s="2208"/>
      <c r="Y184" s="2208"/>
      <c r="Z184" s="2208"/>
      <c r="AA184" s="2208"/>
      <c r="AB184" s="2208"/>
      <c r="AC184" s="2208"/>
      <c r="AD184" s="2208"/>
      <c r="AE184" s="2208"/>
      <c r="AF184" s="2208"/>
      <c r="AG184" s="2208"/>
      <c r="AH184" s="2100"/>
      <c r="AI184" s="2100"/>
      <c r="AJ184" s="2100"/>
      <c r="AK184" s="2100"/>
    </row>
    <row r="185" spans="1:37">
      <c r="A185" s="2208"/>
      <c r="B185" s="2208"/>
      <c r="C185" s="2208"/>
      <c r="D185" s="2208"/>
      <c r="E185" s="2208"/>
      <c r="F185" s="2208"/>
      <c r="G185" s="2208"/>
      <c r="H185" s="2208"/>
      <c r="I185" s="2208"/>
      <c r="J185" s="2208"/>
      <c r="K185" s="2208"/>
      <c r="L185" s="2208"/>
      <c r="M185" s="2208"/>
      <c r="N185" s="2208"/>
      <c r="O185" s="2208"/>
      <c r="P185" s="2208"/>
      <c r="Q185" s="2208"/>
      <c r="R185" s="2208"/>
      <c r="S185" s="2208"/>
      <c r="T185" s="2208"/>
      <c r="U185" s="2208"/>
      <c r="V185" s="2208"/>
      <c r="W185" s="2208"/>
      <c r="X185" s="2208"/>
      <c r="Y185" s="2208"/>
      <c r="Z185" s="2208"/>
      <c r="AA185" s="2208"/>
      <c r="AB185" s="2208"/>
      <c r="AC185" s="2208"/>
      <c r="AD185" s="2208"/>
      <c r="AE185" s="2208"/>
      <c r="AF185" s="2208"/>
      <c r="AG185" s="2208"/>
      <c r="AH185" s="2100"/>
      <c r="AI185" s="2100"/>
      <c r="AJ185" s="2100"/>
      <c r="AK185" s="2100"/>
    </row>
    <row r="186" spans="1:37">
      <c r="A186" s="2208"/>
      <c r="B186" s="2208"/>
      <c r="C186" s="2208"/>
      <c r="D186" s="2208"/>
      <c r="E186" s="2208"/>
      <c r="F186" s="2208"/>
      <c r="G186" s="2208"/>
      <c r="H186" s="2208"/>
      <c r="I186" s="2208"/>
      <c r="J186" s="2208"/>
      <c r="K186" s="2208"/>
      <c r="L186" s="2208"/>
      <c r="M186" s="2208"/>
      <c r="N186" s="2208"/>
      <c r="O186" s="2208"/>
      <c r="P186" s="2208"/>
      <c r="Q186" s="2208"/>
      <c r="R186" s="2208"/>
      <c r="S186" s="2208"/>
      <c r="T186" s="2208"/>
      <c r="U186" s="2208"/>
      <c r="V186" s="2208"/>
      <c r="W186" s="2208"/>
      <c r="X186" s="2208"/>
      <c r="Y186" s="2208"/>
      <c r="Z186" s="2208"/>
      <c r="AA186" s="2208"/>
      <c r="AB186" s="2208"/>
      <c r="AC186" s="2208"/>
      <c r="AD186" s="2208"/>
      <c r="AE186" s="2208"/>
      <c r="AF186" s="2208"/>
      <c r="AG186" s="2208"/>
      <c r="AH186" s="2100"/>
      <c r="AI186" s="2100"/>
      <c r="AJ186" s="2100"/>
      <c r="AK186" s="2100"/>
    </row>
    <row r="187" spans="1:37">
      <c r="A187" s="2208"/>
      <c r="B187" s="2208"/>
      <c r="C187" s="2208"/>
      <c r="D187" s="2208"/>
      <c r="E187" s="2208"/>
      <c r="F187" s="2208"/>
      <c r="G187" s="2208"/>
      <c r="H187" s="2208"/>
      <c r="I187" s="2208"/>
      <c r="J187" s="2208"/>
      <c r="K187" s="2208"/>
      <c r="L187" s="2208"/>
      <c r="M187" s="2208"/>
      <c r="N187" s="2208"/>
      <c r="O187" s="2208"/>
      <c r="P187" s="2208"/>
      <c r="Q187" s="2208"/>
      <c r="R187" s="2208"/>
      <c r="S187" s="2208"/>
      <c r="T187" s="2208"/>
      <c r="U187" s="2208"/>
      <c r="V187" s="2208"/>
      <c r="W187" s="2208"/>
      <c r="X187" s="2208"/>
      <c r="Y187" s="2208"/>
      <c r="Z187" s="2208"/>
      <c r="AA187" s="2208"/>
      <c r="AB187" s="2208"/>
      <c r="AC187" s="2208"/>
      <c r="AD187" s="2208"/>
      <c r="AE187" s="2208"/>
      <c r="AF187" s="2208"/>
      <c r="AG187" s="2208"/>
      <c r="AH187" s="2100"/>
      <c r="AI187" s="2100"/>
      <c r="AJ187" s="2100"/>
      <c r="AK187" s="2100"/>
    </row>
    <row r="188" spans="1:37">
      <c r="A188" s="2208"/>
      <c r="B188" s="2208"/>
      <c r="C188" s="2208"/>
      <c r="D188" s="2208"/>
      <c r="E188" s="2208"/>
      <c r="F188" s="2208"/>
      <c r="G188" s="2208"/>
      <c r="H188" s="2208"/>
      <c r="I188" s="2208"/>
      <c r="J188" s="2208"/>
      <c r="K188" s="2208"/>
      <c r="L188" s="2208"/>
      <c r="M188" s="2208"/>
      <c r="N188" s="2208"/>
      <c r="O188" s="2208"/>
      <c r="P188" s="2208"/>
      <c r="Q188" s="2208"/>
      <c r="R188" s="2208"/>
      <c r="S188" s="2208"/>
      <c r="T188" s="2208"/>
      <c r="U188" s="2208"/>
      <c r="V188" s="2208"/>
      <c r="W188" s="2208"/>
      <c r="X188" s="2208"/>
      <c r="Y188" s="2208"/>
      <c r="Z188" s="2208"/>
      <c r="AA188" s="2208"/>
      <c r="AB188" s="2208"/>
      <c r="AC188" s="2208"/>
      <c r="AD188" s="2208"/>
      <c r="AE188" s="2208"/>
      <c r="AF188" s="2208"/>
      <c r="AG188" s="2208"/>
      <c r="AH188" s="2100"/>
      <c r="AI188" s="2100"/>
      <c r="AJ188" s="2100"/>
      <c r="AK188" s="2100"/>
    </row>
    <row r="189" spans="1:37">
      <c r="A189" s="2208"/>
      <c r="B189" s="2208"/>
      <c r="C189" s="2208"/>
      <c r="D189" s="2208"/>
      <c r="E189" s="2208"/>
      <c r="F189" s="2208"/>
      <c r="G189" s="2208"/>
      <c r="H189" s="2208"/>
      <c r="I189" s="2208"/>
      <c r="J189" s="2208"/>
      <c r="K189" s="2208"/>
      <c r="L189" s="2208"/>
      <c r="M189" s="2208"/>
      <c r="N189" s="2208"/>
      <c r="O189" s="2208"/>
      <c r="P189" s="2208"/>
      <c r="Q189" s="2208"/>
      <c r="R189" s="2208"/>
      <c r="S189" s="2208"/>
      <c r="T189" s="2208"/>
      <c r="U189" s="2208"/>
      <c r="V189" s="2208"/>
      <c r="W189" s="2208"/>
      <c r="X189" s="2208"/>
      <c r="Y189" s="2208"/>
      <c r="Z189" s="2208"/>
      <c r="AA189" s="2208"/>
      <c r="AB189" s="2208"/>
      <c r="AC189" s="2208"/>
      <c r="AD189" s="2208"/>
      <c r="AE189" s="2208"/>
      <c r="AF189" s="2208"/>
      <c r="AG189" s="2208"/>
      <c r="AH189" s="2100"/>
      <c r="AI189" s="2100"/>
      <c r="AJ189" s="2100"/>
      <c r="AK189" s="2100"/>
    </row>
    <row r="190" spans="1:37">
      <c r="A190" s="2208"/>
      <c r="B190" s="2208"/>
      <c r="C190" s="2208"/>
      <c r="D190" s="2208"/>
      <c r="E190" s="2208"/>
      <c r="F190" s="2208"/>
      <c r="G190" s="2208"/>
      <c r="H190" s="2208"/>
      <c r="I190" s="2208"/>
      <c r="J190" s="2208"/>
      <c r="K190" s="2208"/>
      <c r="L190" s="2208"/>
      <c r="M190" s="2208"/>
      <c r="N190" s="2208"/>
      <c r="O190" s="2208"/>
      <c r="P190" s="2208"/>
      <c r="Q190" s="2208"/>
      <c r="R190" s="2208"/>
      <c r="S190" s="2208"/>
      <c r="T190" s="2208"/>
      <c r="U190" s="2208"/>
      <c r="V190" s="2208"/>
      <c r="W190" s="2208"/>
      <c r="X190" s="2208"/>
      <c r="Y190" s="2208"/>
      <c r="Z190" s="2208"/>
      <c r="AA190" s="2208"/>
      <c r="AB190" s="2208"/>
      <c r="AC190" s="2208"/>
      <c r="AD190" s="2208"/>
      <c r="AE190" s="2208"/>
      <c r="AF190" s="2208"/>
      <c r="AG190" s="2208"/>
      <c r="AH190" s="2100"/>
      <c r="AI190" s="2100"/>
      <c r="AJ190" s="2100"/>
      <c r="AK190" s="2100"/>
    </row>
    <row r="191" spans="1:37">
      <c r="A191" s="2208"/>
      <c r="B191" s="2208"/>
      <c r="C191" s="2208"/>
      <c r="D191" s="2208"/>
      <c r="E191" s="2208"/>
      <c r="F191" s="2208"/>
      <c r="G191" s="2208"/>
      <c r="H191" s="2208"/>
      <c r="I191" s="2208"/>
      <c r="J191" s="2208"/>
      <c r="K191" s="2208"/>
      <c r="L191" s="2208"/>
      <c r="M191" s="2208"/>
      <c r="N191" s="2208"/>
      <c r="O191" s="2208"/>
      <c r="P191" s="2208"/>
      <c r="Q191" s="2208"/>
      <c r="R191" s="2208"/>
      <c r="S191" s="2208"/>
      <c r="T191" s="2208"/>
      <c r="U191" s="2208"/>
      <c r="V191" s="2208"/>
      <c r="W191" s="2208"/>
      <c r="X191" s="2208"/>
      <c r="Y191" s="2208"/>
      <c r="Z191" s="2208"/>
      <c r="AA191" s="2208"/>
      <c r="AB191" s="2208"/>
      <c r="AC191" s="2208"/>
      <c r="AD191" s="2208"/>
      <c r="AE191" s="2208"/>
      <c r="AF191" s="2208"/>
      <c r="AG191" s="2208"/>
      <c r="AH191" s="2100"/>
      <c r="AI191" s="2100"/>
      <c r="AJ191" s="2100"/>
      <c r="AK191" s="2100"/>
    </row>
    <row r="192" spans="1:37">
      <c r="A192" s="2208"/>
      <c r="B192" s="2208"/>
      <c r="C192" s="2208"/>
      <c r="D192" s="2208"/>
      <c r="E192" s="2208"/>
      <c r="F192" s="2208"/>
      <c r="G192" s="2208"/>
      <c r="H192" s="2208"/>
      <c r="I192" s="2208"/>
      <c r="J192" s="2208"/>
      <c r="K192" s="2208"/>
      <c r="L192" s="2208"/>
      <c r="M192" s="2208"/>
      <c r="N192" s="2208"/>
      <c r="O192" s="2208"/>
      <c r="P192" s="2208"/>
      <c r="Q192" s="2208"/>
      <c r="R192" s="2208"/>
      <c r="S192" s="2208"/>
      <c r="T192" s="2208"/>
      <c r="U192" s="2208"/>
      <c r="V192" s="2208"/>
      <c r="W192" s="2208"/>
      <c r="X192" s="2208"/>
      <c r="Y192" s="2208"/>
      <c r="Z192" s="2208"/>
      <c r="AA192" s="2208"/>
      <c r="AB192" s="2208"/>
      <c r="AC192" s="2208"/>
      <c r="AD192" s="2208"/>
      <c r="AE192" s="2208"/>
      <c r="AF192" s="2208"/>
      <c r="AG192" s="2208"/>
      <c r="AH192" s="2100"/>
      <c r="AI192" s="2100"/>
      <c r="AJ192" s="2100"/>
      <c r="AK192" s="2100"/>
    </row>
    <row r="193" spans="1:37">
      <c r="A193" s="2208"/>
      <c r="B193" s="2208"/>
      <c r="C193" s="2208"/>
      <c r="D193" s="2208"/>
      <c r="E193" s="2208"/>
      <c r="F193" s="2208"/>
      <c r="G193" s="2208"/>
      <c r="H193" s="2208"/>
      <c r="I193" s="2208"/>
      <c r="J193" s="2208"/>
      <c r="K193" s="2208"/>
      <c r="L193" s="2208"/>
      <c r="M193" s="2208"/>
      <c r="N193" s="2208"/>
      <c r="O193" s="2208"/>
      <c r="P193" s="2208"/>
      <c r="Q193" s="2208"/>
      <c r="R193" s="2208"/>
      <c r="S193" s="2208"/>
      <c r="T193" s="2208"/>
      <c r="U193" s="2208"/>
      <c r="V193" s="2208"/>
      <c r="W193" s="2208"/>
      <c r="X193" s="2208"/>
      <c r="Y193" s="2208"/>
      <c r="Z193" s="2208"/>
      <c r="AA193" s="2208"/>
      <c r="AB193" s="2208"/>
      <c r="AC193" s="2208"/>
      <c r="AD193" s="2208"/>
      <c r="AE193" s="2208"/>
      <c r="AF193" s="2208"/>
      <c r="AG193" s="2208"/>
      <c r="AH193" s="2100"/>
      <c r="AI193" s="2100"/>
      <c r="AJ193" s="2100"/>
      <c r="AK193" s="2100"/>
    </row>
    <row r="194" spans="1:37">
      <c r="A194" s="2208"/>
      <c r="B194" s="2208"/>
      <c r="C194" s="2208"/>
      <c r="D194" s="2208"/>
      <c r="E194" s="2208"/>
      <c r="F194" s="2208"/>
      <c r="G194" s="2208"/>
      <c r="H194" s="2208"/>
      <c r="I194" s="2208"/>
      <c r="J194" s="2208"/>
      <c r="K194" s="2208"/>
      <c r="L194" s="2208"/>
      <c r="M194" s="2208"/>
      <c r="N194" s="2208"/>
      <c r="O194" s="2208"/>
      <c r="P194" s="2208"/>
      <c r="Q194" s="2208"/>
      <c r="R194" s="2208"/>
      <c r="S194" s="2208"/>
      <c r="T194" s="2208"/>
      <c r="U194" s="2208"/>
      <c r="V194" s="2208"/>
      <c r="W194" s="2208"/>
      <c r="X194" s="2208"/>
      <c r="Y194" s="2208"/>
      <c r="Z194" s="2208"/>
      <c r="AA194" s="2208"/>
      <c r="AB194" s="2208"/>
      <c r="AC194" s="2208"/>
      <c r="AD194" s="2208"/>
      <c r="AE194" s="2208"/>
      <c r="AF194" s="2208"/>
      <c r="AG194" s="2208"/>
      <c r="AH194" s="2100"/>
      <c r="AI194" s="2100"/>
      <c r="AJ194" s="2100"/>
      <c r="AK194" s="2100"/>
    </row>
    <row r="195" spans="1:37">
      <c r="A195" s="2208"/>
      <c r="B195" s="2208"/>
      <c r="C195" s="2208"/>
      <c r="D195" s="2208"/>
      <c r="E195" s="2208"/>
      <c r="F195" s="2208"/>
      <c r="G195" s="2208"/>
      <c r="H195" s="2208"/>
      <c r="I195" s="2208"/>
      <c r="J195" s="2208"/>
      <c r="K195" s="2208"/>
      <c r="L195" s="2208"/>
      <c r="M195" s="2208"/>
      <c r="N195" s="2208"/>
      <c r="O195" s="2208"/>
      <c r="P195" s="2208"/>
      <c r="Q195" s="2208"/>
      <c r="R195" s="2208"/>
      <c r="S195" s="2208"/>
      <c r="T195" s="2208"/>
      <c r="U195" s="2208"/>
      <c r="V195" s="2208"/>
      <c r="W195" s="2208"/>
      <c r="X195" s="2208"/>
      <c r="Y195" s="2208"/>
      <c r="Z195" s="2208"/>
      <c r="AA195" s="2208"/>
      <c r="AB195" s="2208"/>
      <c r="AC195" s="2208"/>
      <c r="AD195" s="2208"/>
      <c r="AE195" s="2208"/>
      <c r="AF195" s="2208"/>
      <c r="AG195" s="2208"/>
      <c r="AH195" s="2100"/>
      <c r="AI195" s="2100"/>
      <c r="AJ195" s="2100"/>
      <c r="AK195" s="2100"/>
    </row>
    <row r="196" spans="1:37">
      <c r="A196" s="2208"/>
      <c r="B196" s="2208"/>
      <c r="C196" s="2208"/>
      <c r="D196" s="2208"/>
      <c r="E196" s="2208"/>
      <c r="F196" s="2208"/>
      <c r="G196" s="2208"/>
      <c r="H196" s="2208"/>
      <c r="I196" s="2208"/>
      <c r="J196" s="2208"/>
      <c r="K196" s="2208"/>
      <c r="L196" s="2208"/>
      <c r="M196" s="2208"/>
      <c r="N196" s="2208"/>
      <c r="O196" s="2208"/>
      <c r="P196" s="2208"/>
      <c r="Q196" s="2208"/>
      <c r="R196" s="2208"/>
      <c r="S196" s="2208"/>
      <c r="T196" s="2208"/>
      <c r="U196" s="2208"/>
      <c r="V196" s="2208"/>
      <c r="W196" s="2208"/>
      <c r="X196" s="2208"/>
      <c r="Y196" s="2208"/>
      <c r="Z196" s="2208"/>
      <c r="AA196" s="2208"/>
      <c r="AB196" s="2208"/>
      <c r="AC196" s="2208"/>
      <c r="AD196" s="2208"/>
      <c r="AE196" s="2208"/>
      <c r="AF196" s="2208"/>
      <c r="AG196" s="2208"/>
      <c r="AH196" s="2100"/>
      <c r="AI196" s="2100"/>
      <c r="AJ196" s="2100"/>
      <c r="AK196" s="2100"/>
    </row>
    <row r="197" spans="1:37">
      <c r="A197" s="2208"/>
      <c r="B197" s="2208"/>
      <c r="C197" s="2208"/>
      <c r="D197" s="2208"/>
      <c r="E197" s="2208"/>
      <c r="F197" s="2208"/>
      <c r="G197" s="2208"/>
      <c r="H197" s="2208"/>
      <c r="I197" s="2208"/>
      <c r="J197" s="2208"/>
      <c r="K197" s="2208"/>
      <c r="L197" s="2208"/>
      <c r="M197" s="2208"/>
      <c r="N197" s="2208"/>
      <c r="O197" s="2208"/>
      <c r="P197" s="2208"/>
      <c r="Q197" s="2208"/>
      <c r="R197" s="2208"/>
      <c r="S197" s="2208"/>
      <c r="T197" s="2208"/>
      <c r="U197" s="2208"/>
      <c r="V197" s="2208"/>
      <c r="W197" s="2208"/>
      <c r="X197" s="2208"/>
      <c r="Y197" s="2208"/>
      <c r="Z197" s="2208"/>
      <c r="AA197" s="2208"/>
      <c r="AB197" s="2208"/>
      <c r="AC197" s="2208"/>
      <c r="AD197" s="2208"/>
      <c r="AE197" s="2208"/>
      <c r="AF197" s="2208"/>
      <c r="AG197" s="2208"/>
      <c r="AH197" s="2100"/>
      <c r="AI197" s="2100"/>
      <c r="AJ197" s="2100"/>
      <c r="AK197" s="2100"/>
    </row>
    <row r="198" spans="1:37">
      <c r="A198" s="2208"/>
      <c r="B198" s="2208"/>
      <c r="C198" s="2208"/>
      <c r="D198" s="2208"/>
      <c r="E198" s="2208"/>
      <c r="F198" s="2208"/>
      <c r="G198" s="2208"/>
      <c r="H198" s="2208"/>
      <c r="I198" s="2208"/>
      <c r="J198" s="2208"/>
      <c r="K198" s="2208"/>
      <c r="L198" s="2208"/>
      <c r="M198" s="2208"/>
      <c r="N198" s="2208"/>
      <c r="O198" s="2208"/>
      <c r="P198" s="2208"/>
      <c r="Q198" s="2208"/>
      <c r="R198" s="2208"/>
      <c r="S198" s="2208"/>
      <c r="T198" s="2208"/>
      <c r="U198" s="2208"/>
      <c r="V198" s="2208"/>
      <c r="W198" s="2208"/>
      <c r="X198" s="2208"/>
      <c r="Y198" s="2208"/>
      <c r="Z198" s="2208"/>
      <c r="AA198" s="2208"/>
      <c r="AB198" s="2208"/>
      <c r="AC198" s="2208"/>
      <c r="AD198" s="2208"/>
      <c r="AE198" s="2208"/>
      <c r="AF198" s="2208"/>
      <c r="AG198" s="2208"/>
      <c r="AH198" s="2100"/>
      <c r="AI198" s="2100"/>
      <c r="AJ198" s="2100"/>
      <c r="AK198" s="2100"/>
    </row>
    <row r="199" spans="1:37">
      <c r="A199" s="2208"/>
      <c r="B199" s="2208"/>
      <c r="C199" s="2208"/>
      <c r="D199" s="2208"/>
      <c r="E199" s="2208"/>
      <c r="F199" s="2208"/>
      <c r="G199" s="2208"/>
      <c r="H199" s="2208"/>
      <c r="I199" s="2208"/>
      <c r="J199" s="2208"/>
      <c r="K199" s="2208"/>
      <c r="L199" s="2208"/>
      <c r="M199" s="2208"/>
      <c r="N199" s="2208"/>
      <c r="O199" s="2208"/>
      <c r="P199" s="2208"/>
      <c r="Q199" s="2208"/>
      <c r="R199" s="2208"/>
      <c r="S199" s="2208"/>
      <c r="T199" s="2208"/>
      <c r="U199" s="2208"/>
      <c r="V199" s="2208"/>
      <c r="W199" s="2208"/>
      <c r="X199" s="2208"/>
      <c r="Y199" s="2208"/>
      <c r="Z199" s="2208"/>
      <c r="AA199" s="2208"/>
      <c r="AB199" s="2208"/>
      <c r="AC199" s="2208"/>
      <c r="AD199" s="2208"/>
      <c r="AE199" s="2208"/>
      <c r="AF199" s="2208"/>
      <c r="AG199" s="2208"/>
      <c r="AH199" s="2100"/>
      <c r="AI199" s="2100"/>
      <c r="AJ199" s="2100"/>
      <c r="AK199" s="2100"/>
    </row>
    <row r="200" spans="1:37">
      <c r="A200" s="2208"/>
      <c r="B200" s="2208"/>
      <c r="C200" s="2208"/>
      <c r="D200" s="2208"/>
      <c r="E200" s="2208"/>
      <c r="F200" s="2208"/>
      <c r="G200" s="2208"/>
      <c r="H200" s="2208"/>
      <c r="I200" s="2208"/>
      <c r="J200" s="2208"/>
      <c r="K200" s="2208"/>
      <c r="L200" s="2208"/>
      <c r="M200" s="2208"/>
      <c r="N200" s="2208"/>
      <c r="O200" s="2208"/>
      <c r="P200" s="2208"/>
      <c r="Q200" s="2208"/>
      <c r="R200" s="2208"/>
      <c r="S200" s="2208"/>
      <c r="T200" s="2208"/>
      <c r="U200" s="2208"/>
      <c r="V200" s="2208"/>
      <c r="W200" s="2208"/>
      <c r="X200" s="2208"/>
      <c r="Y200" s="2208"/>
      <c r="Z200" s="2208"/>
      <c r="AA200" s="2208"/>
      <c r="AB200" s="2208"/>
      <c r="AC200" s="2208"/>
      <c r="AD200" s="2208"/>
      <c r="AE200" s="2208"/>
      <c r="AF200" s="2208"/>
      <c r="AG200" s="2208"/>
      <c r="AH200" s="2100"/>
      <c r="AI200" s="2100"/>
      <c r="AJ200" s="2100"/>
      <c r="AK200" s="2100"/>
    </row>
    <row r="201" spans="1:37">
      <c r="A201" s="2208"/>
      <c r="B201" s="2208"/>
      <c r="C201" s="2208"/>
      <c r="D201" s="2208"/>
      <c r="E201" s="2208"/>
      <c r="F201" s="2208"/>
      <c r="G201" s="2208"/>
      <c r="H201" s="2208"/>
      <c r="I201" s="2208"/>
      <c r="J201" s="2208"/>
      <c r="K201" s="2208"/>
      <c r="L201" s="2208"/>
      <c r="M201" s="2208"/>
      <c r="N201" s="2208"/>
      <c r="O201" s="2208"/>
      <c r="P201" s="2208"/>
      <c r="Q201" s="2208"/>
      <c r="R201" s="2208"/>
      <c r="S201" s="2208"/>
      <c r="T201" s="2208"/>
      <c r="U201" s="2208"/>
      <c r="V201" s="2208"/>
      <c r="W201" s="2208"/>
      <c r="X201" s="2208"/>
      <c r="Y201" s="2208"/>
      <c r="Z201" s="2208"/>
      <c r="AA201" s="2208"/>
      <c r="AB201" s="2208"/>
      <c r="AC201" s="2208"/>
      <c r="AD201" s="2208"/>
      <c r="AE201" s="2208"/>
      <c r="AF201" s="2208"/>
      <c r="AG201" s="2208"/>
      <c r="AH201" s="2100"/>
      <c r="AI201" s="2100"/>
      <c r="AJ201" s="2100"/>
      <c r="AK201" s="2100"/>
    </row>
    <row r="202" spans="1:37">
      <c r="A202" s="2208"/>
      <c r="B202" s="2208"/>
      <c r="C202" s="2208"/>
      <c r="D202" s="2208"/>
      <c r="E202" s="2208"/>
      <c r="F202" s="2208"/>
      <c r="G202" s="2208"/>
      <c r="H202" s="2208"/>
      <c r="I202" s="2208"/>
      <c r="J202" s="2208"/>
      <c r="K202" s="2208"/>
      <c r="L202" s="2208"/>
      <c r="M202" s="2208"/>
      <c r="N202" s="2208"/>
      <c r="O202" s="2208"/>
      <c r="P202" s="2208"/>
      <c r="Q202" s="2208"/>
      <c r="R202" s="2208"/>
      <c r="S202" s="2208"/>
      <c r="T202" s="2208"/>
      <c r="U202" s="2208"/>
      <c r="V202" s="2208"/>
      <c r="W202" s="2208"/>
      <c r="X202" s="2208"/>
      <c r="Y202" s="2208"/>
      <c r="Z202" s="2208"/>
      <c r="AA202" s="2208"/>
      <c r="AB202" s="2208"/>
      <c r="AC202" s="2208"/>
      <c r="AD202" s="2208"/>
      <c r="AE202" s="2208"/>
      <c r="AF202" s="2208"/>
      <c r="AG202" s="2208"/>
      <c r="AH202" s="2100"/>
      <c r="AI202" s="2100"/>
      <c r="AJ202" s="2100"/>
      <c r="AK202" s="2100"/>
    </row>
    <row r="203" spans="1:37">
      <c r="A203" s="2208"/>
      <c r="B203" s="2208"/>
      <c r="C203" s="2208"/>
      <c r="D203" s="2208"/>
      <c r="E203" s="2208"/>
      <c r="F203" s="2208"/>
      <c r="G203" s="2208"/>
      <c r="H203" s="2208"/>
      <c r="I203" s="2208"/>
      <c r="J203" s="2208"/>
      <c r="K203" s="2208"/>
      <c r="L203" s="2208"/>
      <c r="M203" s="2208"/>
      <c r="N203" s="2208"/>
      <c r="O203" s="2208"/>
      <c r="P203" s="2208"/>
      <c r="Q203" s="2208"/>
      <c r="R203" s="2208"/>
      <c r="S203" s="2208"/>
      <c r="T203" s="2208"/>
      <c r="U203" s="2208"/>
      <c r="V203" s="2208"/>
      <c r="W203" s="2208"/>
      <c r="X203" s="2208"/>
      <c r="Y203" s="2208"/>
      <c r="Z203" s="2208"/>
      <c r="AA203" s="2208"/>
      <c r="AB203" s="2208"/>
      <c r="AC203" s="2208"/>
      <c r="AD203" s="2208"/>
      <c r="AE203" s="2208"/>
      <c r="AF203" s="2208"/>
      <c r="AG203" s="2208"/>
      <c r="AH203" s="2100"/>
      <c r="AI203" s="2100"/>
      <c r="AJ203" s="2100"/>
      <c r="AK203" s="2100"/>
    </row>
    <row r="204" spans="1:37">
      <c r="A204" s="2208"/>
      <c r="B204" s="2208"/>
      <c r="C204" s="2208"/>
      <c r="D204" s="2208"/>
      <c r="E204" s="2208"/>
      <c r="F204" s="2208"/>
      <c r="G204" s="2208"/>
      <c r="H204" s="2208"/>
      <c r="I204" s="2208"/>
      <c r="J204" s="2208"/>
      <c r="K204" s="2208"/>
      <c r="L204" s="2208"/>
      <c r="M204" s="2208"/>
      <c r="N204" s="2208"/>
      <c r="O204" s="2208"/>
      <c r="P204" s="2208"/>
      <c r="Q204" s="2208"/>
      <c r="R204" s="2208"/>
      <c r="S204" s="2208"/>
      <c r="T204" s="2208"/>
      <c r="U204" s="2208"/>
      <c r="V204" s="2208"/>
      <c r="W204" s="2208"/>
      <c r="X204" s="2208"/>
      <c r="Y204" s="2208"/>
      <c r="Z204" s="2208"/>
      <c r="AA204" s="2208"/>
      <c r="AB204" s="2208"/>
      <c r="AC204" s="2208"/>
      <c r="AD204" s="2208"/>
      <c r="AE204" s="2208"/>
      <c r="AF204" s="2208"/>
      <c r="AG204" s="2208"/>
      <c r="AH204" s="2100"/>
      <c r="AI204" s="2100"/>
      <c r="AJ204" s="2100"/>
      <c r="AK204" s="2100"/>
    </row>
    <row r="205" spans="1:37">
      <c r="A205" s="2208"/>
      <c r="B205" s="2208"/>
      <c r="C205" s="2208"/>
      <c r="D205" s="2208"/>
      <c r="E205" s="2208"/>
      <c r="F205" s="2208"/>
      <c r="G205" s="2208"/>
      <c r="H205" s="2208"/>
      <c r="I205" s="2208"/>
      <c r="J205" s="2208"/>
      <c r="K205" s="2208"/>
      <c r="L205" s="2208"/>
      <c r="M205" s="2208"/>
      <c r="N205" s="2208"/>
      <c r="O205" s="2208"/>
      <c r="P205" s="2208"/>
      <c r="Q205" s="2208"/>
      <c r="R205" s="2208"/>
      <c r="S205" s="2208"/>
      <c r="T205" s="2208"/>
      <c r="U205" s="2208"/>
      <c r="V205" s="2208"/>
      <c r="W205" s="2208"/>
      <c r="X205" s="2208"/>
      <c r="Y205" s="2208"/>
      <c r="Z205" s="2208"/>
      <c r="AA205" s="2208"/>
      <c r="AB205" s="2208"/>
      <c r="AC205" s="2208"/>
      <c r="AD205" s="2208"/>
      <c r="AE205" s="2208"/>
      <c r="AF205" s="2208"/>
      <c r="AG205" s="2208"/>
      <c r="AH205" s="2100"/>
      <c r="AI205" s="2100"/>
      <c r="AJ205" s="2100"/>
      <c r="AK205" s="2100"/>
    </row>
    <row r="206" spans="1:37">
      <c r="A206" s="2208"/>
      <c r="B206" s="2208"/>
      <c r="C206" s="2208"/>
      <c r="D206" s="2208"/>
      <c r="E206" s="2208"/>
      <c r="F206" s="2208"/>
      <c r="G206" s="2208"/>
      <c r="H206" s="2208"/>
      <c r="I206" s="2208"/>
      <c r="J206" s="2208"/>
      <c r="K206" s="2208"/>
      <c r="L206" s="2208"/>
      <c r="M206" s="2208"/>
      <c r="N206" s="2208"/>
      <c r="O206" s="2208"/>
      <c r="P206" s="2208"/>
      <c r="Q206" s="2208"/>
      <c r="R206" s="2208"/>
      <c r="S206" s="2208"/>
      <c r="T206" s="2208"/>
      <c r="U206" s="2208"/>
      <c r="V206" s="2208"/>
      <c r="W206" s="2208"/>
      <c r="X206" s="2208"/>
      <c r="Y206" s="2208"/>
      <c r="Z206" s="2208"/>
      <c r="AA206" s="2208"/>
      <c r="AB206" s="2208"/>
      <c r="AC206" s="2208"/>
      <c r="AD206" s="2208"/>
      <c r="AE206" s="2208"/>
      <c r="AF206" s="2208"/>
      <c r="AG206" s="2208"/>
      <c r="AH206" s="2100"/>
      <c r="AI206" s="2100"/>
      <c r="AJ206" s="2100"/>
      <c r="AK206" s="2100"/>
    </row>
    <row r="207" spans="1:37">
      <c r="A207" s="2208"/>
      <c r="B207" s="2208"/>
      <c r="C207" s="2208"/>
      <c r="D207" s="2208"/>
      <c r="E207" s="2208"/>
      <c r="F207" s="2208"/>
      <c r="G207" s="2208"/>
      <c r="H207" s="2208"/>
      <c r="I207" s="2208"/>
      <c r="J207" s="2208"/>
      <c r="K207" s="2208"/>
      <c r="L207" s="2208"/>
      <c r="M207" s="2208"/>
      <c r="N207" s="2208"/>
      <c r="O207" s="2208"/>
      <c r="P207" s="2208"/>
      <c r="Q207" s="2208"/>
      <c r="R207" s="2208"/>
      <c r="S207" s="2208"/>
      <c r="T207" s="2208"/>
      <c r="U207" s="2208"/>
      <c r="V207" s="2208"/>
      <c r="W207" s="2208"/>
      <c r="X207" s="2208"/>
      <c r="Y207" s="2208"/>
      <c r="Z207" s="2208"/>
      <c r="AA207" s="2208"/>
      <c r="AB207" s="2208"/>
      <c r="AC207" s="2208"/>
      <c r="AD207" s="2208"/>
      <c r="AE207" s="2208"/>
      <c r="AF207" s="2208"/>
      <c r="AG207" s="2208"/>
      <c r="AH207" s="2100"/>
      <c r="AI207" s="2100"/>
      <c r="AJ207" s="2100"/>
      <c r="AK207" s="2100"/>
    </row>
    <row r="208" spans="1:37">
      <c r="A208" s="2208"/>
      <c r="B208" s="2208"/>
      <c r="C208" s="2208"/>
      <c r="D208" s="2208"/>
      <c r="E208" s="2208"/>
      <c r="F208" s="2208"/>
      <c r="G208" s="2208"/>
      <c r="H208" s="2208"/>
      <c r="I208" s="2208"/>
      <c r="J208" s="2208"/>
      <c r="K208" s="2208"/>
      <c r="L208" s="2208"/>
      <c r="M208" s="2208"/>
      <c r="N208" s="2208"/>
      <c r="O208" s="2208"/>
      <c r="P208" s="2208"/>
      <c r="Q208" s="2208"/>
      <c r="R208" s="2208"/>
      <c r="S208" s="2208"/>
      <c r="T208" s="2208"/>
      <c r="U208" s="2208"/>
      <c r="V208" s="2208"/>
      <c r="W208" s="2208"/>
      <c r="X208" s="2208"/>
      <c r="Y208" s="2208"/>
      <c r="Z208" s="2208"/>
      <c r="AA208" s="2208"/>
      <c r="AB208" s="2208"/>
      <c r="AC208" s="2208"/>
      <c r="AD208" s="2208"/>
      <c r="AE208" s="2208"/>
      <c r="AF208" s="2208"/>
      <c r="AG208" s="2208"/>
      <c r="AH208" s="2100"/>
      <c r="AI208" s="2100"/>
      <c r="AJ208" s="2100"/>
      <c r="AK208" s="2100"/>
    </row>
    <row r="209" spans="1:37">
      <c r="A209" s="2208"/>
      <c r="B209" s="2208"/>
      <c r="C209" s="2208"/>
      <c r="D209" s="2208"/>
      <c r="E209" s="2208"/>
      <c r="F209" s="2208"/>
      <c r="G209" s="2208"/>
      <c r="H209" s="2208"/>
      <c r="I209" s="2208"/>
      <c r="J209" s="2208"/>
      <c r="K209" s="2208"/>
      <c r="L209" s="2208"/>
      <c r="M209" s="2208"/>
      <c r="N209" s="2208"/>
      <c r="O209" s="2208"/>
      <c r="P209" s="2208"/>
      <c r="Q209" s="2208"/>
      <c r="R209" s="2208"/>
      <c r="S209" s="2208"/>
      <c r="T209" s="2208"/>
      <c r="U209" s="2208"/>
      <c r="V209" s="2208"/>
      <c r="W209" s="2208"/>
      <c r="X209" s="2208"/>
      <c r="Y209" s="2208"/>
      <c r="Z209" s="2208"/>
      <c r="AA209" s="2208"/>
      <c r="AB209" s="2208"/>
      <c r="AC209" s="2208"/>
      <c r="AD209" s="2208"/>
      <c r="AE209" s="2208"/>
      <c r="AF209" s="2208"/>
      <c r="AG209" s="2208"/>
      <c r="AH209" s="2100"/>
      <c r="AI209" s="2100"/>
      <c r="AJ209" s="2100"/>
      <c r="AK209" s="2100"/>
    </row>
    <row r="210" spans="1:37">
      <c r="A210" s="2208"/>
      <c r="B210" s="2208"/>
      <c r="C210" s="2208"/>
      <c r="D210" s="2208"/>
      <c r="E210" s="2208"/>
      <c r="F210" s="2208"/>
      <c r="G210" s="2208"/>
      <c r="H210" s="2208"/>
      <c r="I210" s="2208"/>
      <c r="J210" s="2208"/>
      <c r="K210" s="2208"/>
      <c r="L210" s="2208"/>
      <c r="M210" s="2208"/>
      <c r="N210" s="2208"/>
      <c r="O210" s="2208"/>
      <c r="P210" s="2208"/>
      <c r="Q210" s="2208"/>
      <c r="R210" s="2208"/>
      <c r="S210" s="2208"/>
      <c r="T210" s="2208"/>
      <c r="U210" s="2208"/>
      <c r="V210" s="2208"/>
      <c r="W210" s="2208"/>
      <c r="X210" s="2208"/>
      <c r="Y210" s="2208"/>
      <c r="Z210" s="2208"/>
      <c r="AA210" s="2208"/>
      <c r="AB210" s="2208"/>
      <c r="AC210" s="2208"/>
      <c r="AD210" s="2208"/>
      <c r="AE210" s="2208"/>
      <c r="AF210" s="2208"/>
      <c r="AG210" s="2208"/>
      <c r="AH210" s="2100"/>
      <c r="AI210" s="2100"/>
      <c r="AJ210" s="2100"/>
      <c r="AK210" s="2100"/>
    </row>
    <row r="211" spans="1:37">
      <c r="A211" s="2208"/>
      <c r="B211" s="2208"/>
      <c r="C211" s="2208"/>
      <c r="D211" s="2208"/>
      <c r="E211" s="2208"/>
      <c r="F211" s="2208"/>
      <c r="G211" s="2208"/>
      <c r="H211" s="2208"/>
      <c r="I211" s="2208"/>
      <c r="J211" s="2208"/>
      <c r="K211" s="2208"/>
      <c r="L211" s="2208"/>
      <c r="M211" s="2208"/>
      <c r="N211" s="2208"/>
      <c r="O211" s="2208"/>
      <c r="P211" s="2208"/>
      <c r="Q211" s="2208"/>
      <c r="R211" s="2208"/>
      <c r="S211" s="2208"/>
      <c r="T211" s="2208"/>
      <c r="U211" s="2208"/>
      <c r="V211" s="2208"/>
      <c r="W211" s="2208"/>
      <c r="X211" s="2208"/>
      <c r="Y211" s="2208"/>
      <c r="Z211" s="2208"/>
      <c r="AA211" s="2208"/>
      <c r="AB211" s="2208"/>
      <c r="AC211" s="2208"/>
      <c r="AD211" s="2208"/>
      <c r="AE211" s="2208"/>
      <c r="AF211" s="2208"/>
      <c r="AG211" s="2208"/>
      <c r="AH211" s="2100"/>
      <c r="AI211" s="2100"/>
      <c r="AJ211" s="2100"/>
      <c r="AK211" s="2100"/>
    </row>
    <row r="212" spans="1:37">
      <c r="A212" s="2208"/>
      <c r="B212" s="2208"/>
      <c r="C212" s="2208"/>
      <c r="D212" s="2208"/>
      <c r="E212" s="2208"/>
      <c r="F212" s="2208"/>
      <c r="G212" s="2208"/>
      <c r="H212" s="2208"/>
      <c r="I212" s="2208"/>
      <c r="J212" s="2208"/>
      <c r="K212" s="2208"/>
      <c r="L212" s="2208"/>
      <c r="M212" s="2208"/>
      <c r="N212" s="2208"/>
      <c r="O212" s="2208"/>
      <c r="P212" s="2208"/>
      <c r="Q212" s="2208"/>
      <c r="R212" s="2208"/>
      <c r="S212" s="2208"/>
      <c r="T212" s="2208"/>
      <c r="U212" s="2208"/>
      <c r="V212" s="2208"/>
      <c r="W212" s="2208"/>
      <c r="X212" s="2208"/>
      <c r="Y212" s="2208"/>
      <c r="Z212" s="2208"/>
      <c r="AA212" s="2208"/>
      <c r="AB212" s="2208"/>
      <c r="AC212" s="2208"/>
      <c r="AD212" s="2208"/>
      <c r="AE212" s="2208"/>
      <c r="AF212" s="2208"/>
      <c r="AG212" s="2208"/>
      <c r="AH212" s="2100"/>
      <c r="AI212" s="2100"/>
      <c r="AJ212" s="2100"/>
      <c r="AK212" s="2100"/>
    </row>
  </sheetData>
  <mergeCells count="90">
    <mergeCell ref="B3:C3"/>
    <mergeCell ref="B4:L4"/>
    <mergeCell ref="B5:D5"/>
    <mergeCell ref="B7:E7"/>
    <mergeCell ref="C10:D10"/>
    <mergeCell ref="G14:G15"/>
    <mergeCell ref="H14:J14"/>
    <mergeCell ref="K14:W14"/>
    <mergeCell ref="X14:AE14"/>
    <mergeCell ref="B18:C18"/>
    <mergeCell ref="B14:B15"/>
    <mergeCell ref="C14:C15"/>
    <mergeCell ref="D14:D15"/>
    <mergeCell ref="E14:E15"/>
    <mergeCell ref="F14:F15"/>
    <mergeCell ref="G22:G23"/>
    <mergeCell ref="H22:J22"/>
    <mergeCell ref="K22:W22"/>
    <mergeCell ref="X22:AE22"/>
    <mergeCell ref="B28:B29"/>
    <mergeCell ref="C28:C29"/>
    <mergeCell ref="G28:G29"/>
    <mergeCell ref="H28:J28"/>
    <mergeCell ref="K28:W28"/>
    <mergeCell ref="X28:AE28"/>
    <mergeCell ref="B22:B23"/>
    <mergeCell ref="C22:C23"/>
    <mergeCell ref="D22:D23"/>
    <mergeCell ref="E22:E23"/>
    <mergeCell ref="F22:F23"/>
    <mergeCell ref="B32:C32"/>
    <mergeCell ref="B36:B37"/>
    <mergeCell ref="C36:C37"/>
    <mergeCell ref="G36:G37"/>
    <mergeCell ref="H36:J36"/>
    <mergeCell ref="X36:AE36"/>
    <mergeCell ref="B40:C40"/>
    <mergeCell ref="B44:B45"/>
    <mergeCell ref="C44:C45"/>
    <mergeCell ref="G44:G45"/>
    <mergeCell ref="H44:J44"/>
    <mergeCell ref="K44:W44"/>
    <mergeCell ref="X44:AE44"/>
    <mergeCell ref="K36:W36"/>
    <mergeCell ref="B49:C49"/>
    <mergeCell ref="B54:B55"/>
    <mergeCell ref="C54:C55"/>
    <mergeCell ref="G54:G55"/>
    <mergeCell ref="H54:J54"/>
    <mergeCell ref="X54:AE54"/>
    <mergeCell ref="B60:B61"/>
    <mergeCell ref="C60:C61"/>
    <mergeCell ref="G60:G61"/>
    <mergeCell ref="H60:J60"/>
    <mergeCell ref="K60:W60"/>
    <mergeCell ref="X60:AE60"/>
    <mergeCell ref="K54:W54"/>
    <mergeCell ref="W62:W63"/>
    <mergeCell ref="B64:C64"/>
    <mergeCell ref="B68:B69"/>
    <mergeCell ref="C68:C69"/>
    <mergeCell ref="G68:G69"/>
    <mergeCell ref="H68:J68"/>
    <mergeCell ref="K68:W68"/>
    <mergeCell ref="X68:AE68"/>
    <mergeCell ref="W70:W71"/>
    <mergeCell ref="B72:C72"/>
    <mergeCell ref="B76:B77"/>
    <mergeCell ref="C76:C77"/>
    <mergeCell ref="G76:G77"/>
    <mergeCell ref="H76:J76"/>
    <mergeCell ref="K76:W76"/>
    <mergeCell ref="X76:AE76"/>
    <mergeCell ref="W78:W79"/>
    <mergeCell ref="B80:C80"/>
    <mergeCell ref="B84:B85"/>
    <mergeCell ref="C84:C85"/>
    <mergeCell ref="G84:G85"/>
    <mergeCell ref="H84:J84"/>
    <mergeCell ref="K84:W84"/>
    <mergeCell ref="W94:W95"/>
    <mergeCell ref="X84:AE84"/>
    <mergeCell ref="W86:W87"/>
    <mergeCell ref="B88:C88"/>
    <mergeCell ref="B92:B93"/>
    <mergeCell ref="C92:C93"/>
    <mergeCell ref="G92:G93"/>
    <mergeCell ref="H92:J92"/>
    <mergeCell ref="K92:W92"/>
    <mergeCell ref="X92:AE9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314D-9D06-7B48-BF7C-55C814C17183}">
  <dimension ref="A2:AE221"/>
  <sheetViews>
    <sheetView showGridLines="0" workbookViewId="0">
      <selection activeCell="H18" sqref="H18"/>
    </sheetView>
  </sheetViews>
  <sheetFormatPr defaultColWidth="8.6640625" defaultRowHeight="14"/>
  <cols>
    <col min="1" max="1" width="6.08203125" customWidth="1"/>
    <col min="2" max="2" width="29.33203125" customWidth="1"/>
    <col min="3" max="3" width="20" customWidth="1"/>
    <col min="4" max="4" width="27.08203125" bestFit="1" customWidth="1"/>
    <col min="5" max="5" width="20.08203125" bestFit="1" customWidth="1"/>
    <col min="6" max="6" width="23.4140625" customWidth="1"/>
    <col min="7" max="7" width="22.08203125" bestFit="1" customWidth="1"/>
    <col min="8" max="8" width="18" customWidth="1"/>
    <col min="9" max="28" width="14" customWidth="1"/>
    <col min="29" max="29" width="15.4140625" customWidth="1"/>
    <col min="30" max="31" width="13.08203125" customWidth="1"/>
  </cols>
  <sheetData>
    <row r="2" spans="2:31" ht="14.5">
      <c r="B2" s="840" t="s">
        <v>236</v>
      </c>
    </row>
    <row r="3" spans="2:31" ht="14.5">
      <c r="B3" s="840" t="s">
        <v>182</v>
      </c>
    </row>
    <row r="4" spans="2:31" ht="14.5">
      <c r="B4" s="849" t="s">
        <v>237</v>
      </c>
    </row>
    <row r="5" spans="2:31" ht="14.5">
      <c r="B5" s="849" t="s">
        <v>183</v>
      </c>
    </row>
    <row r="7" spans="2:31" s="1750" customFormat="1" ht="22.5">
      <c r="B7" s="1747" t="s">
        <v>863</v>
      </c>
      <c r="C7" s="1748"/>
      <c r="D7" s="1748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</row>
    <row r="8" spans="2:31" ht="16.5">
      <c r="B8" s="1751" t="s">
        <v>83</v>
      </c>
      <c r="C8" s="1752" t="s">
        <v>531</v>
      </c>
      <c r="D8" s="244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3"/>
      <c r="U8" s="241"/>
      <c r="V8" s="241"/>
      <c r="W8" s="241"/>
      <c r="X8" s="241"/>
      <c r="Y8" s="241"/>
      <c r="Z8" s="241"/>
      <c r="AA8" s="241"/>
      <c r="AB8" s="241"/>
    </row>
    <row r="9" spans="2:31" ht="16.5">
      <c r="B9" s="1751" t="s">
        <v>82</v>
      </c>
      <c r="C9" s="1753" t="s">
        <v>549</v>
      </c>
      <c r="D9" s="244"/>
      <c r="E9" s="241"/>
      <c r="F9" s="234"/>
      <c r="G9" s="234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3"/>
      <c r="U9" s="242"/>
      <c r="V9" s="241"/>
      <c r="W9" s="241"/>
      <c r="X9" s="241"/>
      <c r="Y9" s="241"/>
      <c r="Z9" s="241"/>
      <c r="AA9" s="241"/>
      <c r="AB9" s="241"/>
    </row>
    <row r="10" spans="2:31" ht="16.5">
      <c r="B10" s="240" t="s">
        <v>81</v>
      </c>
      <c r="C10" s="239" t="s">
        <v>80</v>
      </c>
      <c r="D10" s="238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</row>
    <row r="11" spans="2:31" ht="16.5">
      <c r="B11" s="234"/>
      <c r="C11" s="238"/>
      <c r="D11" s="238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</row>
    <row r="12" spans="2:31" ht="16.5">
      <c r="B12" s="66" t="s">
        <v>550</v>
      </c>
      <c r="C12" s="235"/>
      <c r="D12" s="235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</row>
    <row r="13" spans="2:31" ht="16.5">
      <c r="B13" s="2280" t="s">
        <v>32</v>
      </c>
      <c r="C13" s="2281" t="s">
        <v>31</v>
      </c>
      <c r="D13" s="2299" t="s">
        <v>437</v>
      </c>
      <c r="E13" s="2299" t="s">
        <v>439</v>
      </c>
      <c r="F13" s="2299" t="s">
        <v>441</v>
      </c>
      <c r="G13" s="2299" t="s">
        <v>30</v>
      </c>
      <c r="H13" s="2283" t="s">
        <v>29</v>
      </c>
      <c r="I13" s="2286"/>
      <c r="J13" s="2287"/>
      <c r="K13" s="2268" t="s">
        <v>28</v>
      </c>
      <c r="L13" s="2284"/>
      <c r="M13" s="2284"/>
      <c r="N13" s="2284"/>
      <c r="O13" s="2284"/>
      <c r="P13" s="2284"/>
      <c r="Q13" s="2284"/>
      <c r="R13" s="2284"/>
      <c r="S13" s="2284"/>
      <c r="T13" s="2284"/>
      <c r="U13" s="2284"/>
      <c r="V13" s="2284"/>
      <c r="W13" s="2285"/>
      <c r="X13" s="2268" t="s">
        <v>27</v>
      </c>
      <c r="Y13" s="2284"/>
      <c r="Z13" s="2284"/>
      <c r="AA13" s="2284"/>
      <c r="AB13" s="2284"/>
      <c r="AC13" s="2284"/>
      <c r="AD13" s="2284"/>
      <c r="AE13" s="2285"/>
    </row>
    <row r="14" spans="2:31" ht="66">
      <c r="B14" s="2308"/>
      <c r="C14" s="2309"/>
      <c r="D14" s="2301"/>
      <c r="E14" s="2301"/>
      <c r="F14" s="2301"/>
      <c r="G14" s="2301"/>
      <c r="H14" s="112" t="s">
        <v>26</v>
      </c>
      <c r="I14" s="111" t="s">
        <v>25</v>
      </c>
      <c r="J14" s="110" t="s">
        <v>24</v>
      </c>
      <c r="K14" s="107" t="s">
        <v>23</v>
      </c>
      <c r="L14" s="108" t="s">
        <v>22</v>
      </c>
      <c r="M14" s="111" t="s">
        <v>21</v>
      </c>
      <c r="N14" s="108" t="s">
        <v>20</v>
      </c>
      <c r="O14" s="108" t="s">
        <v>19</v>
      </c>
      <c r="P14" s="107" t="s">
        <v>18</v>
      </c>
      <c r="Q14" s="108" t="s">
        <v>17</v>
      </c>
      <c r="R14" s="108" t="s">
        <v>16</v>
      </c>
      <c r="S14" s="108" t="s">
        <v>15</v>
      </c>
      <c r="T14" s="108" t="s">
        <v>14</v>
      </c>
      <c r="U14" s="108" t="s">
        <v>13</v>
      </c>
      <c r="V14" s="108" t="s">
        <v>12</v>
      </c>
      <c r="W14" s="110" t="s">
        <v>11</v>
      </c>
      <c r="X14" s="109" t="s">
        <v>10</v>
      </c>
      <c r="Y14" s="108" t="s">
        <v>67</v>
      </c>
      <c r="Z14" s="107" t="s">
        <v>8</v>
      </c>
      <c r="AA14" s="107" t="s">
        <v>7</v>
      </c>
      <c r="AB14" s="107" t="s">
        <v>6</v>
      </c>
      <c r="AC14" s="107" t="s">
        <v>71</v>
      </c>
      <c r="AD14" s="107" t="s">
        <v>4</v>
      </c>
      <c r="AE14" s="106" t="s">
        <v>3</v>
      </c>
    </row>
    <row r="15" spans="2:31" ht="16.5">
      <c r="B15" s="1754" t="s">
        <v>551</v>
      </c>
      <c r="C15" s="1755" t="s">
        <v>864</v>
      </c>
      <c r="D15" s="1756" t="s">
        <v>542</v>
      </c>
      <c r="E15" s="169" t="s">
        <v>450</v>
      </c>
      <c r="F15" s="169" t="s">
        <v>552</v>
      </c>
      <c r="G15" s="169" t="s">
        <v>553</v>
      </c>
      <c r="H15" s="221">
        <f>I15+J15</f>
        <v>3311360.3499999996</v>
      </c>
      <c r="I15" s="195">
        <v>1573835.43</v>
      </c>
      <c r="J15" s="194">
        <v>1737524.92</v>
      </c>
      <c r="K15" s="200">
        <v>2225136</v>
      </c>
      <c r="L15" s="103">
        <f t="shared" ref="L15:L17" si="0">H15/K15</f>
        <v>1.4881608809528943</v>
      </c>
      <c r="M15" s="186">
        <v>124266</v>
      </c>
      <c r="N15" s="45">
        <f t="shared" ref="N15:N19" si="1">M15/K15</f>
        <v>5.5846474103155942E-2</v>
      </c>
      <c r="O15" s="45">
        <f t="shared" ref="O15:O19" si="2">P15/M15</f>
        <v>0.10889543398837977</v>
      </c>
      <c r="P15" s="188">
        <v>13532</v>
      </c>
      <c r="Q15" s="186">
        <v>11532</v>
      </c>
      <c r="R15" s="101">
        <f t="shared" ref="R15:R19" si="3">Q15/P15</f>
        <v>0.85220218740762632</v>
      </c>
      <c r="S15" s="198">
        <f t="shared" ref="S15:S19" si="4">H15/P15</f>
        <v>244.70590821755835</v>
      </c>
      <c r="T15" s="100">
        <f t="shared" ref="T15:T19" si="5">H15/Q15</f>
        <v>287.14536507110643</v>
      </c>
      <c r="U15" s="198">
        <f>Q15*$W15</f>
        <v>4532076</v>
      </c>
      <c r="V15" s="197">
        <f>IFERROR(U15/H15,"-")</f>
        <v>1.3686447625671427</v>
      </c>
      <c r="W15" s="2279">
        <v>393</v>
      </c>
      <c r="X15" s="187">
        <v>4232</v>
      </c>
      <c r="Y15" s="186">
        <v>3976</v>
      </c>
      <c r="Z15" s="45">
        <f t="shared" ref="Z15:Z17" si="6">Y15/X15</f>
        <v>0.93950850661625707</v>
      </c>
      <c r="AA15" s="44">
        <f t="shared" ref="AA15:AA17" si="7">H15/X15</f>
        <v>782.45754962192802</v>
      </c>
      <c r="AB15" s="99">
        <f t="shared" ref="AB15:AB18" si="8">H15/Y15</f>
        <v>832.83711016096572</v>
      </c>
      <c r="AC15" s="42">
        <f>Y15*AE15</f>
        <v>1832936</v>
      </c>
      <c r="AD15" s="41">
        <f>IFERROR(AC15/H15,"-")</f>
        <v>0.55352960906232995</v>
      </c>
      <c r="AE15" s="201">
        <v>461</v>
      </c>
    </row>
    <row r="16" spans="2:31" ht="16.5">
      <c r="B16" s="1757" t="s">
        <v>554</v>
      </c>
      <c r="C16" s="1758" t="s">
        <v>865</v>
      </c>
      <c r="D16" s="1756" t="s">
        <v>448</v>
      </c>
      <c r="E16" s="169" t="s">
        <v>450</v>
      </c>
      <c r="F16" s="169" t="s">
        <v>454</v>
      </c>
      <c r="G16" s="169" t="s">
        <v>555</v>
      </c>
      <c r="H16" s="219">
        <f>I16+J16</f>
        <v>319225.37</v>
      </c>
      <c r="I16" s="203">
        <v>147162.99</v>
      </c>
      <c r="J16" s="202">
        <v>172062.38</v>
      </c>
      <c r="K16" s="200">
        <v>154387</v>
      </c>
      <c r="L16" s="103">
        <f t="shared" si="0"/>
        <v>2.0676959199932639</v>
      </c>
      <c r="M16" s="186">
        <v>4839</v>
      </c>
      <c r="N16" s="45">
        <f t="shared" si="1"/>
        <v>3.1343312584608811E-2</v>
      </c>
      <c r="O16" s="45">
        <f t="shared" si="2"/>
        <v>8.8034717916924979E-2</v>
      </c>
      <c r="P16" s="188">
        <v>426</v>
      </c>
      <c r="Q16" s="186">
        <v>257</v>
      </c>
      <c r="R16" s="101">
        <f t="shared" si="3"/>
        <v>0.60328638497652587</v>
      </c>
      <c r="S16" s="198">
        <f t="shared" si="4"/>
        <v>749.35532863849767</v>
      </c>
      <c r="T16" s="100">
        <f t="shared" si="5"/>
        <v>1242.1220622568094</v>
      </c>
      <c r="U16" s="198">
        <f>Q16*$W15</f>
        <v>101001</v>
      </c>
      <c r="V16" s="197">
        <f>IFERROR(U16/H16,"-")</f>
        <v>0.31639402595100757</v>
      </c>
      <c r="W16" s="2272"/>
      <c r="X16" s="187">
        <v>56</v>
      </c>
      <c r="Y16" s="186">
        <v>40</v>
      </c>
      <c r="Z16" s="45">
        <f t="shared" si="6"/>
        <v>0.7142857142857143</v>
      </c>
      <c r="AA16" s="44">
        <f t="shared" si="7"/>
        <v>5700.4530357142858</v>
      </c>
      <c r="AB16" s="99">
        <f t="shared" si="8"/>
        <v>7980.6342500000001</v>
      </c>
      <c r="AC16" s="42">
        <f>Y16*AE16</f>
        <v>31160</v>
      </c>
      <c r="AD16" s="41">
        <f>IFERROR(AC16/H16,"-")</f>
        <v>9.7611289478652649E-2</v>
      </c>
      <c r="AE16" s="201">
        <v>779</v>
      </c>
    </row>
    <row r="17" spans="1:31" ht="16.5">
      <c r="B17" s="1757" t="s">
        <v>556</v>
      </c>
      <c r="C17" s="1758" t="s">
        <v>866</v>
      </c>
      <c r="D17" s="1759" t="s">
        <v>449</v>
      </c>
      <c r="E17" s="169" t="s">
        <v>557</v>
      </c>
      <c r="F17" s="169" t="s">
        <v>454</v>
      </c>
      <c r="G17" s="169" t="s">
        <v>558</v>
      </c>
      <c r="H17" s="219">
        <f>I17+J17</f>
        <v>727808.19</v>
      </c>
      <c r="I17" s="203">
        <v>258536.59</v>
      </c>
      <c r="J17" s="202">
        <v>469271.6</v>
      </c>
      <c r="K17" s="200">
        <v>4625537</v>
      </c>
      <c r="L17" s="103">
        <f t="shared" si="0"/>
        <v>0.15734566386562251</v>
      </c>
      <c r="M17" s="186">
        <v>64507</v>
      </c>
      <c r="N17" s="45">
        <f t="shared" si="1"/>
        <v>1.3945840234333873E-2</v>
      </c>
      <c r="O17" s="45">
        <f t="shared" si="2"/>
        <v>3.4647402607468958E-2</v>
      </c>
      <c r="P17" s="188">
        <v>2235</v>
      </c>
      <c r="Q17" s="186">
        <v>1723</v>
      </c>
      <c r="R17" s="101">
        <f t="shared" si="3"/>
        <v>0.77091722595078305</v>
      </c>
      <c r="S17" s="198">
        <f t="shared" si="4"/>
        <v>325.64124832214765</v>
      </c>
      <c r="T17" s="100">
        <f t="shared" si="5"/>
        <v>422.40753917585602</v>
      </c>
      <c r="U17" s="198">
        <f>Q17*$W15</f>
        <v>677139</v>
      </c>
      <c r="V17" s="197">
        <f>IFERROR(U17/H17,"-")</f>
        <v>0.93038112143255769</v>
      </c>
      <c r="W17" s="2272"/>
      <c r="X17" s="187">
        <v>152</v>
      </c>
      <c r="Y17" s="186">
        <v>125</v>
      </c>
      <c r="Z17" s="45">
        <f t="shared" si="6"/>
        <v>0.82236842105263153</v>
      </c>
      <c r="AA17" s="44">
        <f t="shared" si="7"/>
        <v>4788.2117763157894</v>
      </c>
      <c r="AB17" s="99">
        <f t="shared" si="8"/>
        <v>5822.4655199999997</v>
      </c>
      <c r="AC17" s="42">
        <f>Y17*AE17</f>
        <v>45375</v>
      </c>
      <c r="AD17" s="41">
        <f>IFERROR(AC17/H17,"-")</f>
        <v>6.2344722996315834E-2</v>
      </c>
      <c r="AE17" s="201">
        <v>363</v>
      </c>
    </row>
    <row r="18" spans="1:31" ht="15.5" customHeight="1">
      <c r="B18" s="2323" t="s">
        <v>559</v>
      </c>
      <c r="C18" s="137" t="s">
        <v>37</v>
      </c>
      <c r="D18" s="1760"/>
      <c r="E18" s="1760"/>
      <c r="F18" s="1760"/>
      <c r="G18" s="1760"/>
      <c r="H18" s="136">
        <f>SUM(H15:H17)</f>
        <v>4358393.91</v>
      </c>
      <c r="I18" s="135">
        <f>SUM(I15:I17)</f>
        <v>1979535.01</v>
      </c>
      <c r="J18" s="134">
        <f>SUM(J15:J17)</f>
        <v>2378858.9</v>
      </c>
      <c r="K18" s="130">
        <f>SUM(K15:K17)</f>
        <v>7005060</v>
      </c>
      <c r="L18" s="133">
        <f>H18/K18</f>
        <v>0.6221779556492022</v>
      </c>
      <c r="M18" s="130">
        <f>SUM(M15:M17)</f>
        <v>193612</v>
      </c>
      <c r="N18" s="132">
        <f t="shared" si="1"/>
        <v>2.7638878182342477E-2</v>
      </c>
      <c r="O18" s="132">
        <f t="shared" si="2"/>
        <v>8.3636344854657763E-2</v>
      </c>
      <c r="P18" s="130">
        <f>SUM(P15:P17)</f>
        <v>16193</v>
      </c>
      <c r="Q18" s="130">
        <f>SUM(Q15:Q17)</f>
        <v>13512</v>
      </c>
      <c r="R18" s="132">
        <f t="shared" si="3"/>
        <v>0.83443463224850245</v>
      </c>
      <c r="S18" s="131">
        <f t="shared" si="4"/>
        <v>269.15296177360591</v>
      </c>
      <c r="T18" s="131">
        <f t="shared" si="5"/>
        <v>322.55727575488459</v>
      </c>
      <c r="U18" s="130">
        <f>Q18*$W15</f>
        <v>5310216</v>
      </c>
      <c r="V18" s="129">
        <f>U18/H18</f>
        <v>1.2183882663327235</v>
      </c>
      <c r="W18" s="128"/>
      <c r="X18" s="127">
        <f>SUM(X15:X17)</f>
        <v>4440</v>
      </c>
      <c r="Y18" s="124">
        <f>SUM(Y15:Y17)</f>
        <v>4141</v>
      </c>
      <c r="Z18" s="126">
        <f>Y18/X18</f>
        <v>0.93265765765765762</v>
      </c>
      <c r="AA18" s="125">
        <f>H18/X18</f>
        <v>981.62025000000006</v>
      </c>
      <c r="AB18" s="125">
        <f t="shared" si="8"/>
        <v>1052.4979256218305</v>
      </c>
      <c r="AC18" s="125">
        <f>Y18*AE18</f>
        <v>1627413</v>
      </c>
      <c r="AD18" s="123">
        <f>AC18/H18</f>
        <v>0.3733974105153795</v>
      </c>
      <c r="AE18" s="122">
        <v>393</v>
      </c>
    </row>
    <row r="19" spans="1:31" ht="15.5" customHeight="1">
      <c r="B19" s="2313"/>
      <c r="C19" s="83" t="s">
        <v>36</v>
      </c>
      <c r="D19" s="1761"/>
      <c r="E19" s="1761"/>
      <c r="F19" s="1761"/>
      <c r="G19" s="1761"/>
      <c r="H19" s="121">
        <f>SUM(H15:H17)</f>
        <v>4358393.91</v>
      </c>
      <c r="I19" s="120">
        <f>SUM(I15:I17)</f>
        <v>1979535.01</v>
      </c>
      <c r="J19" s="119">
        <f>SUM(J15:J17)</f>
        <v>2378858.9</v>
      </c>
      <c r="K19" s="76">
        <v>6763225</v>
      </c>
      <c r="L19" s="79">
        <f>H19/K19</f>
        <v>0.64442539025390999</v>
      </c>
      <c r="M19" s="76">
        <v>184127</v>
      </c>
      <c r="N19" s="78">
        <f t="shared" si="1"/>
        <v>2.7224733762369283E-2</v>
      </c>
      <c r="O19" s="78">
        <f t="shared" si="2"/>
        <v>8.2584303225491096E-2</v>
      </c>
      <c r="P19" s="76">
        <v>15206</v>
      </c>
      <c r="Q19" s="76">
        <v>12776</v>
      </c>
      <c r="R19" s="78">
        <f t="shared" si="3"/>
        <v>0.84019466000263054</v>
      </c>
      <c r="S19" s="77">
        <f t="shared" si="4"/>
        <v>286.62330067078784</v>
      </c>
      <c r="T19" s="77">
        <f t="shared" si="5"/>
        <v>341.13916014402002</v>
      </c>
      <c r="U19" s="196">
        <f>Q19*$W15</f>
        <v>5020968</v>
      </c>
      <c r="V19" s="118">
        <f>U19/H19</f>
        <v>1.15202253483325</v>
      </c>
      <c r="W19" s="74"/>
      <c r="X19" s="117"/>
      <c r="Y19" s="76"/>
      <c r="Z19" s="78"/>
      <c r="AA19" s="116"/>
      <c r="AB19" s="116"/>
      <c r="AC19" s="76"/>
      <c r="AD19" s="115"/>
      <c r="AE19" s="114"/>
    </row>
    <row r="20" spans="1:31" ht="16.5">
      <c r="B20" s="234"/>
      <c r="C20" s="238"/>
      <c r="D20" s="238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</row>
    <row r="21" spans="1:31" ht="16.5">
      <c r="A21" s="342"/>
      <c r="B21" s="404"/>
      <c r="C21" s="343"/>
      <c r="D21" s="343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</row>
    <row r="22" spans="1:31" ht="16.5">
      <c r="B22" s="66" t="s">
        <v>128</v>
      </c>
      <c r="C22" s="235"/>
      <c r="D22" s="235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</row>
    <row r="23" spans="1:31" ht="14.5">
      <c r="B23" s="66" t="s">
        <v>84</v>
      </c>
    </row>
    <row r="24" spans="1:31" ht="16.5">
      <c r="B24" s="2297" t="s">
        <v>32</v>
      </c>
      <c r="C24" s="2299" t="s">
        <v>31</v>
      </c>
      <c r="D24" s="2299" t="s">
        <v>437</v>
      </c>
      <c r="E24" s="2299" t="s">
        <v>439</v>
      </c>
      <c r="F24" s="2299" t="s">
        <v>441</v>
      </c>
      <c r="G24" s="2299" t="s">
        <v>30</v>
      </c>
      <c r="H24" s="2302" t="s">
        <v>29</v>
      </c>
      <c r="I24" s="2303"/>
      <c r="J24" s="2304"/>
      <c r="K24" s="2305" t="s">
        <v>28</v>
      </c>
      <c r="L24" s="2303"/>
      <c r="M24" s="2303"/>
      <c r="N24" s="2303"/>
      <c r="O24" s="2303"/>
      <c r="P24" s="2303"/>
      <c r="Q24" s="2303"/>
      <c r="R24" s="2303"/>
      <c r="S24" s="2303"/>
      <c r="T24" s="2303"/>
      <c r="U24" s="2303"/>
      <c r="V24" s="2303"/>
      <c r="W24" s="2304"/>
      <c r="X24" s="2305" t="s">
        <v>27</v>
      </c>
      <c r="Y24" s="2303"/>
      <c r="Z24" s="2303"/>
      <c r="AA24" s="2303"/>
      <c r="AB24" s="2303"/>
      <c r="AC24" s="2303"/>
      <c r="AD24" s="2303"/>
      <c r="AE24" s="2304"/>
    </row>
    <row r="25" spans="1:31" ht="66">
      <c r="B25" s="2298"/>
      <c r="C25" s="2300"/>
      <c r="D25" s="2301"/>
      <c r="E25" s="2301"/>
      <c r="F25" s="2301"/>
      <c r="G25" s="2301"/>
      <c r="H25" s="179" t="s">
        <v>26</v>
      </c>
      <c r="I25" s="178" t="s">
        <v>25</v>
      </c>
      <c r="J25" s="174" t="s">
        <v>24</v>
      </c>
      <c r="K25" s="177" t="s">
        <v>23</v>
      </c>
      <c r="L25" s="175" t="s">
        <v>44</v>
      </c>
      <c r="M25" s="178" t="s">
        <v>21</v>
      </c>
      <c r="N25" s="175" t="s">
        <v>20</v>
      </c>
      <c r="O25" s="175" t="s">
        <v>19</v>
      </c>
      <c r="P25" s="177" t="s">
        <v>18</v>
      </c>
      <c r="Q25" s="175" t="s">
        <v>17</v>
      </c>
      <c r="R25" s="58" t="s">
        <v>16</v>
      </c>
      <c r="S25" s="172" t="s">
        <v>15</v>
      </c>
      <c r="T25" s="175" t="s">
        <v>14</v>
      </c>
      <c r="U25" s="58" t="s">
        <v>13</v>
      </c>
      <c r="V25" s="175" t="s">
        <v>12</v>
      </c>
      <c r="W25" s="1457" t="s">
        <v>11</v>
      </c>
      <c r="X25" s="173" t="s">
        <v>10</v>
      </c>
      <c r="Y25" s="172" t="s">
        <v>9</v>
      </c>
      <c r="Z25" s="171" t="s">
        <v>8</v>
      </c>
      <c r="AA25" s="171" t="s">
        <v>7</v>
      </c>
      <c r="AB25" s="171" t="s">
        <v>6</v>
      </c>
      <c r="AC25" s="171" t="s">
        <v>5</v>
      </c>
      <c r="AD25" s="171" t="s">
        <v>4</v>
      </c>
      <c r="AE25" s="170" t="s">
        <v>3</v>
      </c>
    </row>
    <row r="26" spans="1:31" ht="16.5">
      <c r="B26" s="2288" t="s">
        <v>79</v>
      </c>
      <c r="C26" s="169" t="s">
        <v>864</v>
      </c>
      <c r="D26" s="169" t="s">
        <v>448</v>
      </c>
      <c r="E26" s="169" t="s">
        <v>450</v>
      </c>
      <c r="F26" s="169" t="s">
        <v>447</v>
      </c>
      <c r="G26" s="169" t="s">
        <v>523</v>
      </c>
      <c r="H26" s="221">
        <f>J26+I26</f>
        <v>2845177.61</v>
      </c>
      <c r="I26" s="195">
        <v>1107652.69</v>
      </c>
      <c r="J26" s="194">
        <v>1737524.92</v>
      </c>
      <c r="K26" s="1351">
        <v>1684164</v>
      </c>
      <c r="L26" s="1352">
        <f>H26/K26</f>
        <v>1.6893708748079166</v>
      </c>
      <c r="M26" s="186">
        <v>71446</v>
      </c>
      <c r="N26" s="1353">
        <f>M26/K26</f>
        <v>4.2422234414225692E-2</v>
      </c>
      <c r="O26" s="1354">
        <f>P26/M26</f>
        <v>0.11708143213056015</v>
      </c>
      <c r="P26" s="188">
        <v>8365</v>
      </c>
      <c r="Q26" s="186">
        <v>7296</v>
      </c>
      <c r="R26" s="101">
        <f>Q26/P26</f>
        <v>0.87220561864913326</v>
      </c>
      <c r="S26" s="198">
        <f>H26/P26</f>
        <v>340.12882367005381</v>
      </c>
      <c r="T26" s="1455">
        <f>H26/Q26</f>
        <v>389.96403645833334</v>
      </c>
      <c r="U26" s="198">
        <f>Q26*$W26</f>
        <v>2736000</v>
      </c>
      <c r="V26" s="1456">
        <f>IFERROR(U26/H26,"-")</f>
        <v>0.96162713722465998</v>
      </c>
      <c r="W26" s="1458">
        <v>375</v>
      </c>
      <c r="X26" s="187">
        <v>3542</v>
      </c>
      <c r="Y26" s="186">
        <v>3383</v>
      </c>
      <c r="Z26" s="45">
        <f>Y26/X26</f>
        <v>0.95511010728402035</v>
      </c>
      <c r="AA26" s="44">
        <f>H26/X26</f>
        <v>803.26866459627331</v>
      </c>
      <c r="AB26" s="99">
        <f>H26/Y26</f>
        <v>841.02205438959504</v>
      </c>
      <c r="AC26" s="42">
        <f>Y26*AE26</f>
        <v>1556180</v>
      </c>
      <c r="AD26" s="41">
        <f>IFERROR(AC26/H26,"-")</f>
        <v>0.54695355204907581</v>
      </c>
      <c r="AE26" s="40">
        <v>460</v>
      </c>
    </row>
    <row r="27" spans="1:31" ht="16.5">
      <c r="B27" s="2289"/>
      <c r="C27" s="153" t="s">
        <v>0</v>
      </c>
      <c r="D27" s="153"/>
      <c r="E27" s="153"/>
      <c r="F27" s="153"/>
      <c r="G27" s="153"/>
      <c r="H27" s="82">
        <f>SUM(H26)</f>
        <v>2845177.61</v>
      </c>
      <c r="I27" s="81">
        <f>SUM(I26)</f>
        <v>1107652.69</v>
      </c>
      <c r="J27" s="80">
        <f>SUM(J26)</f>
        <v>1737524.92</v>
      </c>
      <c r="K27" s="76">
        <f>SUM(K26:K26)</f>
        <v>1684164</v>
      </c>
      <c r="L27" s="79">
        <f>H27/K27</f>
        <v>1.6893708748079166</v>
      </c>
      <c r="M27" s="76">
        <f>SUM(M26)</f>
        <v>71446</v>
      </c>
      <c r="N27" s="78">
        <f>M27/K27</f>
        <v>4.2422234414225692E-2</v>
      </c>
      <c r="O27" s="78">
        <f>P27/M27</f>
        <v>0.11708143213056015</v>
      </c>
      <c r="P27" s="76">
        <f>SUM(P26)</f>
        <v>8365</v>
      </c>
      <c r="Q27" s="76">
        <f>SUM(Q26)</f>
        <v>7296</v>
      </c>
      <c r="R27" s="78">
        <f>Q27/P27</f>
        <v>0.87220561864913326</v>
      </c>
      <c r="S27" s="77">
        <f>H27/P27</f>
        <v>340.12882367005381</v>
      </c>
      <c r="T27" s="77">
        <f>H27/Q27</f>
        <v>389.96403645833334</v>
      </c>
      <c r="U27" s="76">
        <f>Q27*$W26</f>
        <v>2736000</v>
      </c>
      <c r="V27" s="118">
        <f>U27/H27</f>
        <v>0.96162713722465998</v>
      </c>
      <c r="W27" s="74"/>
      <c r="X27" s="73">
        <f>SUM(X26)</f>
        <v>3542</v>
      </c>
      <c r="Y27" s="70">
        <f>SUM(Y26)</f>
        <v>3383</v>
      </c>
      <c r="Z27" s="72">
        <f>Y27/X27</f>
        <v>0.95511010728402035</v>
      </c>
      <c r="AA27" s="71">
        <f>H27/X27</f>
        <v>803.26866459627331</v>
      </c>
      <c r="AB27" s="71">
        <f>H27/Y27</f>
        <v>841.02205438959504</v>
      </c>
      <c r="AC27" s="70">
        <f>Y27*AE26</f>
        <v>1556180</v>
      </c>
      <c r="AD27" s="69">
        <f>AC27/H27</f>
        <v>0.54695355204907581</v>
      </c>
      <c r="AE27" s="68"/>
    </row>
    <row r="28" spans="1:31" ht="16.5">
      <c r="B28" s="236"/>
      <c r="C28" s="235"/>
      <c r="D28" s="235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</row>
    <row r="29" spans="1:31" ht="16.5">
      <c r="B29" s="236"/>
      <c r="C29" s="235"/>
      <c r="D29" s="235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</row>
    <row r="30" spans="1:31" ht="16.5">
      <c r="B30" s="236"/>
      <c r="C30" s="235"/>
      <c r="D30" s="235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</row>
    <row r="31" spans="1:31" ht="16.5">
      <c r="B31" s="66" t="s">
        <v>78</v>
      </c>
      <c r="C31" s="235"/>
      <c r="D31" s="235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</row>
    <row r="32" spans="1:31" ht="16.5">
      <c r="B32" s="2280" t="s">
        <v>32</v>
      </c>
      <c r="C32" s="2281" t="s">
        <v>31</v>
      </c>
      <c r="D32" s="2310" t="s">
        <v>30</v>
      </c>
      <c r="E32" s="2283" t="s">
        <v>29</v>
      </c>
      <c r="F32" s="2286"/>
      <c r="G32" s="2287"/>
      <c r="H32" s="2268" t="s">
        <v>28</v>
      </c>
      <c r="I32" s="2284"/>
      <c r="J32" s="2284"/>
      <c r="K32" s="2284"/>
      <c r="L32" s="2284"/>
      <c r="M32" s="2284"/>
      <c r="N32" s="2284"/>
      <c r="O32" s="2284"/>
      <c r="P32" s="2284"/>
      <c r="Q32" s="2284"/>
      <c r="R32" s="2284"/>
      <c r="S32" s="2284"/>
      <c r="T32" s="2285"/>
      <c r="U32" s="2268" t="s">
        <v>27</v>
      </c>
      <c r="V32" s="2284"/>
      <c r="W32" s="2284"/>
      <c r="X32" s="2284"/>
      <c r="Y32" s="2284"/>
      <c r="Z32" s="2284"/>
      <c r="AA32" s="2284"/>
      <c r="AB32" s="2285"/>
    </row>
    <row r="33" spans="2:28" ht="66">
      <c r="B33" s="2308"/>
      <c r="C33" s="2309"/>
      <c r="D33" s="2322"/>
      <c r="E33" s="112" t="s">
        <v>26</v>
      </c>
      <c r="F33" s="111" t="s">
        <v>25</v>
      </c>
      <c r="G33" s="110" t="s">
        <v>24</v>
      </c>
      <c r="H33" s="107" t="s">
        <v>23</v>
      </c>
      <c r="I33" s="108" t="s">
        <v>22</v>
      </c>
      <c r="J33" s="111" t="s">
        <v>21</v>
      </c>
      <c r="K33" s="108" t="s">
        <v>20</v>
      </c>
      <c r="L33" s="108" t="s">
        <v>19</v>
      </c>
      <c r="M33" s="107" t="s">
        <v>18</v>
      </c>
      <c r="N33" s="108" t="s">
        <v>17</v>
      </c>
      <c r="O33" s="108" t="s">
        <v>16</v>
      </c>
      <c r="P33" s="108" t="s">
        <v>15</v>
      </c>
      <c r="Q33" s="108" t="s">
        <v>14</v>
      </c>
      <c r="R33" s="108" t="s">
        <v>13</v>
      </c>
      <c r="S33" s="108" t="s">
        <v>12</v>
      </c>
      <c r="T33" s="110" t="s">
        <v>11</v>
      </c>
      <c r="U33" s="109" t="s">
        <v>10</v>
      </c>
      <c r="V33" s="108" t="s">
        <v>67</v>
      </c>
      <c r="W33" s="107" t="s">
        <v>8</v>
      </c>
      <c r="X33" s="107" t="s">
        <v>7</v>
      </c>
      <c r="Y33" s="107" t="s">
        <v>6</v>
      </c>
      <c r="Z33" s="107" t="s">
        <v>71</v>
      </c>
      <c r="AA33" s="107" t="s">
        <v>4</v>
      </c>
      <c r="AB33" s="106" t="s">
        <v>3</v>
      </c>
    </row>
    <row r="34" spans="2:28" ht="16.5">
      <c r="B34" s="2316" t="s">
        <v>77</v>
      </c>
      <c r="C34" s="217" t="s">
        <v>865</v>
      </c>
      <c r="D34" s="2320" t="s">
        <v>63</v>
      </c>
      <c r="E34" s="221">
        <f>F34+G34</f>
        <v>1888058.6099999999</v>
      </c>
      <c r="F34" s="195">
        <v>1655554.6099999999</v>
      </c>
      <c r="G34" s="194">
        <v>232504</v>
      </c>
      <c r="H34" s="200">
        <v>895616</v>
      </c>
      <c r="I34" s="103">
        <f t="shared" ref="I34:I40" si="9">E34/H34</f>
        <v>2.1081117465520935</v>
      </c>
      <c r="J34" s="186">
        <v>119566</v>
      </c>
      <c r="K34" s="45">
        <f t="shared" ref="K34:K40" si="10">J34/H34</f>
        <v>0.13350141131913676</v>
      </c>
      <c r="L34" s="45">
        <f t="shared" ref="L34:L40" si="11">M34/J34</f>
        <v>0.17163742200960139</v>
      </c>
      <c r="M34" s="188">
        <v>20522</v>
      </c>
      <c r="N34" s="186">
        <v>16163</v>
      </c>
      <c r="O34" s="101">
        <f t="shared" ref="O34:O40" si="12">N34/M34</f>
        <v>0.7875938017737063</v>
      </c>
      <c r="P34" s="198">
        <f t="shared" ref="P34:P40" si="13">E34/M34</f>
        <v>92.001686482798945</v>
      </c>
      <c r="Q34" s="100">
        <f t="shared" ref="Q34:Q40" si="14">E34/N34</f>
        <v>116.81362432716698</v>
      </c>
      <c r="R34" s="198">
        <f>N34*$T34</f>
        <v>6368222</v>
      </c>
      <c r="S34" s="197">
        <f>IFERROR(R34/E34,"-")</f>
        <v>3.3728942344644697</v>
      </c>
      <c r="T34" s="2279">
        <v>394</v>
      </c>
      <c r="U34" s="187">
        <v>4482</v>
      </c>
      <c r="V34" s="186">
        <v>3460</v>
      </c>
      <c r="W34" s="45">
        <f t="shared" ref="W34:W39" si="15">V34/U34</f>
        <v>0.77197679607318159</v>
      </c>
      <c r="X34" s="44">
        <f t="shared" ref="X34:X39" si="16">E34/U34</f>
        <v>421.25359437751001</v>
      </c>
      <c r="Y34" s="99">
        <f t="shared" ref="Y34:Y39" si="17">E34/V34</f>
        <v>545.68167919075142</v>
      </c>
      <c r="Z34" s="42">
        <f t="shared" ref="Z34:Z38" si="18">V34*AB34</f>
        <v>2377020</v>
      </c>
      <c r="AA34" s="41">
        <f>IFERROR(Z34/E34,"-")</f>
        <v>1.258975747580209</v>
      </c>
      <c r="AB34" s="40">
        <v>687</v>
      </c>
    </row>
    <row r="35" spans="2:28" ht="16.5">
      <c r="B35" s="2312"/>
      <c r="C35" s="217" t="s">
        <v>867</v>
      </c>
      <c r="D35" s="2321"/>
      <c r="E35" s="219">
        <f>F35+G35</f>
        <v>1029721.21</v>
      </c>
      <c r="F35" s="203">
        <v>808766.21</v>
      </c>
      <c r="G35" s="202">
        <v>220955</v>
      </c>
      <c r="H35" s="200">
        <v>1259726</v>
      </c>
      <c r="I35" s="103">
        <f t="shared" si="9"/>
        <v>0.81741681127483279</v>
      </c>
      <c r="J35" s="186">
        <v>132895</v>
      </c>
      <c r="K35" s="45">
        <f t="shared" si="10"/>
        <v>0.1054951632339096</v>
      </c>
      <c r="L35" s="45">
        <f t="shared" si="11"/>
        <v>0.16171413521953421</v>
      </c>
      <c r="M35" s="188">
        <v>21491</v>
      </c>
      <c r="N35" s="186">
        <v>16824</v>
      </c>
      <c r="O35" s="101">
        <f t="shared" si="12"/>
        <v>0.78283932809082868</v>
      </c>
      <c r="P35" s="198">
        <f t="shared" si="13"/>
        <v>47.914066818668275</v>
      </c>
      <c r="Q35" s="100">
        <f t="shared" si="14"/>
        <v>61.205492748454589</v>
      </c>
      <c r="R35" s="198">
        <f>N35*$T34</f>
        <v>6628656</v>
      </c>
      <c r="S35" s="197">
        <f>IFERROR(R35/E35,"-")</f>
        <v>6.4373307412013006</v>
      </c>
      <c r="T35" s="2272"/>
      <c r="U35" s="187">
        <v>1061</v>
      </c>
      <c r="V35" s="186">
        <v>892</v>
      </c>
      <c r="W35" s="45">
        <f t="shared" si="15"/>
        <v>0.84071630537229025</v>
      </c>
      <c r="X35" s="44">
        <f t="shared" si="16"/>
        <v>970.51951932139491</v>
      </c>
      <c r="Y35" s="99">
        <f t="shared" si="17"/>
        <v>1154.3959753363229</v>
      </c>
      <c r="Z35" s="42">
        <f t="shared" si="18"/>
        <v>346096</v>
      </c>
      <c r="AA35" s="41">
        <f>IFERROR(Z35/E35,"-")</f>
        <v>0.33610650789644314</v>
      </c>
      <c r="AB35" s="40">
        <v>388</v>
      </c>
    </row>
    <row r="36" spans="2:28" ht="16.5">
      <c r="B36" s="2312"/>
      <c r="C36" s="216" t="s">
        <v>868</v>
      </c>
      <c r="D36" s="2321"/>
      <c r="E36" s="219">
        <f>F36+G36</f>
        <v>551644.78</v>
      </c>
      <c r="F36" s="203">
        <v>551644.78</v>
      </c>
      <c r="G36" s="202">
        <v>0</v>
      </c>
      <c r="H36" s="200">
        <v>695680</v>
      </c>
      <c r="I36" s="103">
        <f t="shared" si="9"/>
        <v>0.79295765294388232</v>
      </c>
      <c r="J36" s="186">
        <v>71660</v>
      </c>
      <c r="K36" s="45">
        <f t="shared" si="10"/>
        <v>0.10300712971481141</v>
      </c>
      <c r="L36" s="45">
        <f t="shared" si="11"/>
        <v>0.12465810773095172</v>
      </c>
      <c r="M36" s="188">
        <v>8933</v>
      </c>
      <c r="N36" s="186">
        <v>6968</v>
      </c>
      <c r="O36" s="101">
        <f t="shared" si="12"/>
        <v>0.78002910556364047</v>
      </c>
      <c r="P36" s="198">
        <f t="shared" si="13"/>
        <v>61.753585581551555</v>
      </c>
      <c r="Q36" s="100">
        <f t="shared" si="14"/>
        <v>79.168309414466137</v>
      </c>
      <c r="R36" s="198">
        <f>N36*$T34</f>
        <v>2745392</v>
      </c>
      <c r="S36" s="197">
        <f>IFERROR(R36/E36,"-")</f>
        <v>4.9767388354513207</v>
      </c>
      <c r="T36" s="2272"/>
      <c r="U36" s="187">
        <v>281</v>
      </c>
      <c r="V36" s="186">
        <v>222</v>
      </c>
      <c r="W36" s="45">
        <f t="shared" si="15"/>
        <v>0.79003558718861211</v>
      </c>
      <c r="X36" s="44">
        <f t="shared" si="16"/>
        <v>1963.1486832740216</v>
      </c>
      <c r="Y36" s="99">
        <f t="shared" si="17"/>
        <v>2484.8863963963963</v>
      </c>
      <c r="Z36" s="42">
        <f t="shared" si="18"/>
        <v>99234</v>
      </c>
      <c r="AA36" s="41">
        <f>IFERROR(Z36/E36,"-")</f>
        <v>0.1798874993433274</v>
      </c>
      <c r="AB36" s="40">
        <v>447</v>
      </c>
    </row>
    <row r="37" spans="2:28" ht="16.5">
      <c r="B37" s="2312"/>
      <c r="C37" s="220" t="s">
        <v>869</v>
      </c>
      <c r="D37" s="2321"/>
      <c r="E37" s="219">
        <f>F37+G37</f>
        <v>432244.84</v>
      </c>
      <c r="F37" s="203">
        <v>294398.84000000003</v>
      </c>
      <c r="G37" s="202">
        <v>137846</v>
      </c>
      <c r="H37" s="200">
        <v>277065</v>
      </c>
      <c r="I37" s="103">
        <f t="shared" si="9"/>
        <v>1.5600846010863878</v>
      </c>
      <c r="J37" s="186">
        <v>29842</v>
      </c>
      <c r="K37" s="45">
        <f t="shared" si="10"/>
        <v>0.10770757764423511</v>
      </c>
      <c r="L37" s="45">
        <f t="shared" si="11"/>
        <v>0.19167616111520674</v>
      </c>
      <c r="M37" s="188">
        <v>5720</v>
      </c>
      <c r="N37" s="186">
        <v>4523</v>
      </c>
      <c r="O37" s="101">
        <f t="shared" si="12"/>
        <v>0.79073426573426575</v>
      </c>
      <c r="P37" s="198">
        <f t="shared" si="13"/>
        <v>75.567279720279728</v>
      </c>
      <c r="Q37" s="100">
        <f t="shared" si="14"/>
        <v>95.565960645589215</v>
      </c>
      <c r="R37" s="198">
        <f>N37*$T34</f>
        <v>1782062</v>
      </c>
      <c r="S37" s="197">
        <f>IFERROR(R37/E37,"-")</f>
        <v>4.122806879545398</v>
      </c>
      <c r="T37" s="2272"/>
      <c r="U37" s="187">
        <v>2254</v>
      </c>
      <c r="V37" s="186">
        <v>1860</v>
      </c>
      <c r="W37" s="45">
        <f t="shared" si="15"/>
        <v>0.82519964507542143</v>
      </c>
      <c r="X37" s="44">
        <f t="shared" si="16"/>
        <v>191.76789707187223</v>
      </c>
      <c r="Y37" s="99">
        <f t="shared" si="17"/>
        <v>232.38969892473119</v>
      </c>
      <c r="Z37" s="42">
        <f t="shared" si="18"/>
        <v>630540</v>
      </c>
      <c r="AA37" s="41">
        <f>IFERROR(Z37/E37,"-")</f>
        <v>1.4587565695405409</v>
      </c>
      <c r="AB37" s="40">
        <v>339</v>
      </c>
    </row>
    <row r="38" spans="2:28" ht="16.5">
      <c r="B38" s="2312"/>
      <c r="C38" s="215" t="s">
        <v>866</v>
      </c>
      <c r="D38" s="2321"/>
      <c r="E38" s="219">
        <f>G38+F38</f>
        <v>960930.96</v>
      </c>
      <c r="F38" s="203">
        <v>674654.96</v>
      </c>
      <c r="G38" s="202">
        <v>286276</v>
      </c>
      <c r="H38" s="200">
        <v>266752</v>
      </c>
      <c r="I38" s="103">
        <f t="shared" si="9"/>
        <v>3.6023383517274472</v>
      </c>
      <c r="J38" s="186">
        <v>31129</v>
      </c>
      <c r="K38" s="45">
        <f t="shared" si="10"/>
        <v>0.11669640714971209</v>
      </c>
      <c r="L38" s="45">
        <f t="shared" si="11"/>
        <v>0.16608307366121622</v>
      </c>
      <c r="M38" s="188">
        <v>5170</v>
      </c>
      <c r="N38" s="186">
        <v>4020</v>
      </c>
      <c r="O38" s="101">
        <f t="shared" si="12"/>
        <v>0.77756286266924568</v>
      </c>
      <c r="P38" s="198">
        <f t="shared" si="13"/>
        <v>185.86672340425531</v>
      </c>
      <c r="Q38" s="100">
        <f t="shared" si="14"/>
        <v>239.03755223880597</v>
      </c>
      <c r="R38" s="198">
        <f>N38*$T34</f>
        <v>1583880</v>
      </c>
      <c r="S38" s="197">
        <f>IFERROR(R38/E38,"-")</f>
        <v>1.6482765837828766</v>
      </c>
      <c r="T38" s="218"/>
      <c r="U38" s="187">
        <v>1037</v>
      </c>
      <c r="V38" s="186">
        <v>794</v>
      </c>
      <c r="W38" s="45">
        <f t="shared" si="15"/>
        <v>0.76567020250723239</v>
      </c>
      <c r="X38" s="44">
        <f t="shared" si="16"/>
        <v>926.64509161041462</v>
      </c>
      <c r="Y38" s="99">
        <f t="shared" si="17"/>
        <v>1210.2405037783376</v>
      </c>
      <c r="Z38" s="42">
        <f t="shared" si="18"/>
        <v>250904</v>
      </c>
      <c r="AA38" s="41">
        <f>IFERROR(Z38/E38,"-")</f>
        <v>0.26110512663677732</v>
      </c>
      <c r="AB38" s="40">
        <v>316</v>
      </c>
    </row>
    <row r="39" spans="2:28" ht="16.5">
      <c r="B39" s="2312"/>
      <c r="C39" s="137" t="s">
        <v>37</v>
      </c>
      <c r="D39" s="137"/>
      <c r="E39" s="136">
        <f>SUM(E34:E38)</f>
        <v>4862600.3999999994</v>
      </c>
      <c r="F39" s="135">
        <f>SUM(F34:F38)</f>
        <v>3985019.3999999994</v>
      </c>
      <c r="G39" s="134">
        <f>SUM(G34:G38)</f>
        <v>877581</v>
      </c>
      <c r="H39" s="130">
        <f>SUM(H34:H38)</f>
        <v>3394839</v>
      </c>
      <c r="I39" s="133">
        <f t="shared" si="9"/>
        <v>1.4323508125127582</v>
      </c>
      <c r="J39" s="130">
        <f>SUM(J34:J38)</f>
        <v>385092</v>
      </c>
      <c r="K39" s="132">
        <f t="shared" si="10"/>
        <v>0.11343453990012486</v>
      </c>
      <c r="L39" s="132">
        <f t="shared" si="11"/>
        <v>0.1605746159359322</v>
      </c>
      <c r="M39" s="130">
        <f>SUM(M34:M38)</f>
        <v>61836</v>
      </c>
      <c r="N39" s="130">
        <f>SUM(N34:N38)</f>
        <v>48498</v>
      </c>
      <c r="O39" s="132">
        <f t="shared" si="12"/>
        <v>0.7843004075295944</v>
      </c>
      <c r="P39" s="131">
        <f t="shared" si="13"/>
        <v>78.637046380749069</v>
      </c>
      <c r="Q39" s="131">
        <f t="shared" si="14"/>
        <v>100.26393665718173</v>
      </c>
      <c r="R39" s="130">
        <f>N39*$T34</f>
        <v>19108212</v>
      </c>
      <c r="S39" s="129">
        <f>R39/E39</f>
        <v>3.9296282705031658</v>
      </c>
      <c r="T39" s="128"/>
      <c r="U39" s="127">
        <f>SUM(U34:U38)</f>
        <v>9115</v>
      </c>
      <c r="V39" s="124">
        <f>SUM(V34:V38)</f>
        <v>7228</v>
      </c>
      <c r="W39" s="126">
        <f t="shared" si="15"/>
        <v>0.7929786066922655</v>
      </c>
      <c r="X39" s="125">
        <f t="shared" si="16"/>
        <v>533.47234229292371</v>
      </c>
      <c r="Y39" s="125">
        <f t="shared" si="17"/>
        <v>672.7449363586054</v>
      </c>
      <c r="Z39" s="124">
        <f>V39*AB39</f>
        <v>2847832</v>
      </c>
      <c r="AA39" s="123">
        <f>Z39/E39</f>
        <v>0.58566029814006526</v>
      </c>
      <c r="AB39" s="122">
        <v>394</v>
      </c>
    </row>
    <row r="40" spans="2:28" ht="16.5">
      <c r="B40" s="2313"/>
      <c r="C40" s="83" t="s">
        <v>36</v>
      </c>
      <c r="D40" s="83"/>
      <c r="E40" s="121">
        <f>SUM(E34:E38)</f>
        <v>4862600.3999999994</v>
      </c>
      <c r="F40" s="120">
        <f>SUM(F34:F38)</f>
        <v>3985019.3999999994</v>
      </c>
      <c r="G40" s="119">
        <f>SUM(G34:G38)</f>
        <v>877581</v>
      </c>
      <c r="H40" s="76">
        <v>3114634</v>
      </c>
      <c r="I40" s="79">
        <f t="shared" si="9"/>
        <v>1.5612108517405254</v>
      </c>
      <c r="J40" s="76">
        <v>318636</v>
      </c>
      <c r="K40" s="78">
        <f t="shared" si="10"/>
        <v>0.10230287089911688</v>
      </c>
      <c r="L40" s="78">
        <f t="shared" si="11"/>
        <v>0.14972256744372889</v>
      </c>
      <c r="M40" s="76">
        <v>47707</v>
      </c>
      <c r="N40" s="76">
        <v>37703</v>
      </c>
      <c r="O40" s="78">
        <f t="shared" si="12"/>
        <v>0.79030330978682373</v>
      </c>
      <c r="P40" s="77">
        <f t="shared" si="13"/>
        <v>101.92635043075438</v>
      </c>
      <c r="Q40" s="77">
        <f t="shared" si="14"/>
        <v>128.97118001220062</v>
      </c>
      <c r="R40" s="196">
        <f>N40*$T34</f>
        <v>14854982</v>
      </c>
      <c r="S40" s="118">
        <f>R40/E40</f>
        <v>3.0549460737098615</v>
      </c>
      <c r="T40" s="74"/>
      <c r="U40" s="117"/>
      <c r="V40" s="76"/>
      <c r="W40" s="78"/>
      <c r="X40" s="116"/>
      <c r="Y40" s="116"/>
      <c r="Z40" s="76"/>
      <c r="AA40" s="115"/>
      <c r="AB40" s="114"/>
    </row>
    <row r="41" spans="2:28" ht="16.5">
      <c r="B41" s="233"/>
      <c r="C41" s="232" t="s">
        <v>461</v>
      </c>
      <c r="D41" s="231" t="s">
        <v>462</v>
      </c>
      <c r="E41" s="230">
        <f>SUM(F41,G41)</f>
        <v>4862600.4000000004</v>
      </c>
      <c r="F41" s="229">
        <v>3985019.4</v>
      </c>
      <c r="G41" s="228">
        <v>877581</v>
      </c>
    </row>
    <row r="42" spans="2:28" ht="16.5">
      <c r="B42" s="227"/>
      <c r="C42" s="226" t="s">
        <v>463</v>
      </c>
      <c r="D42" s="225" t="s">
        <v>69</v>
      </c>
      <c r="E42" s="224">
        <f>E40/E41</f>
        <v>0.99999999999999978</v>
      </c>
      <c r="F42" s="223">
        <f>F40/F41</f>
        <v>0.99999999999999989</v>
      </c>
      <c r="G42" s="222">
        <f>G40/G41</f>
        <v>1</v>
      </c>
      <c r="Q42" s="237"/>
    </row>
    <row r="43" spans="2:28" ht="16.5">
      <c r="B43" s="236"/>
      <c r="C43" s="235"/>
      <c r="D43" s="235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</row>
    <row r="44" spans="2:28" ht="16.5">
      <c r="B44" s="236"/>
      <c r="C44" s="235"/>
      <c r="D44" s="235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</row>
    <row r="45" spans="2:28" ht="16.5">
      <c r="B45" s="236"/>
      <c r="C45" s="235"/>
      <c r="D45" s="235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</row>
    <row r="46" spans="2:28" ht="16.5">
      <c r="B46" s="66" t="s">
        <v>76</v>
      </c>
      <c r="C46" s="235"/>
      <c r="D46" s="235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</row>
    <row r="47" spans="2:28" ht="16.5">
      <c r="B47" s="2280" t="s">
        <v>32</v>
      </c>
      <c r="C47" s="2281" t="s">
        <v>31</v>
      </c>
      <c r="D47" s="2310" t="s">
        <v>30</v>
      </c>
      <c r="E47" s="2283" t="s">
        <v>29</v>
      </c>
      <c r="F47" s="2286"/>
      <c r="G47" s="2287"/>
      <c r="H47" s="2268" t="s">
        <v>28</v>
      </c>
      <c r="I47" s="2284"/>
      <c r="J47" s="2284"/>
      <c r="K47" s="2284"/>
      <c r="L47" s="2284"/>
      <c r="M47" s="2284"/>
      <c r="N47" s="2284"/>
      <c r="O47" s="2284"/>
      <c r="P47" s="2284"/>
      <c r="Q47" s="2284"/>
      <c r="R47" s="2284"/>
      <c r="S47" s="2284"/>
      <c r="T47" s="2285"/>
      <c r="U47" s="2268" t="s">
        <v>27</v>
      </c>
      <c r="V47" s="2284"/>
      <c r="W47" s="2284"/>
      <c r="X47" s="2284"/>
      <c r="Y47" s="2284"/>
      <c r="Z47" s="2284"/>
      <c r="AA47" s="2284"/>
      <c r="AB47" s="2285"/>
    </row>
    <row r="48" spans="2:28" ht="66">
      <c r="B48" s="2308"/>
      <c r="C48" s="2309"/>
      <c r="D48" s="2322"/>
      <c r="E48" s="112" t="s">
        <v>26</v>
      </c>
      <c r="F48" s="111" t="s">
        <v>25</v>
      </c>
      <c r="G48" s="110" t="s">
        <v>24</v>
      </c>
      <c r="H48" s="107" t="s">
        <v>23</v>
      </c>
      <c r="I48" s="108" t="s">
        <v>22</v>
      </c>
      <c r="J48" s="111" t="s">
        <v>21</v>
      </c>
      <c r="K48" s="108" t="s">
        <v>20</v>
      </c>
      <c r="L48" s="108" t="s">
        <v>19</v>
      </c>
      <c r="M48" s="107" t="s">
        <v>18</v>
      </c>
      <c r="N48" s="108" t="s">
        <v>17</v>
      </c>
      <c r="O48" s="108" t="s">
        <v>16</v>
      </c>
      <c r="P48" s="108" t="s">
        <v>15</v>
      </c>
      <c r="Q48" s="108" t="s">
        <v>14</v>
      </c>
      <c r="R48" s="108" t="s">
        <v>13</v>
      </c>
      <c r="S48" s="108" t="s">
        <v>12</v>
      </c>
      <c r="T48" s="110" t="s">
        <v>11</v>
      </c>
      <c r="U48" s="109" t="s">
        <v>10</v>
      </c>
      <c r="V48" s="108" t="s">
        <v>67</v>
      </c>
      <c r="W48" s="107" t="s">
        <v>8</v>
      </c>
      <c r="X48" s="107" t="s">
        <v>7</v>
      </c>
      <c r="Y48" s="107" t="s">
        <v>6</v>
      </c>
      <c r="Z48" s="107" t="s">
        <v>71</v>
      </c>
      <c r="AA48" s="107" t="s">
        <v>4</v>
      </c>
      <c r="AB48" s="106" t="s">
        <v>3</v>
      </c>
    </row>
    <row r="49" spans="2:28" ht="16.5">
      <c r="B49" s="2316" t="s">
        <v>75</v>
      </c>
      <c r="C49" s="217" t="s">
        <v>865</v>
      </c>
      <c r="D49" s="2320" t="s">
        <v>63</v>
      </c>
      <c r="E49" s="221">
        <f>F49+G49</f>
        <v>1602892.92</v>
      </c>
      <c r="F49" s="195">
        <v>1370388.92</v>
      </c>
      <c r="G49" s="194">
        <v>232504</v>
      </c>
      <c r="H49" s="200">
        <v>798801</v>
      </c>
      <c r="I49" s="103">
        <f t="shared" ref="I49:I55" si="19">E49/H49</f>
        <v>2.0066235770861578</v>
      </c>
      <c r="J49" s="186">
        <v>98236</v>
      </c>
      <c r="K49" s="45">
        <f t="shared" ref="K49:K55" si="20">J49/H49</f>
        <v>0.12297931524872903</v>
      </c>
      <c r="L49" s="45">
        <f t="shared" ref="L49:L55" si="21">M49/J49</f>
        <v>0.16319882731381571</v>
      </c>
      <c r="M49" s="188">
        <v>16032</v>
      </c>
      <c r="N49" s="186">
        <v>12602</v>
      </c>
      <c r="O49" s="101">
        <f t="shared" ref="O49:O55" si="22">N49/M49</f>
        <v>0.78605289421157687</v>
      </c>
      <c r="P49" s="198">
        <f t="shared" ref="P49:P55" si="23">E49/M49</f>
        <v>99.980845808383222</v>
      </c>
      <c r="Q49" s="100">
        <f t="shared" ref="Q49:Q55" si="24">E49/N49</f>
        <v>127.19353435962545</v>
      </c>
      <c r="R49" s="198">
        <f>N49*$T49</f>
        <v>4965188</v>
      </c>
      <c r="S49" s="197">
        <f>IFERROR(R49/E49,"-")</f>
        <v>3.0976417314264513</v>
      </c>
      <c r="T49" s="2279">
        <v>394</v>
      </c>
      <c r="U49" s="187">
        <v>2472</v>
      </c>
      <c r="V49" s="186">
        <v>1892</v>
      </c>
      <c r="W49" s="45">
        <f t="shared" ref="W49:W54" si="25">V49/U49</f>
        <v>0.7653721682847896</v>
      </c>
      <c r="X49" s="44">
        <f t="shared" ref="X49:X54" si="26">E49/U49</f>
        <v>648.41946601941743</v>
      </c>
      <c r="Y49" s="99">
        <f t="shared" ref="Y49:Y54" si="27">E49/V49</f>
        <v>847.19498942917539</v>
      </c>
      <c r="Z49" s="42">
        <f t="shared" ref="Z49:Z54" si="28">V49*AB49</f>
        <v>1299804</v>
      </c>
      <c r="AA49" s="41">
        <f>IFERROR(Z49/E49,"-")</f>
        <v>0.81091131153040474</v>
      </c>
      <c r="AB49" s="40">
        <v>687</v>
      </c>
    </row>
    <row r="50" spans="2:28" ht="16.5">
      <c r="B50" s="2312"/>
      <c r="C50" s="217" t="s">
        <v>867</v>
      </c>
      <c r="D50" s="2321"/>
      <c r="E50" s="219">
        <f>F50+G50</f>
        <v>949436.32</v>
      </c>
      <c r="F50" s="203">
        <v>728481.32</v>
      </c>
      <c r="G50" s="202">
        <v>220955</v>
      </c>
      <c r="H50" s="200">
        <v>1153094</v>
      </c>
      <c r="I50" s="103">
        <f t="shared" si="19"/>
        <v>0.82338154565022448</v>
      </c>
      <c r="J50" s="186">
        <v>110647</v>
      </c>
      <c r="K50" s="45">
        <f t="shared" si="20"/>
        <v>9.5956617587117793E-2</v>
      </c>
      <c r="L50" s="45">
        <f t="shared" si="21"/>
        <v>0.15201496651513371</v>
      </c>
      <c r="M50" s="188">
        <v>16820</v>
      </c>
      <c r="N50" s="186">
        <v>13087</v>
      </c>
      <c r="O50" s="101">
        <f t="shared" si="22"/>
        <v>0.77806183115338878</v>
      </c>
      <c r="P50" s="198">
        <f t="shared" si="23"/>
        <v>56.446868014268723</v>
      </c>
      <c r="Q50" s="100">
        <f t="shared" si="24"/>
        <v>72.548049209138838</v>
      </c>
      <c r="R50" s="198">
        <f>N50*$T49</f>
        <v>5156278</v>
      </c>
      <c r="S50" s="197">
        <f>IFERROR(R50/E50,"-")</f>
        <v>5.4308834530366399</v>
      </c>
      <c r="T50" s="2272"/>
      <c r="U50" s="187">
        <v>735</v>
      </c>
      <c r="V50" s="186">
        <v>608</v>
      </c>
      <c r="W50" s="45">
        <f t="shared" si="25"/>
        <v>0.82721088435374146</v>
      </c>
      <c r="X50" s="44">
        <f t="shared" si="26"/>
        <v>1291.7500952380951</v>
      </c>
      <c r="Y50" s="99">
        <f t="shared" si="27"/>
        <v>1561.572894736842</v>
      </c>
      <c r="Z50" s="42">
        <f t="shared" si="28"/>
        <v>235904</v>
      </c>
      <c r="AA50" s="41">
        <f>IFERROR(Z50/E50,"-")</f>
        <v>0.24846742749424208</v>
      </c>
      <c r="AB50" s="40">
        <v>388</v>
      </c>
    </row>
    <row r="51" spans="2:28" ht="16.5">
      <c r="B51" s="2312"/>
      <c r="C51" s="216" t="s">
        <v>868</v>
      </c>
      <c r="D51" s="2321"/>
      <c r="E51" s="219">
        <f>F51+G51</f>
        <v>487687.58</v>
      </c>
      <c r="F51" s="203">
        <v>487687.58</v>
      </c>
      <c r="G51" s="202">
        <v>0</v>
      </c>
      <c r="H51" s="200">
        <v>631782</v>
      </c>
      <c r="I51" s="103">
        <f t="shared" si="19"/>
        <v>0.77192382815591454</v>
      </c>
      <c r="J51" s="186">
        <v>59000</v>
      </c>
      <c r="K51" s="45">
        <f t="shared" si="20"/>
        <v>9.3386642860986857E-2</v>
      </c>
      <c r="L51" s="45">
        <f t="shared" si="21"/>
        <v>0.1192542372881356</v>
      </c>
      <c r="M51" s="188">
        <v>7036</v>
      </c>
      <c r="N51" s="186">
        <v>5427</v>
      </c>
      <c r="O51" s="101">
        <f t="shared" si="22"/>
        <v>0.77131893121091533</v>
      </c>
      <c r="P51" s="198">
        <f t="shared" si="23"/>
        <v>69.313186469584991</v>
      </c>
      <c r="Q51" s="100">
        <f t="shared" si="24"/>
        <v>89.863198820711261</v>
      </c>
      <c r="R51" s="198">
        <f>N51*$T49</f>
        <v>2138238</v>
      </c>
      <c r="S51" s="197">
        <f>IFERROR(R51/E51,"-")</f>
        <v>4.3844421873528132</v>
      </c>
      <c r="T51" s="2272"/>
      <c r="U51" s="187">
        <v>227</v>
      </c>
      <c r="V51" s="186">
        <v>185</v>
      </c>
      <c r="W51" s="45">
        <f t="shared" si="25"/>
        <v>0.81497797356828194</v>
      </c>
      <c r="X51" s="44">
        <f t="shared" si="26"/>
        <v>2148.403436123348</v>
      </c>
      <c r="Y51" s="99">
        <f t="shared" si="27"/>
        <v>2636.149081081081</v>
      </c>
      <c r="Z51" s="42">
        <f t="shared" si="28"/>
        <v>82695</v>
      </c>
      <c r="AA51" s="41">
        <f>IFERROR(Z51/E51,"-")</f>
        <v>0.16956552389544141</v>
      </c>
      <c r="AB51" s="40">
        <v>447</v>
      </c>
    </row>
    <row r="52" spans="2:28" ht="16.5">
      <c r="B52" s="2312"/>
      <c r="C52" s="220" t="s">
        <v>869</v>
      </c>
      <c r="D52" s="2321"/>
      <c r="E52" s="219">
        <f>F52+G52</f>
        <v>263311.71999999997</v>
      </c>
      <c r="F52" s="203">
        <v>188081.72</v>
      </c>
      <c r="G52" s="202">
        <v>75230</v>
      </c>
      <c r="H52" s="200">
        <v>180142</v>
      </c>
      <c r="I52" s="103">
        <f t="shared" si="19"/>
        <v>1.4616897780639715</v>
      </c>
      <c r="J52" s="186">
        <v>20374</v>
      </c>
      <c r="K52" s="45">
        <f t="shared" si="20"/>
        <v>0.11309966581918708</v>
      </c>
      <c r="L52" s="45">
        <f t="shared" si="21"/>
        <v>0.20324923922646509</v>
      </c>
      <c r="M52" s="188">
        <v>4141</v>
      </c>
      <c r="N52" s="186">
        <v>3263</v>
      </c>
      <c r="O52" s="101">
        <f t="shared" si="22"/>
        <v>0.78797391934315386</v>
      </c>
      <c r="P52" s="198">
        <f t="shared" si="23"/>
        <v>63.586505674957735</v>
      </c>
      <c r="Q52" s="100">
        <f t="shared" si="24"/>
        <v>80.696205945448966</v>
      </c>
      <c r="R52" s="198">
        <f>N52*$T49</f>
        <v>1285622</v>
      </c>
      <c r="S52" s="197">
        <f>IFERROR(R52/E52,"-")</f>
        <v>4.8825095973699923</v>
      </c>
      <c r="T52" s="2272"/>
      <c r="U52" s="187">
        <v>1559</v>
      </c>
      <c r="V52" s="186">
        <v>1259</v>
      </c>
      <c r="W52" s="45">
        <f t="shared" si="25"/>
        <v>0.80756895445798593</v>
      </c>
      <c r="X52" s="44">
        <f t="shared" si="26"/>
        <v>168.89783194355354</v>
      </c>
      <c r="Y52" s="99">
        <f t="shared" si="27"/>
        <v>209.14354249404286</v>
      </c>
      <c r="Z52" s="42">
        <f t="shared" si="28"/>
        <v>426801</v>
      </c>
      <c r="AA52" s="41">
        <f>IFERROR(Z52/E52,"-")</f>
        <v>1.6208963277441659</v>
      </c>
      <c r="AB52" s="40">
        <v>339</v>
      </c>
    </row>
    <row r="53" spans="2:28" ht="16.5">
      <c r="B53" s="2312"/>
      <c r="C53" s="215" t="s">
        <v>866</v>
      </c>
      <c r="D53" s="2321"/>
      <c r="E53" s="219">
        <f>G53+F53</f>
        <v>844036.41</v>
      </c>
      <c r="F53" s="203">
        <v>557760.41</v>
      </c>
      <c r="G53" s="202">
        <v>286276</v>
      </c>
      <c r="H53" s="200">
        <v>246942</v>
      </c>
      <c r="I53" s="103">
        <f t="shared" si="19"/>
        <v>3.4179540539883861</v>
      </c>
      <c r="J53" s="186">
        <v>25456</v>
      </c>
      <c r="K53" s="45">
        <f t="shared" si="20"/>
        <v>0.10308493492399025</v>
      </c>
      <c r="L53" s="45">
        <f t="shared" si="21"/>
        <v>0.15179132620993085</v>
      </c>
      <c r="M53" s="188">
        <v>3864</v>
      </c>
      <c r="N53" s="186">
        <v>2988</v>
      </c>
      <c r="O53" s="101">
        <f t="shared" si="22"/>
        <v>0.77329192546583847</v>
      </c>
      <c r="P53" s="198">
        <f t="shared" si="23"/>
        <v>218.4359239130435</v>
      </c>
      <c r="Q53" s="100">
        <f t="shared" si="24"/>
        <v>282.47537148594381</v>
      </c>
      <c r="R53" s="198">
        <f>N53*$T49</f>
        <v>1177272</v>
      </c>
      <c r="S53" s="197">
        <f>IFERROR(R53/E53,"-")</f>
        <v>1.3948118659952122</v>
      </c>
      <c r="T53" s="218"/>
      <c r="U53" s="187">
        <v>739</v>
      </c>
      <c r="V53" s="186">
        <v>553</v>
      </c>
      <c r="W53" s="45">
        <f t="shared" si="25"/>
        <v>0.7483085250338295</v>
      </c>
      <c r="X53" s="44">
        <f t="shared" si="26"/>
        <v>1142.1331664411366</v>
      </c>
      <c r="Y53" s="99">
        <f t="shared" si="27"/>
        <v>1526.2864556962027</v>
      </c>
      <c r="Z53" s="42">
        <f t="shared" si="28"/>
        <v>174748</v>
      </c>
      <c r="AA53" s="41">
        <f>IFERROR(Z53/E53,"-")</f>
        <v>0.20703846176493737</v>
      </c>
      <c r="AB53" s="40">
        <v>316</v>
      </c>
    </row>
    <row r="54" spans="2:28" ht="16.5">
      <c r="B54" s="2312"/>
      <c r="C54" s="137" t="s">
        <v>37</v>
      </c>
      <c r="D54" s="137"/>
      <c r="E54" s="136">
        <f>SUM(E49:E53)</f>
        <v>4147364.95</v>
      </c>
      <c r="F54" s="135">
        <f>SUM(F49:F53)</f>
        <v>3332399.95</v>
      </c>
      <c r="G54" s="134">
        <f>SUM(G49:G53)</f>
        <v>814965</v>
      </c>
      <c r="H54" s="130">
        <f>SUM(H49:H53)</f>
        <v>3010761</v>
      </c>
      <c r="I54" s="133">
        <f t="shared" si="19"/>
        <v>1.3775138411850028</v>
      </c>
      <c r="J54" s="130">
        <f>SUM(J49:J53)</f>
        <v>313713</v>
      </c>
      <c r="K54" s="132">
        <f t="shared" si="20"/>
        <v>0.10419724448403576</v>
      </c>
      <c r="L54" s="132">
        <f t="shared" si="21"/>
        <v>0.15266501547592864</v>
      </c>
      <c r="M54" s="130">
        <f>SUM(M49:M53)</f>
        <v>47893</v>
      </c>
      <c r="N54" s="130">
        <f>SUM(N49:N53)</f>
        <v>37367</v>
      </c>
      <c r="O54" s="132">
        <f t="shared" si="22"/>
        <v>0.78021840352452343</v>
      </c>
      <c r="P54" s="131">
        <f t="shared" si="23"/>
        <v>86.596474432589318</v>
      </c>
      <c r="Q54" s="131">
        <f t="shared" si="24"/>
        <v>110.99004335376135</v>
      </c>
      <c r="R54" s="130">
        <f>N54*$T49</f>
        <v>14722598</v>
      </c>
      <c r="S54" s="129">
        <f>R54/E54</f>
        <v>3.5498679709872167</v>
      </c>
      <c r="T54" s="128"/>
      <c r="U54" s="127">
        <f>SUM(U49:U53)</f>
        <v>5732</v>
      </c>
      <c r="V54" s="124">
        <f>SUM(V49:V53)</f>
        <v>4497</v>
      </c>
      <c r="W54" s="126">
        <f t="shared" si="25"/>
        <v>0.78454291695743195</v>
      </c>
      <c r="X54" s="125">
        <f t="shared" si="26"/>
        <v>723.54587404047459</v>
      </c>
      <c r="Y54" s="125">
        <f t="shared" si="27"/>
        <v>922.25148988214369</v>
      </c>
      <c r="Z54" s="124">
        <f t="shared" si="28"/>
        <v>1771818</v>
      </c>
      <c r="AA54" s="123">
        <f>Z54/E54</f>
        <v>0.42721535754889378</v>
      </c>
      <c r="AB54" s="122">
        <v>394</v>
      </c>
    </row>
    <row r="55" spans="2:28" ht="16.5">
      <c r="B55" s="2313"/>
      <c r="C55" s="83" t="s">
        <v>36</v>
      </c>
      <c r="D55" s="83"/>
      <c r="E55" s="121">
        <f>SUM(E49:E53)</f>
        <v>4147364.95</v>
      </c>
      <c r="F55" s="120">
        <f>SUM(F49:F53)</f>
        <v>3332399.95</v>
      </c>
      <c r="G55" s="119">
        <f>SUM(G49:G53)</f>
        <v>814965</v>
      </c>
      <c r="H55" s="76">
        <v>2778343</v>
      </c>
      <c r="I55" s="79">
        <f t="shared" si="19"/>
        <v>1.4927476377106788</v>
      </c>
      <c r="J55" s="76">
        <v>260966</v>
      </c>
      <c r="K55" s="78">
        <f t="shared" si="20"/>
        <v>9.3928647398827281E-2</v>
      </c>
      <c r="L55" s="78">
        <f t="shared" si="21"/>
        <v>0.14133641930366408</v>
      </c>
      <c r="M55" s="76">
        <v>36884</v>
      </c>
      <c r="N55" s="76">
        <v>28970</v>
      </c>
      <c r="O55" s="78">
        <f t="shared" si="22"/>
        <v>0.78543541915193582</v>
      </c>
      <c r="P55" s="77">
        <f t="shared" si="23"/>
        <v>112.44347006832231</v>
      </c>
      <c r="Q55" s="77">
        <f t="shared" si="24"/>
        <v>143.16068173973076</v>
      </c>
      <c r="R55" s="196">
        <f>N55*$T49</f>
        <v>11414180</v>
      </c>
      <c r="S55" s="118">
        <f>R55/E55</f>
        <v>2.7521523033558934</v>
      </c>
      <c r="T55" s="74"/>
      <c r="U55" s="117"/>
      <c r="V55" s="76"/>
      <c r="W55" s="78"/>
      <c r="X55" s="116"/>
      <c r="Y55" s="116"/>
      <c r="Z55" s="76"/>
      <c r="AA55" s="115"/>
      <c r="AB55" s="114"/>
    </row>
    <row r="56" spans="2:28" ht="16.5">
      <c r="B56" s="233"/>
      <c r="C56" s="232" t="s">
        <v>461</v>
      </c>
      <c r="D56" s="231" t="s">
        <v>462</v>
      </c>
      <c r="E56" s="230">
        <f>SUM(F56,G56)</f>
        <v>4862600.4000000004</v>
      </c>
      <c r="F56" s="229">
        <v>3985019.4</v>
      </c>
      <c r="G56" s="228">
        <v>877581</v>
      </c>
    </row>
    <row r="57" spans="2:28" ht="16.5">
      <c r="B57" s="227"/>
      <c r="C57" s="226" t="s">
        <v>463</v>
      </c>
      <c r="D57" s="225" t="s">
        <v>69</v>
      </c>
      <c r="E57" s="224">
        <f>E55/E56</f>
        <v>0.85291091367491345</v>
      </c>
      <c r="F57" s="223">
        <f>F55/F56</f>
        <v>0.83623180102962613</v>
      </c>
      <c r="G57" s="222">
        <f>G55/G56</f>
        <v>0.92864932125923416</v>
      </c>
    </row>
    <row r="58" spans="2:28" ht="16.5">
      <c r="B58" s="236"/>
      <c r="C58" s="235"/>
      <c r="D58" s="235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</row>
    <row r="59" spans="2:28" ht="16.5">
      <c r="B59" s="236"/>
      <c r="C59" s="235"/>
      <c r="D59" s="235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</row>
    <row r="60" spans="2:28" ht="16.5">
      <c r="B60" s="66" t="s">
        <v>74</v>
      </c>
      <c r="C60" s="235"/>
      <c r="D60" s="235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</row>
    <row r="61" spans="2:28" ht="16.5">
      <c r="B61" s="2280" t="s">
        <v>32</v>
      </c>
      <c r="C61" s="2281" t="s">
        <v>31</v>
      </c>
      <c r="D61" s="2310" t="s">
        <v>30</v>
      </c>
      <c r="E61" s="2283" t="s">
        <v>29</v>
      </c>
      <c r="F61" s="2286"/>
      <c r="G61" s="2287"/>
      <c r="H61" s="2268" t="s">
        <v>28</v>
      </c>
      <c r="I61" s="2284"/>
      <c r="J61" s="2284"/>
      <c r="K61" s="2284"/>
      <c r="L61" s="2284"/>
      <c r="M61" s="2284"/>
      <c r="N61" s="2284"/>
      <c r="O61" s="2284"/>
      <c r="P61" s="2284"/>
      <c r="Q61" s="2284"/>
      <c r="R61" s="2284"/>
      <c r="S61" s="2284"/>
      <c r="T61" s="2285"/>
      <c r="U61" s="2268" t="s">
        <v>27</v>
      </c>
      <c r="V61" s="2284"/>
      <c r="W61" s="2284"/>
      <c r="X61" s="2284"/>
      <c r="Y61" s="2284"/>
      <c r="Z61" s="2284"/>
      <c r="AA61" s="2284"/>
      <c r="AB61" s="2285"/>
    </row>
    <row r="62" spans="2:28" ht="66">
      <c r="B62" s="2308"/>
      <c r="C62" s="2309"/>
      <c r="D62" s="2322"/>
      <c r="E62" s="112" t="s">
        <v>26</v>
      </c>
      <c r="F62" s="111" t="s">
        <v>25</v>
      </c>
      <c r="G62" s="110" t="s">
        <v>24</v>
      </c>
      <c r="H62" s="107" t="s">
        <v>23</v>
      </c>
      <c r="I62" s="108" t="s">
        <v>22</v>
      </c>
      <c r="J62" s="111" t="s">
        <v>21</v>
      </c>
      <c r="K62" s="108" t="s">
        <v>20</v>
      </c>
      <c r="L62" s="108" t="s">
        <v>19</v>
      </c>
      <c r="M62" s="107" t="s">
        <v>18</v>
      </c>
      <c r="N62" s="108" t="s">
        <v>17</v>
      </c>
      <c r="O62" s="108" t="s">
        <v>16</v>
      </c>
      <c r="P62" s="108" t="s">
        <v>15</v>
      </c>
      <c r="Q62" s="108" t="s">
        <v>14</v>
      </c>
      <c r="R62" s="108" t="s">
        <v>13</v>
      </c>
      <c r="S62" s="108" t="s">
        <v>12</v>
      </c>
      <c r="T62" s="110" t="s">
        <v>11</v>
      </c>
      <c r="U62" s="109" t="s">
        <v>10</v>
      </c>
      <c r="V62" s="108" t="s">
        <v>67</v>
      </c>
      <c r="W62" s="107" t="s">
        <v>8</v>
      </c>
      <c r="X62" s="107" t="s">
        <v>7</v>
      </c>
      <c r="Y62" s="107" t="s">
        <v>6</v>
      </c>
      <c r="Z62" s="107" t="s">
        <v>71</v>
      </c>
      <c r="AA62" s="107" t="s">
        <v>4</v>
      </c>
      <c r="AB62" s="106" t="s">
        <v>3</v>
      </c>
    </row>
    <row r="63" spans="2:28" ht="16.5">
      <c r="B63" s="2316" t="s">
        <v>73</v>
      </c>
      <c r="C63" s="217" t="s">
        <v>865</v>
      </c>
      <c r="D63" s="2320" t="s">
        <v>63</v>
      </c>
      <c r="E63" s="221">
        <f>F63+G63</f>
        <v>1426201.24</v>
      </c>
      <c r="F63" s="195">
        <v>1193697.24</v>
      </c>
      <c r="G63" s="194">
        <v>232504</v>
      </c>
      <c r="H63" s="200">
        <v>716147</v>
      </c>
      <c r="I63" s="103">
        <f t="shared" ref="I63:I69" si="29">E63/H63</f>
        <v>1.9914923053507172</v>
      </c>
      <c r="J63" s="186">
        <v>82994</v>
      </c>
      <c r="K63" s="45">
        <f t="shared" ref="K63:K69" si="30">J63/H63</f>
        <v>0.11588961484164564</v>
      </c>
      <c r="L63" s="45">
        <f t="shared" ref="L63:L69" si="31">M63/J63</f>
        <v>0.15951755548593874</v>
      </c>
      <c r="M63" s="188">
        <v>13239</v>
      </c>
      <c r="N63" s="186">
        <v>10360</v>
      </c>
      <c r="O63" s="101">
        <f t="shared" ref="O63:O69" si="32">N63/M63</f>
        <v>0.78253644535085731</v>
      </c>
      <c r="P63" s="198">
        <f t="shared" ref="P63:P69" si="33">E63/M63</f>
        <v>107.72726338847345</v>
      </c>
      <c r="Q63" s="100">
        <f t="shared" ref="Q63:Q69" si="34">E63/N63</f>
        <v>137.66421235521236</v>
      </c>
      <c r="R63" s="198">
        <f>N63*$T63</f>
        <v>4081840</v>
      </c>
      <c r="S63" s="197">
        <f>IFERROR(R63/E63,"-")</f>
        <v>2.8620364963362395</v>
      </c>
      <c r="T63" s="2279">
        <v>394</v>
      </c>
      <c r="U63" s="187">
        <v>1970</v>
      </c>
      <c r="V63" s="186">
        <v>1510</v>
      </c>
      <c r="W63" s="45">
        <f t="shared" ref="W63:W68" si="35">V63/U63</f>
        <v>0.76649746192893398</v>
      </c>
      <c r="X63" s="44">
        <f t="shared" ref="X63:X68" si="36">E63/U63</f>
        <v>723.9600203045685</v>
      </c>
      <c r="Y63" s="99">
        <f t="shared" ref="Y63:Y68" si="37">E63/V63</f>
        <v>944.5041324503311</v>
      </c>
      <c r="Z63" s="42">
        <f t="shared" ref="Z63:Z68" si="38">V63*AB63</f>
        <v>1037370</v>
      </c>
      <c r="AA63" s="41">
        <f>IFERROR(Z63/E63,"-")</f>
        <v>0.72736579586762951</v>
      </c>
      <c r="AB63" s="40">
        <v>687</v>
      </c>
    </row>
    <row r="64" spans="2:28" ht="16.5">
      <c r="B64" s="2312"/>
      <c r="C64" s="217" t="s">
        <v>867</v>
      </c>
      <c r="D64" s="2321"/>
      <c r="E64" s="219">
        <f>F64+G64</f>
        <v>883177.66</v>
      </c>
      <c r="F64" s="203">
        <v>662222.66</v>
      </c>
      <c r="G64" s="202">
        <v>220955</v>
      </c>
      <c r="H64" s="200">
        <v>1084658</v>
      </c>
      <c r="I64" s="103">
        <f t="shared" si="29"/>
        <v>0.81424528284491515</v>
      </c>
      <c r="J64" s="186">
        <v>94494</v>
      </c>
      <c r="K64" s="45">
        <f t="shared" si="30"/>
        <v>8.7118704697701943E-2</v>
      </c>
      <c r="L64" s="45">
        <f t="shared" si="31"/>
        <v>0.14612567993735051</v>
      </c>
      <c r="M64" s="188">
        <v>13808</v>
      </c>
      <c r="N64" s="186">
        <v>10728</v>
      </c>
      <c r="O64" s="101">
        <f t="shared" si="32"/>
        <v>0.77694090382387027</v>
      </c>
      <c r="P64" s="198">
        <f t="shared" si="33"/>
        <v>63.961302143684826</v>
      </c>
      <c r="Q64" s="100">
        <f t="shared" si="34"/>
        <v>82.324539522744217</v>
      </c>
      <c r="R64" s="198">
        <f>N64*$T63</f>
        <v>4226832</v>
      </c>
      <c r="S64" s="197">
        <f>IFERROR(R64/E64,"-")</f>
        <v>4.7859362747015135</v>
      </c>
      <c r="T64" s="2272"/>
      <c r="U64" s="187">
        <v>569</v>
      </c>
      <c r="V64" s="186">
        <v>478</v>
      </c>
      <c r="W64" s="45">
        <f t="shared" si="35"/>
        <v>0.84007029876977157</v>
      </c>
      <c r="X64" s="44">
        <f t="shared" si="36"/>
        <v>1552.1575746924429</v>
      </c>
      <c r="Y64" s="99">
        <f t="shared" si="37"/>
        <v>1847.652008368201</v>
      </c>
      <c r="Z64" s="42">
        <f t="shared" si="38"/>
        <v>185464</v>
      </c>
      <c r="AA64" s="41">
        <f>IFERROR(Z64/E64,"-")</f>
        <v>0.20999625375487871</v>
      </c>
      <c r="AB64" s="40">
        <v>388</v>
      </c>
    </row>
    <row r="65" spans="2:28" ht="16.5">
      <c r="B65" s="2312"/>
      <c r="C65" s="216" t="s">
        <v>868</v>
      </c>
      <c r="D65" s="2321"/>
      <c r="E65" s="219">
        <f>F65+G65</f>
        <v>404830.92</v>
      </c>
      <c r="F65" s="203">
        <v>404830.92</v>
      </c>
      <c r="G65" s="202">
        <v>0</v>
      </c>
      <c r="H65" s="200">
        <v>554535</v>
      </c>
      <c r="I65" s="103">
        <f t="shared" si="29"/>
        <v>0.73003673347940168</v>
      </c>
      <c r="J65" s="186">
        <v>47414</v>
      </c>
      <c r="K65" s="45">
        <f t="shared" si="30"/>
        <v>8.5502267665701889E-2</v>
      </c>
      <c r="L65" s="45">
        <f t="shared" si="31"/>
        <v>0.11737039692917704</v>
      </c>
      <c r="M65" s="188">
        <v>5565</v>
      </c>
      <c r="N65" s="186">
        <v>4265</v>
      </c>
      <c r="O65" s="101">
        <f t="shared" si="32"/>
        <v>0.76639712488769096</v>
      </c>
      <c r="P65" s="198">
        <f t="shared" si="33"/>
        <v>72.745897574123987</v>
      </c>
      <c r="Q65" s="100">
        <f t="shared" si="34"/>
        <v>94.919324736225079</v>
      </c>
      <c r="R65" s="198">
        <f>N65*$T63</f>
        <v>1680410</v>
      </c>
      <c r="S65" s="197">
        <f>IFERROR(R65/E65,"-")</f>
        <v>4.1508934149595094</v>
      </c>
      <c r="T65" s="2272"/>
      <c r="U65" s="187">
        <v>175</v>
      </c>
      <c r="V65" s="186">
        <v>147</v>
      </c>
      <c r="W65" s="45">
        <f t="shared" si="35"/>
        <v>0.84</v>
      </c>
      <c r="X65" s="44">
        <f t="shared" si="36"/>
        <v>2313.3195428571426</v>
      </c>
      <c r="Y65" s="99">
        <f t="shared" si="37"/>
        <v>2753.9518367346936</v>
      </c>
      <c r="Z65" s="42">
        <f t="shared" si="38"/>
        <v>65709</v>
      </c>
      <c r="AA65" s="41">
        <f>IFERROR(Z65/E65,"-")</f>
        <v>0.16231220678499558</v>
      </c>
      <c r="AB65" s="40">
        <v>447</v>
      </c>
    </row>
    <row r="66" spans="2:28" ht="16.5">
      <c r="B66" s="2312"/>
      <c r="C66" s="220" t="s">
        <v>869</v>
      </c>
      <c r="D66" s="2321"/>
      <c r="E66" s="219">
        <f>F66+G66</f>
        <v>243165.46</v>
      </c>
      <c r="F66" s="203">
        <v>167935.46</v>
      </c>
      <c r="G66" s="202">
        <v>75230</v>
      </c>
      <c r="H66" s="200">
        <v>164657</v>
      </c>
      <c r="I66" s="103">
        <f t="shared" si="29"/>
        <v>1.4768000145757545</v>
      </c>
      <c r="J66" s="186">
        <v>16864</v>
      </c>
      <c r="K66" s="45">
        <f t="shared" si="30"/>
        <v>0.10241896791512052</v>
      </c>
      <c r="L66" s="45">
        <f t="shared" si="31"/>
        <v>0.19971537001897532</v>
      </c>
      <c r="M66" s="188">
        <v>3368</v>
      </c>
      <c r="N66" s="186">
        <v>2628</v>
      </c>
      <c r="O66" s="101">
        <f t="shared" si="32"/>
        <v>0.78028503562945373</v>
      </c>
      <c r="P66" s="198">
        <f t="shared" si="33"/>
        <v>72.198770783847976</v>
      </c>
      <c r="Q66" s="100">
        <f t="shared" si="34"/>
        <v>92.528713850837136</v>
      </c>
      <c r="R66" s="198">
        <f>N66*$T63</f>
        <v>1035432</v>
      </c>
      <c r="S66" s="197">
        <f>IFERROR(R66/E66,"-")</f>
        <v>4.2581376483321272</v>
      </c>
      <c r="T66" s="2272"/>
      <c r="U66" s="187">
        <v>832</v>
      </c>
      <c r="V66" s="186">
        <v>695</v>
      </c>
      <c r="W66" s="45">
        <f t="shared" si="35"/>
        <v>0.83533653846153844</v>
      </c>
      <c r="X66" s="44">
        <f t="shared" si="36"/>
        <v>292.26617788461539</v>
      </c>
      <c r="Y66" s="99">
        <f t="shared" si="37"/>
        <v>349.87835971223018</v>
      </c>
      <c r="Z66" s="42">
        <f t="shared" si="38"/>
        <v>235605</v>
      </c>
      <c r="AA66" s="41">
        <f>IFERROR(Z66/E66,"-")</f>
        <v>0.968908166480552</v>
      </c>
      <c r="AB66" s="40">
        <v>339</v>
      </c>
    </row>
    <row r="67" spans="2:28" ht="16.5">
      <c r="B67" s="2312"/>
      <c r="C67" s="215" t="s">
        <v>866</v>
      </c>
      <c r="D67" s="2321"/>
      <c r="E67" s="219">
        <f>G67+F67</f>
        <v>759971.71</v>
      </c>
      <c r="F67" s="203">
        <v>473695.71</v>
      </c>
      <c r="G67" s="202">
        <v>286276</v>
      </c>
      <c r="H67" s="200">
        <v>224668</v>
      </c>
      <c r="I67" s="103">
        <f t="shared" si="29"/>
        <v>3.3826433225915573</v>
      </c>
      <c r="J67" s="186">
        <v>20949</v>
      </c>
      <c r="K67" s="45">
        <f t="shared" si="30"/>
        <v>9.3244253743301225E-2</v>
      </c>
      <c r="L67" s="45">
        <f t="shared" si="31"/>
        <v>0.14401642083154328</v>
      </c>
      <c r="M67" s="188">
        <v>3017</v>
      </c>
      <c r="N67" s="186">
        <v>2336</v>
      </c>
      <c r="O67" s="101">
        <f t="shared" si="32"/>
        <v>0.7742790851839576</v>
      </c>
      <c r="P67" s="198">
        <f t="shared" si="33"/>
        <v>251.89648989061982</v>
      </c>
      <c r="Q67" s="100">
        <f t="shared" si="34"/>
        <v>325.33035530821917</v>
      </c>
      <c r="R67" s="198">
        <f>N67*$T63</f>
        <v>920384</v>
      </c>
      <c r="S67" s="197">
        <f>IFERROR(R67/E67,"-")</f>
        <v>1.2110766596825033</v>
      </c>
      <c r="T67" s="218"/>
      <c r="U67" s="187">
        <v>554</v>
      </c>
      <c r="V67" s="186">
        <v>416</v>
      </c>
      <c r="W67" s="45">
        <f t="shared" si="35"/>
        <v>0.75090252707581229</v>
      </c>
      <c r="X67" s="44">
        <f t="shared" si="36"/>
        <v>1371.7900902527076</v>
      </c>
      <c r="Y67" s="99">
        <f t="shared" si="37"/>
        <v>1826.8550721153845</v>
      </c>
      <c r="Z67" s="42">
        <f t="shared" si="38"/>
        <v>131456</v>
      </c>
      <c r="AA67" s="41">
        <f>IFERROR(Z67/E67,"-")</f>
        <v>0.17297485981418967</v>
      </c>
      <c r="AB67" s="40">
        <v>316</v>
      </c>
    </row>
    <row r="68" spans="2:28" ht="16.5">
      <c r="B68" s="2312"/>
      <c r="C68" s="137" t="s">
        <v>37</v>
      </c>
      <c r="D68" s="137"/>
      <c r="E68" s="136">
        <f>SUM(E63:E67)</f>
        <v>3717346.9899999998</v>
      </c>
      <c r="F68" s="135">
        <f>SUM(F63:F67)</f>
        <v>2902381.9899999998</v>
      </c>
      <c r="G68" s="134">
        <f>SUM(G63:G67)</f>
        <v>814965</v>
      </c>
      <c r="H68" s="130">
        <f>SUM(H63:H67)</f>
        <v>2744665</v>
      </c>
      <c r="I68" s="133">
        <f t="shared" si="29"/>
        <v>1.3543900585317332</v>
      </c>
      <c r="J68" s="130">
        <f>SUM(J63:J67)</f>
        <v>262715</v>
      </c>
      <c r="K68" s="132">
        <f t="shared" si="30"/>
        <v>9.5718421009485674E-2</v>
      </c>
      <c r="L68" s="132">
        <f t="shared" si="31"/>
        <v>0.14843842186399711</v>
      </c>
      <c r="M68" s="130">
        <f>SUM(M63:M67)</f>
        <v>38997</v>
      </c>
      <c r="N68" s="130">
        <f>SUM(N63:N67)</f>
        <v>30317</v>
      </c>
      <c r="O68" s="132">
        <f t="shared" si="32"/>
        <v>0.7774187758032669</v>
      </c>
      <c r="P68" s="131">
        <f t="shared" si="33"/>
        <v>95.323922096571522</v>
      </c>
      <c r="Q68" s="131">
        <f t="shared" si="34"/>
        <v>122.61592472870007</v>
      </c>
      <c r="R68" s="130">
        <f>N68*$T63</f>
        <v>11944898</v>
      </c>
      <c r="S68" s="129">
        <f>R68/E68</f>
        <v>3.2132857202012235</v>
      </c>
      <c r="T68" s="128"/>
      <c r="U68" s="127">
        <f>SUM(U63:U67)</f>
        <v>4100</v>
      </c>
      <c r="V68" s="124">
        <f>SUM(V63:V67)</f>
        <v>3246</v>
      </c>
      <c r="W68" s="126">
        <f t="shared" si="35"/>
        <v>0.79170731707317077</v>
      </c>
      <c r="X68" s="125">
        <f t="shared" si="36"/>
        <v>906.6699975609755</v>
      </c>
      <c r="Y68" s="125">
        <f t="shared" si="37"/>
        <v>1145.2085613062229</v>
      </c>
      <c r="Z68" s="124">
        <f t="shared" si="38"/>
        <v>1278924</v>
      </c>
      <c r="AA68" s="123">
        <f>Z68/E68</f>
        <v>0.34404213635165654</v>
      </c>
      <c r="AB68" s="122">
        <v>394</v>
      </c>
    </row>
    <row r="69" spans="2:28" ht="16.5">
      <c r="B69" s="2313"/>
      <c r="C69" s="83" t="s">
        <v>36</v>
      </c>
      <c r="D69" s="83"/>
      <c r="E69" s="121">
        <f>SUM(E63:E67)</f>
        <v>3717346.9899999998</v>
      </c>
      <c r="F69" s="120">
        <f>SUM(F63:F67)</f>
        <v>2902381.9899999998</v>
      </c>
      <c r="G69" s="119">
        <f>SUM(G63:G67)</f>
        <v>814965</v>
      </c>
      <c r="H69" s="76">
        <v>2534612</v>
      </c>
      <c r="I69" s="79">
        <f t="shared" si="29"/>
        <v>1.4666335478566344</v>
      </c>
      <c r="J69" s="76">
        <v>219424</v>
      </c>
      <c r="K69" s="78">
        <f t="shared" si="30"/>
        <v>8.6571041248127922E-2</v>
      </c>
      <c r="L69" s="78">
        <f t="shared" si="31"/>
        <v>0.13810248651013562</v>
      </c>
      <c r="M69" s="76">
        <v>30303</v>
      </c>
      <c r="N69" s="76">
        <v>23652</v>
      </c>
      <c r="O69" s="78">
        <f t="shared" si="32"/>
        <v>0.78051678051678053</v>
      </c>
      <c r="P69" s="77">
        <f t="shared" si="33"/>
        <v>122.67257334257333</v>
      </c>
      <c r="Q69" s="77">
        <f t="shared" si="34"/>
        <v>157.16839971249789</v>
      </c>
      <c r="R69" s="196">
        <f>N69*$T63</f>
        <v>9318888</v>
      </c>
      <c r="S69" s="118">
        <f>R69/E69</f>
        <v>2.5068652523072648</v>
      </c>
      <c r="T69" s="74"/>
      <c r="U69" s="117"/>
      <c r="V69" s="76"/>
      <c r="W69" s="78"/>
      <c r="X69" s="116"/>
      <c r="Y69" s="116"/>
      <c r="Z69" s="76"/>
      <c r="AA69" s="115"/>
      <c r="AB69" s="114"/>
    </row>
    <row r="70" spans="2:28" ht="16.5">
      <c r="B70" s="233"/>
      <c r="C70" s="232" t="s">
        <v>461</v>
      </c>
      <c r="D70" s="231" t="s">
        <v>462</v>
      </c>
      <c r="E70" s="230">
        <f>SUM(F70,G70)</f>
        <v>4862600.4000000004</v>
      </c>
      <c r="F70" s="229">
        <v>3985019.4</v>
      </c>
      <c r="G70" s="228">
        <v>877581</v>
      </c>
    </row>
    <row r="71" spans="2:28" ht="16.5">
      <c r="B71" s="227"/>
      <c r="C71" s="226" t="s">
        <v>463</v>
      </c>
      <c r="D71" s="225" t="s">
        <v>69</v>
      </c>
      <c r="E71" s="224">
        <f>E69/E70</f>
        <v>0.76447716945854727</v>
      </c>
      <c r="F71" s="223">
        <f>F69/F70</f>
        <v>0.72832317704651572</v>
      </c>
      <c r="G71" s="222">
        <f>G69/G70</f>
        <v>0.92864932125923416</v>
      </c>
    </row>
    <row r="72" spans="2:28" ht="16.5">
      <c r="B72" s="236"/>
      <c r="C72" s="235"/>
      <c r="D72" s="235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</row>
    <row r="73" spans="2:28" ht="16.5">
      <c r="B73" s="236"/>
      <c r="C73" s="235"/>
      <c r="D73" s="235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</row>
    <row r="74" spans="2:28" ht="16.5">
      <c r="B74" s="236"/>
      <c r="C74" s="235"/>
      <c r="D74" s="235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</row>
    <row r="75" spans="2:28" ht="16.5">
      <c r="B75" s="66" t="s">
        <v>72</v>
      </c>
      <c r="C75" s="235"/>
      <c r="D75" s="235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</row>
    <row r="76" spans="2:28" ht="15" customHeight="1">
      <c r="B76" s="2280" t="s">
        <v>32</v>
      </c>
      <c r="C76" s="2281" t="s">
        <v>31</v>
      </c>
      <c r="D76" s="2310" t="s">
        <v>30</v>
      </c>
      <c r="E76" s="2283" t="s">
        <v>29</v>
      </c>
      <c r="F76" s="2286"/>
      <c r="G76" s="2287"/>
      <c r="H76" s="2268" t="s">
        <v>28</v>
      </c>
      <c r="I76" s="2284"/>
      <c r="J76" s="2284"/>
      <c r="K76" s="2284"/>
      <c r="L76" s="2284"/>
      <c r="M76" s="2284"/>
      <c r="N76" s="2284"/>
      <c r="O76" s="2284"/>
      <c r="P76" s="2284"/>
      <c r="Q76" s="2284"/>
      <c r="R76" s="2284"/>
      <c r="S76" s="2284"/>
      <c r="T76" s="2285"/>
      <c r="U76" s="2268" t="s">
        <v>27</v>
      </c>
      <c r="V76" s="2284"/>
      <c r="W76" s="2284"/>
      <c r="X76" s="2284"/>
      <c r="Y76" s="2284"/>
      <c r="Z76" s="2284"/>
      <c r="AA76" s="2284"/>
      <c r="AB76" s="2285"/>
    </row>
    <row r="77" spans="2:28" ht="66">
      <c r="B77" s="2308"/>
      <c r="C77" s="2309"/>
      <c r="D77" s="2322"/>
      <c r="E77" s="112" t="s">
        <v>26</v>
      </c>
      <c r="F77" s="111" t="s">
        <v>25</v>
      </c>
      <c r="G77" s="110" t="s">
        <v>24</v>
      </c>
      <c r="H77" s="107" t="s">
        <v>23</v>
      </c>
      <c r="I77" s="108" t="s">
        <v>22</v>
      </c>
      <c r="J77" s="111" t="s">
        <v>21</v>
      </c>
      <c r="K77" s="108" t="s">
        <v>20</v>
      </c>
      <c r="L77" s="108" t="s">
        <v>19</v>
      </c>
      <c r="M77" s="107" t="s">
        <v>18</v>
      </c>
      <c r="N77" s="108" t="s">
        <v>17</v>
      </c>
      <c r="O77" s="108" t="s">
        <v>16</v>
      </c>
      <c r="P77" s="108" t="s">
        <v>15</v>
      </c>
      <c r="Q77" s="108" t="s">
        <v>14</v>
      </c>
      <c r="R77" s="108" t="s">
        <v>13</v>
      </c>
      <c r="S77" s="108" t="s">
        <v>12</v>
      </c>
      <c r="T77" s="110" t="s">
        <v>11</v>
      </c>
      <c r="U77" s="109" t="s">
        <v>10</v>
      </c>
      <c r="V77" s="108" t="s">
        <v>67</v>
      </c>
      <c r="W77" s="107" t="s">
        <v>8</v>
      </c>
      <c r="X77" s="107" t="s">
        <v>7</v>
      </c>
      <c r="Y77" s="107" t="s">
        <v>6</v>
      </c>
      <c r="Z77" s="107" t="s">
        <v>71</v>
      </c>
      <c r="AA77" s="107" t="s">
        <v>4</v>
      </c>
      <c r="AB77" s="106" t="s">
        <v>3</v>
      </c>
    </row>
    <row r="78" spans="2:28" ht="16.5">
      <c r="B78" s="2316" t="s">
        <v>70</v>
      </c>
      <c r="C78" s="217" t="s">
        <v>865</v>
      </c>
      <c r="D78" s="2320" t="s">
        <v>63</v>
      </c>
      <c r="E78" s="221">
        <f>F78+G78</f>
        <v>952085.07</v>
      </c>
      <c r="F78" s="195">
        <v>730599.07</v>
      </c>
      <c r="G78" s="194">
        <v>221486</v>
      </c>
      <c r="H78" s="200">
        <v>535929</v>
      </c>
      <c r="I78" s="103">
        <f t="shared" ref="I78:I84" si="39">E78/H78</f>
        <v>1.7765134374142844</v>
      </c>
      <c r="J78" s="186">
        <v>51550</v>
      </c>
      <c r="K78" s="45">
        <f t="shared" ref="K78:K84" si="40">J78/H78</f>
        <v>9.6188114470386929E-2</v>
      </c>
      <c r="L78" s="45">
        <f t="shared" ref="L78:L84" si="41">M78/J78</f>
        <v>7.2725509214355E-2</v>
      </c>
      <c r="M78" s="188">
        <v>3749</v>
      </c>
      <c r="N78" s="186">
        <v>2966</v>
      </c>
      <c r="O78" s="101">
        <f t="shared" ref="O78:O84" si="42">N78/M78</f>
        <v>0.79114430514803946</v>
      </c>
      <c r="P78" s="198">
        <f t="shared" ref="P78:P84" si="43">E78/M78</f>
        <v>253.9570738863697</v>
      </c>
      <c r="Q78" s="100">
        <f t="shared" ref="Q78:Q84" si="44">E78/N78</f>
        <v>320.99968644639245</v>
      </c>
      <c r="R78" s="198">
        <f>N78*$T78</f>
        <v>1168604</v>
      </c>
      <c r="S78" s="197">
        <f>IFERROR(R78/E78,"-")</f>
        <v>1.2274155291606454</v>
      </c>
      <c r="T78" s="2279">
        <v>394</v>
      </c>
      <c r="U78" s="187">
        <v>654</v>
      </c>
      <c r="V78" s="186">
        <v>513</v>
      </c>
      <c r="W78" s="45">
        <f t="shared" ref="W78:W83" si="45">V78/U78</f>
        <v>0.7844036697247706</v>
      </c>
      <c r="X78" s="44">
        <f t="shared" ref="X78:X83" si="46">E78/U78</f>
        <v>1455.7875688073393</v>
      </c>
      <c r="Y78" s="99">
        <f t="shared" ref="Y78:Y83" si="47">E78/V78</f>
        <v>1855.9163157894736</v>
      </c>
      <c r="Z78" s="42">
        <f t="shared" ref="Z78:Z83" si="48">V78*AB78</f>
        <v>352431</v>
      </c>
      <c r="AA78" s="41">
        <f>IFERROR(Z78/E78,"-")</f>
        <v>0.37016755235958065</v>
      </c>
      <c r="AB78" s="40">
        <v>687</v>
      </c>
    </row>
    <row r="79" spans="2:28" ht="16.5">
      <c r="B79" s="2312"/>
      <c r="C79" s="217" t="s">
        <v>867</v>
      </c>
      <c r="D79" s="2321"/>
      <c r="E79" s="219">
        <f>F79+G79</f>
        <v>600953.1</v>
      </c>
      <c r="F79" s="203">
        <v>405483.1</v>
      </c>
      <c r="G79" s="202">
        <v>195470</v>
      </c>
      <c r="H79" s="200">
        <v>654118</v>
      </c>
      <c r="I79" s="103">
        <f t="shared" si="39"/>
        <v>0.9187227686747651</v>
      </c>
      <c r="J79" s="186">
        <v>39701</v>
      </c>
      <c r="K79" s="45">
        <f t="shared" si="40"/>
        <v>6.0693942071613993E-2</v>
      </c>
      <c r="L79" s="45">
        <f t="shared" si="41"/>
        <v>7.0728697010150873E-2</v>
      </c>
      <c r="M79" s="188">
        <v>2808</v>
      </c>
      <c r="N79" s="186">
        <v>2228</v>
      </c>
      <c r="O79" s="101">
        <f t="shared" si="42"/>
        <v>0.79344729344729348</v>
      </c>
      <c r="P79" s="198">
        <f t="shared" si="43"/>
        <v>214.01463675213674</v>
      </c>
      <c r="Q79" s="100">
        <f t="shared" si="44"/>
        <v>269.72760323159781</v>
      </c>
      <c r="R79" s="198">
        <f>N79*$T78</f>
        <v>877832</v>
      </c>
      <c r="S79" s="197">
        <f>IFERROR(R79/E79,"-")</f>
        <v>1.4607329590279174</v>
      </c>
      <c r="T79" s="2272"/>
      <c r="U79" s="187">
        <v>240</v>
      </c>
      <c r="V79" s="186">
        <v>195</v>
      </c>
      <c r="W79" s="45">
        <f t="shared" si="45"/>
        <v>0.8125</v>
      </c>
      <c r="X79" s="44">
        <f t="shared" si="46"/>
        <v>2503.9712500000001</v>
      </c>
      <c r="Y79" s="99">
        <f t="shared" si="47"/>
        <v>3081.810769230769</v>
      </c>
      <c r="Z79" s="42">
        <f t="shared" si="48"/>
        <v>75660</v>
      </c>
      <c r="AA79" s="41">
        <f>IFERROR(Z79/E79,"-")</f>
        <v>0.12590000783755007</v>
      </c>
      <c r="AB79" s="40">
        <v>388</v>
      </c>
    </row>
    <row r="80" spans="2:28" ht="16.5">
      <c r="B80" s="2312"/>
      <c r="C80" s="216" t="s">
        <v>868</v>
      </c>
      <c r="D80" s="2321"/>
      <c r="E80" s="219">
        <f>F80+G80</f>
        <v>158700.04</v>
      </c>
      <c r="F80" s="203">
        <v>158700.04</v>
      </c>
      <c r="G80" s="202">
        <v>0</v>
      </c>
      <c r="H80" s="200">
        <v>313311</v>
      </c>
      <c r="I80" s="103">
        <f t="shared" si="39"/>
        <v>0.50652559278161313</v>
      </c>
      <c r="J80" s="186">
        <v>20516</v>
      </c>
      <c r="K80" s="45">
        <f t="shared" si="40"/>
        <v>6.548126302619442E-2</v>
      </c>
      <c r="L80" s="45">
        <f t="shared" si="41"/>
        <v>5.0643400272957689E-2</v>
      </c>
      <c r="M80" s="188">
        <v>1039</v>
      </c>
      <c r="N80" s="186">
        <v>811</v>
      </c>
      <c r="O80" s="101">
        <f t="shared" si="42"/>
        <v>0.78055822906641004</v>
      </c>
      <c r="P80" s="198">
        <f t="shared" si="43"/>
        <v>152.74306063522619</v>
      </c>
      <c r="Q80" s="100">
        <f t="shared" si="44"/>
        <v>195.68438964241679</v>
      </c>
      <c r="R80" s="198">
        <f>N80*$T78</f>
        <v>319534</v>
      </c>
      <c r="S80" s="197">
        <f>IFERROR(R80/E80,"-")</f>
        <v>2.0134462473985515</v>
      </c>
      <c r="T80" s="2272"/>
      <c r="U80" s="187">
        <v>109</v>
      </c>
      <c r="V80" s="186">
        <v>85</v>
      </c>
      <c r="W80" s="45">
        <f t="shared" si="45"/>
        <v>0.77981651376146788</v>
      </c>
      <c r="X80" s="44">
        <f t="shared" si="46"/>
        <v>1455.9636697247706</v>
      </c>
      <c r="Y80" s="99">
        <f t="shared" si="47"/>
        <v>1867.0592941176471</v>
      </c>
      <c r="Z80" s="42">
        <f t="shared" si="48"/>
        <v>37995</v>
      </c>
      <c r="AA80" s="41">
        <f>IFERROR(Z80/E80,"-")</f>
        <v>0.23941392831406971</v>
      </c>
      <c r="AB80" s="40">
        <v>447</v>
      </c>
    </row>
    <row r="81" spans="2:28" ht="16.5">
      <c r="B81" s="2312"/>
      <c r="C81" s="220" t="s">
        <v>869</v>
      </c>
      <c r="D81" s="2321"/>
      <c r="E81" s="219">
        <f>F81+G81</f>
        <v>160467.97999999998</v>
      </c>
      <c r="F81" s="203">
        <v>91617.98</v>
      </c>
      <c r="G81" s="202">
        <v>68850</v>
      </c>
      <c r="H81" s="200">
        <v>97201</v>
      </c>
      <c r="I81" s="103">
        <f t="shared" si="39"/>
        <v>1.6508881595868354</v>
      </c>
      <c r="J81" s="186">
        <v>9420</v>
      </c>
      <c r="K81" s="45">
        <f t="shared" si="40"/>
        <v>9.6912583203876509E-2</v>
      </c>
      <c r="L81" s="45">
        <f t="shared" si="41"/>
        <v>9.649681528662421E-2</v>
      </c>
      <c r="M81" s="188">
        <v>909</v>
      </c>
      <c r="N81" s="186">
        <v>704</v>
      </c>
      <c r="O81" s="101">
        <f t="shared" si="42"/>
        <v>0.77447744774477445</v>
      </c>
      <c r="P81" s="198">
        <f t="shared" si="43"/>
        <v>176.53243124312428</v>
      </c>
      <c r="Q81" s="100">
        <f t="shared" si="44"/>
        <v>227.93747159090907</v>
      </c>
      <c r="R81" s="198">
        <f>N81*$T78</f>
        <v>277376</v>
      </c>
      <c r="S81" s="197">
        <f>IFERROR(R81/E81,"-")</f>
        <v>1.7285442242122075</v>
      </c>
      <c r="T81" s="2272"/>
      <c r="U81" s="187">
        <v>354</v>
      </c>
      <c r="V81" s="186">
        <v>291</v>
      </c>
      <c r="W81" s="45">
        <f t="shared" si="45"/>
        <v>0.82203389830508478</v>
      </c>
      <c r="X81" s="44">
        <f t="shared" si="46"/>
        <v>453.29937853107339</v>
      </c>
      <c r="Y81" s="99">
        <f t="shared" si="47"/>
        <v>551.43635738831608</v>
      </c>
      <c r="Z81" s="42">
        <f t="shared" si="48"/>
        <v>98649</v>
      </c>
      <c r="AA81" s="41">
        <f>IFERROR(Z81/E81,"-")</f>
        <v>0.6147581592290251</v>
      </c>
      <c r="AB81" s="40">
        <v>339</v>
      </c>
    </row>
    <row r="82" spans="2:28" ht="16.5">
      <c r="B82" s="2312"/>
      <c r="C82" s="215" t="s">
        <v>866</v>
      </c>
      <c r="D82" s="2321"/>
      <c r="E82" s="219">
        <f>G82+F82</f>
        <v>546324.1</v>
      </c>
      <c r="F82" s="203">
        <v>265328.09999999998</v>
      </c>
      <c r="G82" s="202">
        <v>280996</v>
      </c>
      <c r="H82" s="200">
        <v>129210</v>
      </c>
      <c r="I82" s="103">
        <f t="shared" si="39"/>
        <v>4.2281874467920435</v>
      </c>
      <c r="J82" s="186">
        <v>11493</v>
      </c>
      <c r="K82" s="45">
        <f t="shared" si="40"/>
        <v>8.8948223821685629E-2</v>
      </c>
      <c r="L82" s="45">
        <f t="shared" si="41"/>
        <v>6.5866179413556075E-2</v>
      </c>
      <c r="M82" s="188">
        <v>757</v>
      </c>
      <c r="N82" s="186">
        <v>575</v>
      </c>
      <c r="O82" s="101">
        <f t="shared" si="42"/>
        <v>0.75957727873183623</v>
      </c>
      <c r="P82" s="198">
        <f t="shared" si="43"/>
        <v>721.69630118890359</v>
      </c>
      <c r="Q82" s="100">
        <f t="shared" si="44"/>
        <v>950.12886956521731</v>
      </c>
      <c r="R82" s="198">
        <f>N82*$T78</f>
        <v>226550</v>
      </c>
      <c r="S82" s="197">
        <f>IFERROR(R82/E82,"-")</f>
        <v>0.41468058978177974</v>
      </c>
      <c r="T82" s="218"/>
      <c r="U82" s="187">
        <v>253</v>
      </c>
      <c r="V82" s="186">
        <v>175</v>
      </c>
      <c r="W82" s="45">
        <f t="shared" si="45"/>
        <v>0.69169960474308301</v>
      </c>
      <c r="X82" s="44">
        <f t="shared" si="46"/>
        <v>2159.3837944664033</v>
      </c>
      <c r="Y82" s="99">
        <f t="shared" si="47"/>
        <v>3121.8519999999999</v>
      </c>
      <c r="Z82" s="42">
        <f t="shared" si="48"/>
        <v>55300</v>
      </c>
      <c r="AA82" s="41">
        <f>IFERROR(Z82/E82,"-")</f>
        <v>0.10122196696063747</v>
      </c>
      <c r="AB82" s="40">
        <v>316</v>
      </c>
    </row>
    <row r="83" spans="2:28" ht="15.75" customHeight="1">
      <c r="B83" s="2312"/>
      <c r="C83" s="137" t="s">
        <v>37</v>
      </c>
      <c r="D83" s="137"/>
      <c r="E83" s="136">
        <f>SUM(E78:E82)</f>
        <v>2418530.29</v>
      </c>
      <c r="F83" s="135">
        <f>SUM(F78:F82)</f>
        <v>1651728.29</v>
      </c>
      <c r="G83" s="134">
        <f>SUM(G78:G82)</f>
        <v>766802</v>
      </c>
      <c r="H83" s="130">
        <f>SUM(H78:H82)</f>
        <v>1729769</v>
      </c>
      <c r="I83" s="133">
        <f t="shared" si="39"/>
        <v>1.3981810808263995</v>
      </c>
      <c r="J83" s="130">
        <f>SUM(J78:J82)</f>
        <v>132680</v>
      </c>
      <c r="K83" s="132">
        <f t="shared" si="40"/>
        <v>7.6703883582143043E-2</v>
      </c>
      <c r="L83" s="132">
        <f t="shared" si="41"/>
        <v>6.9807054567380164E-2</v>
      </c>
      <c r="M83" s="130">
        <f>SUM(M78:M82)</f>
        <v>9262</v>
      </c>
      <c r="N83" s="130">
        <f>SUM(N78:N82)</f>
        <v>7284</v>
      </c>
      <c r="O83" s="132">
        <f t="shared" si="42"/>
        <v>0.78643921399265815</v>
      </c>
      <c r="P83" s="131">
        <f t="shared" si="43"/>
        <v>261.1239786223278</v>
      </c>
      <c r="Q83" s="131">
        <f t="shared" si="44"/>
        <v>332.03326331685889</v>
      </c>
      <c r="R83" s="130">
        <f>N83*$T78</f>
        <v>2869896</v>
      </c>
      <c r="S83" s="129">
        <f>R83/E83</f>
        <v>1.1866280988360083</v>
      </c>
      <c r="T83" s="128"/>
      <c r="U83" s="127">
        <f>SUM(U78:U82)</f>
        <v>1610</v>
      </c>
      <c r="V83" s="124">
        <f>SUM(V78:V82)</f>
        <v>1259</v>
      </c>
      <c r="W83" s="126">
        <f t="shared" si="45"/>
        <v>0.78198757763975157</v>
      </c>
      <c r="X83" s="125">
        <f t="shared" si="46"/>
        <v>1502.1927267080746</v>
      </c>
      <c r="Y83" s="125">
        <f t="shared" si="47"/>
        <v>1920.993081810961</v>
      </c>
      <c r="Z83" s="124">
        <f t="shared" si="48"/>
        <v>496046</v>
      </c>
      <c r="AA83" s="123">
        <f>Z83/E83</f>
        <v>0.20510224827492238</v>
      </c>
      <c r="AB83" s="122">
        <v>394</v>
      </c>
    </row>
    <row r="84" spans="2:28" ht="15.75" customHeight="1">
      <c r="B84" s="2313"/>
      <c r="C84" s="83" t="s">
        <v>36</v>
      </c>
      <c r="D84" s="83"/>
      <c r="E84" s="121">
        <f>SUM(E78:E82)</f>
        <v>2418530.29</v>
      </c>
      <c r="F84" s="120">
        <f>SUM(F78:F82)</f>
        <v>1651728.29</v>
      </c>
      <c r="G84" s="119">
        <f>SUM(G78:G82)</f>
        <v>766802</v>
      </c>
      <c r="H84" s="76">
        <v>1594124</v>
      </c>
      <c r="I84" s="79">
        <f t="shared" si="39"/>
        <v>1.5171531762899249</v>
      </c>
      <c r="J84" s="76">
        <v>114585</v>
      </c>
      <c r="K84" s="78">
        <f t="shared" si="40"/>
        <v>7.1879602841435172E-2</v>
      </c>
      <c r="L84" s="78">
        <f t="shared" si="41"/>
        <v>6.5951040712135089E-2</v>
      </c>
      <c r="M84" s="76">
        <v>7557</v>
      </c>
      <c r="N84" s="76">
        <v>5986</v>
      </c>
      <c r="O84" s="78">
        <f t="shared" si="42"/>
        <v>0.79211327246261742</v>
      </c>
      <c r="P84" s="77">
        <f t="shared" si="43"/>
        <v>320.03841339155753</v>
      </c>
      <c r="Q84" s="77">
        <f t="shared" si="44"/>
        <v>404.03112094888075</v>
      </c>
      <c r="R84" s="196">
        <f>N84*$T78</f>
        <v>2358484</v>
      </c>
      <c r="S84" s="118">
        <f>R84/E84</f>
        <v>0.97517240522135451</v>
      </c>
      <c r="T84" s="74"/>
      <c r="U84" s="117"/>
      <c r="V84" s="76"/>
      <c r="W84" s="78"/>
      <c r="X84" s="116"/>
      <c r="Y84" s="116"/>
      <c r="Z84" s="76"/>
      <c r="AA84" s="115"/>
      <c r="AB84" s="114"/>
    </row>
    <row r="85" spans="2:28" ht="16.5">
      <c r="B85" s="233"/>
      <c r="C85" s="232" t="s">
        <v>461</v>
      </c>
      <c r="D85" s="231" t="s">
        <v>462</v>
      </c>
      <c r="E85" s="230">
        <f>SUM(F85,G85)</f>
        <v>4862600.4000000004</v>
      </c>
      <c r="F85" s="229">
        <v>3985019.4</v>
      </c>
      <c r="G85" s="228">
        <v>877581</v>
      </c>
    </row>
    <row r="86" spans="2:28" ht="16.5">
      <c r="B86" s="227"/>
      <c r="C86" s="226" t="s">
        <v>463</v>
      </c>
      <c r="D86" s="225" t="s">
        <v>69</v>
      </c>
      <c r="E86" s="224">
        <f>E84/E85</f>
        <v>0.49737385165353087</v>
      </c>
      <c r="F86" s="223">
        <f>F84/F85</f>
        <v>0.41448437867077886</v>
      </c>
      <c r="G86" s="222">
        <f>G84/G85</f>
        <v>0.87376777756127355</v>
      </c>
    </row>
    <row r="87" spans="2:28" ht="14.5">
      <c r="B87" s="113"/>
      <c r="G87" s="208"/>
    </row>
    <row r="88" spans="2:28" ht="14.5">
      <c r="B88" s="113"/>
      <c r="G88" s="208"/>
    </row>
    <row r="89" spans="2:28" ht="14.5">
      <c r="B89" s="113"/>
      <c r="G89" s="208"/>
    </row>
    <row r="90" spans="2:28" ht="14.5">
      <c r="B90" s="66" t="s">
        <v>68</v>
      </c>
      <c r="G90" s="208"/>
    </row>
    <row r="91" spans="2:28" ht="15.75" customHeight="1">
      <c r="B91" s="2280" t="s">
        <v>32</v>
      </c>
      <c r="C91" s="2281" t="s">
        <v>31</v>
      </c>
      <c r="D91" s="2310" t="s">
        <v>30</v>
      </c>
      <c r="E91" s="2283" t="s">
        <v>29</v>
      </c>
      <c r="F91" s="2286"/>
      <c r="G91" s="2287"/>
      <c r="H91" s="2268" t="s">
        <v>28</v>
      </c>
      <c r="I91" s="2284"/>
      <c r="J91" s="2284"/>
      <c r="K91" s="2284"/>
      <c r="L91" s="2284"/>
      <c r="M91" s="2284"/>
      <c r="N91" s="2284"/>
      <c r="O91" s="2284"/>
      <c r="P91" s="2284"/>
      <c r="Q91" s="2284"/>
      <c r="R91" s="2284"/>
      <c r="S91" s="2284"/>
      <c r="T91" s="2285"/>
      <c r="U91" s="2268" t="s">
        <v>27</v>
      </c>
      <c r="V91" s="2284"/>
      <c r="W91" s="2284"/>
      <c r="X91" s="2284"/>
      <c r="Y91" s="2284"/>
      <c r="Z91" s="2284"/>
      <c r="AA91" s="2284"/>
      <c r="AB91" s="2285"/>
    </row>
    <row r="92" spans="2:28" ht="66">
      <c r="B92" s="2308"/>
      <c r="C92" s="2309"/>
      <c r="D92" s="2322"/>
      <c r="E92" s="112" t="s">
        <v>26</v>
      </c>
      <c r="F92" s="111" t="s">
        <v>25</v>
      </c>
      <c r="G92" s="110" t="s">
        <v>24</v>
      </c>
      <c r="H92" s="107" t="s">
        <v>23</v>
      </c>
      <c r="I92" s="108" t="s">
        <v>22</v>
      </c>
      <c r="J92" s="111" t="s">
        <v>21</v>
      </c>
      <c r="K92" s="108" t="s">
        <v>20</v>
      </c>
      <c r="L92" s="108" t="s">
        <v>19</v>
      </c>
      <c r="M92" s="107" t="s">
        <v>18</v>
      </c>
      <c r="N92" s="108" t="s">
        <v>17</v>
      </c>
      <c r="O92" s="108" t="s">
        <v>16</v>
      </c>
      <c r="P92" s="108" t="s">
        <v>15</v>
      </c>
      <c r="Q92" s="108" t="s">
        <v>14</v>
      </c>
      <c r="R92" s="108" t="s">
        <v>13</v>
      </c>
      <c r="S92" s="108" t="s">
        <v>12</v>
      </c>
      <c r="T92" s="110" t="s">
        <v>11</v>
      </c>
      <c r="U92" s="109" t="s">
        <v>10</v>
      </c>
      <c r="V92" s="108" t="s">
        <v>67</v>
      </c>
      <c r="W92" s="107" t="s">
        <v>8</v>
      </c>
      <c r="X92" s="107" t="s">
        <v>7</v>
      </c>
      <c r="Y92" s="107" t="s">
        <v>6</v>
      </c>
      <c r="Z92" s="107" t="s">
        <v>5</v>
      </c>
      <c r="AA92" s="107" t="s">
        <v>4</v>
      </c>
      <c r="AB92" s="106" t="s">
        <v>3</v>
      </c>
    </row>
    <row r="93" spans="2:28" ht="16.5">
      <c r="B93" s="2316" t="s">
        <v>66</v>
      </c>
      <c r="C93" s="217" t="s">
        <v>865</v>
      </c>
      <c r="D93" s="2320" t="s">
        <v>63</v>
      </c>
      <c r="E93" s="221">
        <f>F93+G93</f>
        <v>438133.08</v>
      </c>
      <c r="F93" s="195">
        <v>241456.08000000002</v>
      </c>
      <c r="G93" s="194">
        <v>196677</v>
      </c>
      <c r="H93" s="200">
        <v>312726</v>
      </c>
      <c r="I93" s="103">
        <f t="shared" ref="I93:I99" si="49">E93/H93</f>
        <v>1.4010126436561079</v>
      </c>
      <c r="J93" s="186">
        <v>17202</v>
      </c>
      <c r="K93" s="45">
        <f t="shared" ref="K93:K99" si="50">J93/H93</f>
        <v>5.5006619212985171E-2</v>
      </c>
      <c r="L93" s="45">
        <f t="shared" ref="L93:L99" si="51">M93/J93</f>
        <v>5.7958376932914779E-2</v>
      </c>
      <c r="M93" s="188">
        <v>997</v>
      </c>
      <c r="N93" s="186">
        <v>800</v>
      </c>
      <c r="O93" s="101">
        <f t="shared" ref="O93:O99" si="52">N93/M93</f>
        <v>0.80240722166499501</v>
      </c>
      <c r="P93" s="198">
        <f t="shared" ref="P93:P99" si="53">E93/M93</f>
        <v>439.45143430290875</v>
      </c>
      <c r="Q93" s="100">
        <f t="shared" ref="Q93:Q99" si="54">E93/N93</f>
        <v>547.66634999999997</v>
      </c>
      <c r="R93" s="198">
        <f>N93*$T93</f>
        <v>315200</v>
      </c>
      <c r="S93" s="197">
        <f>IFERROR(R93/E93,"-")</f>
        <v>0.71941611895636826</v>
      </c>
      <c r="T93" s="2279">
        <v>394</v>
      </c>
      <c r="U93" s="187">
        <v>159</v>
      </c>
      <c r="V93" s="186">
        <v>128</v>
      </c>
      <c r="W93" s="45">
        <f t="shared" ref="W93:W98" si="55">V93/U93</f>
        <v>0.80503144654088055</v>
      </c>
      <c r="X93" s="44">
        <f t="shared" ref="X93:X98" si="56">E93/U93</f>
        <v>2755.5539622641509</v>
      </c>
      <c r="Y93" s="99">
        <f t="shared" ref="Y93:Y98" si="57">E93/V93</f>
        <v>3422.9146875000001</v>
      </c>
      <c r="Z93" s="42">
        <f t="shared" ref="Z93:Z98" si="58">V93*AB93</f>
        <v>87936</v>
      </c>
      <c r="AA93" s="41">
        <f>IFERROR(Z93/E93,"-")</f>
        <v>0.20070614161341116</v>
      </c>
      <c r="AB93" s="40">
        <v>687</v>
      </c>
    </row>
    <row r="94" spans="2:28" ht="16.5">
      <c r="B94" s="2312"/>
      <c r="C94" s="217" t="s">
        <v>867</v>
      </c>
      <c r="D94" s="2321"/>
      <c r="E94" s="219">
        <f>F94+G94</f>
        <v>358053.17000000004</v>
      </c>
      <c r="F94" s="203">
        <v>201518.17</v>
      </c>
      <c r="G94" s="202">
        <v>156535</v>
      </c>
      <c r="H94" s="200">
        <v>423249</v>
      </c>
      <c r="I94" s="103">
        <f t="shared" si="49"/>
        <v>0.8459634163341202</v>
      </c>
      <c r="J94" s="186">
        <v>16214</v>
      </c>
      <c r="K94" s="45">
        <f t="shared" si="50"/>
        <v>3.8308418921249664E-2</v>
      </c>
      <c r="L94" s="45">
        <f t="shared" si="51"/>
        <v>6.5683976810164052E-2</v>
      </c>
      <c r="M94" s="188">
        <v>1065</v>
      </c>
      <c r="N94" s="186">
        <v>845</v>
      </c>
      <c r="O94" s="101">
        <f t="shared" si="52"/>
        <v>0.79342723004694837</v>
      </c>
      <c r="P94" s="198">
        <f t="shared" si="53"/>
        <v>336.20015962441317</v>
      </c>
      <c r="Q94" s="100">
        <f t="shared" si="54"/>
        <v>423.73156213017756</v>
      </c>
      <c r="R94" s="198">
        <f>N94*$T93</f>
        <v>332930</v>
      </c>
      <c r="S94" s="197">
        <f>IFERROR(R94/E94,"-")</f>
        <v>0.92983396851367062</v>
      </c>
      <c r="T94" s="2272"/>
      <c r="U94" s="187">
        <v>104</v>
      </c>
      <c r="V94" s="186">
        <v>93</v>
      </c>
      <c r="W94" s="45">
        <f t="shared" si="55"/>
        <v>0.89423076923076927</v>
      </c>
      <c r="X94" s="44">
        <f t="shared" si="56"/>
        <v>3442.8189423076929</v>
      </c>
      <c r="Y94" s="99">
        <f t="shared" si="57"/>
        <v>3850.034086021506</v>
      </c>
      <c r="Z94" s="42">
        <f t="shared" si="58"/>
        <v>36084</v>
      </c>
      <c r="AA94" s="41">
        <f>IFERROR(Z94/E94,"-")</f>
        <v>0.10077832853707173</v>
      </c>
      <c r="AB94" s="40">
        <v>388</v>
      </c>
    </row>
    <row r="95" spans="2:28" ht="16.5">
      <c r="B95" s="2312"/>
      <c r="C95" s="216" t="s">
        <v>868</v>
      </c>
      <c r="D95" s="2321"/>
      <c r="E95" s="219">
        <f>F95+G95</f>
        <v>45755.39</v>
      </c>
      <c r="F95" s="203">
        <v>45755.39</v>
      </c>
      <c r="G95" s="202">
        <v>0</v>
      </c>
      <c r="H95" s="200">
        <v>192446</v>
      </c>
      <c r="I95" s="103">
        <f t="shared" si="49"/>
        <v>0.23775703314176444</v>
      </c>
      <c r="J95" s="186">
        <v>8162</v>
      </c>
      <c r="K95" s="45">
        <f t="shared" si="50"/>
        <v>4.2411897363416232E-2</v>
      </c>
      <c r="L95" s="45">
        <f t="shared" si="51"/>
        <v>4.3249203626562115E-2</v>
      </c>
      <c r="M95" s="188">
        <v>353</v>
      </c>
      <c r="N95" s="186">
        <v>270</v>
      </c>
      <c r="O95" s="101">
        <f t="shared" si="52"/>
        <v>0.76487252124645888</v>
      </c>
      <c r="P95" s="198">
        <f t="shared" si="53"/>
        <v>129.61866855524079</v>
      </c>
      <c r="Q95" s="100">
        <f t="shared" si="54"/>
        <v>169.46440740740741</v>
      </c>
      <c r="R95" s="198">
        <f>N95*$T93</f>
        <v>106380</v>
      </c>
      <c r="S95" s="197">
        <f>IFERROR(R95/E95,"-")</f>
        <v>2.3249719869068977</v>
      </c>
      <c r="T95" s="2272"/>
      <c r="U95" s="187">
        <v>65</v>
      </c>
      <c r="V95" s="186">
        <v>53</v>
      </c>
      <c r="W95" s="45">
        <f t="shared" si="55"/>
        <v>0.81538461538461537</v>
      </c>
      <c r="X95" s="44">
        <f t="shared" si="56"/>
        <v>703.92907692307688</v>
      </c>
      <c r="Y95" s="99">
        <f t="shared" si="57"/>
        <v>863.30924528301887</v>
      </c>
      <c r="Z95" s="42">
        <f t="shared" si="58"/>
        <v>23691</v>
      </c>
      <c r="AA95" s="41">
        <f>IFERROR(Z95/E95,"-")</f>
        <v>0.51777506431482723</v>
      </c>
      <c r="AB95" s="40">
        <v>447</v>
      </c>
    </row>
    <row r="96" spans="2:28" ht="16.5">
      <c r="B96" s="2312"/>
      <c r="C96" s="220" t="s">
        <v>869</v>
      </c>
      <c r="D96" s="2321"/>
      <c r="E96" s="219">
        <f>F96+G96</f>
        <v>84210.38</v>
      </c>
      <c r="F96" s="203">
        <v>28872.38</v>
      </c>
      <c r="G96" s="202">
        <v>55338</v>
      </c>
      <c r="H96" s="200">
        <v>41441</v>
      </c>
      <c r="I96" s="103">
        <f t="shared" si="49"/>
        <v>2.0320547284090638</v>
      </c>
      <c r="J96" s="186">
        <v>2637</v>
      </c>
      <c r="K96" s="45">
        <f t="shared" si="50"/>
        <v>6.363263434762674E-2</v>
      </c>
      <c r="L96" s="45">
        <f t="shared" si="51"/>
        <v>8.191126279863481E-2</v>
      </c>
      <c r="M96" s="188">
        <v>216</v>
      </c>
      <c r="N96" s="186">
        <v>139</v>
      </c>
      <c r="O96" s="101">
        <f t="shared" si="52"/>
        <v>0.64351851851851849</v>
      </c>
      <c r="P96" s="198">
        <f t="shared" si="53"/>
        <v>389.86287037037039</v>
      </c>
      <c r="Q96" s="100">
        <f t="shared" si="54"/>
        <v>605.83007194244612</v>
      </c>
      <c r="R96" s="198">
        <f>N96*$T93</f>
        <v>54766</v>
      </c>
      <c r="S96" s="197">
        <f>IFERROR(R96/E96,"-")</f>
        <v>0.65034737997857273</v>
      </c>
      <c r="T96" s="2272"/>
      <c r="U96" s="187">
        <v>77</v>
      </c>
      <c r="V96" s="186">
        <v>62</v>
      </c>
      <c r="W96" s="45">
        <f t="shared" si="55"/>
        <v>0.80519480519480524</v>
      </c>
      <c r="X96" s="44">
        <f t="shared" si="56"/>
        <v>1093.6412987012989</v>
      </c>
      <c r="Y96" s="99">
        <f t="shared" si="57"/>
        <v>1358.231935483871</v>
      </c>
      <c r="Z96" s="42">
        <f t="shared" si="58"/>
        <v>21018</v>
      </c>
      <c r="AA96" s="41">
        <f>IFERROR(Z96/E96,"-")</f>
        <v>0.24958918366120661</v>
      </c>
      <c r="AB96" s="40">
        <v>339</v>
      </c>
    </row>
    <row r="97" spans="2:28" ht="16.5">
      <c r="B97" s="2312"/>
      <c r="C97" s="215" t="s">
        <v>866</v>
      </c>
      <c r="D97" s="2321"/>
      <c r="E97" s="219">
        <f>G97+F97</f>
        <v>308748.40000000002</v>
      </c>
      <c r="F97" s="203">
        <v>54412.4</v>
      </c>
      <c r="G97" s="202">
        <v>254336</v>
      </c>
      <c r="H97" s="200">
        <v>52372</v>
      </c>
      <c r="I97" s="103">
        <f t="shared" si="49"/>
        <v>5.8952951959062094</v>
      </c>
      <c r="J97" s="186">
        <v>2862</v>
      </c>
      <c r="K97" s="45">
        <f t="shared" si="50"/>
        <v>5.4647521576414879E-2</v>
      </c>
      <c r="L97" s="45">
        <f t="shared" si="51"/>
        <v>4.5073375262054509E-2</v>
      </c>
      <c r="M97" s="188">
        <v>129</v>
      </c>
      <c r="N97" s="186">
        <v>94</v>
      </c>
      <c r="O97" s="101">
        <f t="shared" si="52"/>
        <v>0.72868217054263562</v>
      </c>
      <c r="P97" s="198">
        <f t="shared" si="53"/>
        <v>2393.3984496124031</v>
      </c>
      <c r="Q97" s="100">
        <f t="shared" si="54"/>
        <v>3284.557446808511</v>
      </c>
      <c r="R97" s="198">
        <f>N97*$T93</f>
        <v>37036</v>
      </c>
      <c r="S97" s="197">
        <f>IFERROR(R97/E97,"-")</f>
        <v>0.1199552775010332</v>
      </c>
      <c r="T97" s="218"/>
      <c r="U97" s="187">
        <v>56</v>
      </c>
      <c r="V97" s="186">
        <v>29</v>
      </c>
      <c r="W97" s="45">
        <f t="shared" si="55"/>
        <v>0.5178571428571429</v>
      </c>
      <c r="X97" s="44">
        <f t="shared" si="56"/>
        <v>5513.3642857142859</v>
      </c>
      <c r="Y97" s="99">
        <f t="shared" si="57"/>
        <v>10646.496551724138</v>
      </c>
      <c r="Z97" s="42">
        <f t="shared" si="58"/>
        <v>9164</v>
      </c>
      <c r="AA97" s="41">
        <f>IFERROR(Z97/E97,"-")</f>
        <v>2.9681125473038885E-2</v>
      </c>
      <c r="AB97" s="40">
        <v>316</v>
      </c>
    </row>
    <row r="98" spans="2:28" ht="16.5">
      <c r="B98" s="2312"/>
      <c r="C98" s="137" t="s">
        <v>37</v>
      </c>
      <c r="D98" s="137"/>
      <c r="E98" s="136">
        <f>SUM(E93:E97)</f>
        <v>1234900.42</v>
      </c>
      <c r="F98" s="135">
        <f>SUM(F93:F97)</f>
        <v>572014.42000000004</v>
      </c>
      <c r="G98" s="134">
        <f>SUM(G93:G97)</f>
        <v>662886</v>
      </c>
      <c r="H98" s="130">
        <f>SUM(H93:H97)</f>
        <v>1022234</v>
      </c>
      <c r="I98" s="133">
        <f t="shared" si="49"/>
        <v>1.2080408399642351</v>
      </c>
      <c r="J98" s="130">
        <f>SUM(J93:J97)</f>
        <v>47077</v>
      </c>
      <c r="K98" s="132">
        <f t="shared" si="50"/>
        <v>4.6053056345220368E-2</v>
      </c>
      <c r="L98" s="132">
        <f t="shared" si="51"/>
        <v>5.8627355184060155E-2</v>
      </c>
      <c r="M98" s="130">
        <f>SUM(M93:M97)</f>
        <v>2760</v>
      </c>
      <c r="N98" s="130">
        <f>SUM(N93:N97)</f>
        <v>2148</v>
      </c>
      <c r="O98" s="132">
        <f t="shared" si="52"/>
        <v>0.77826086956521734</v>
      </c>
      <c r="P98" s="131">
        <f t="shared" si="53"/>
        <v>447.42768840579708</v>
      </c>
      <c r="Q98" s="131">
        <f t="shared" si="54"/>
        <v>574.90708566108003</v>
      </c>
      <c r="R98" s="130">
        <f>N98*$T93</f>
        <v>846312</v>
      </c>
      <c r="S98" s="129">
        <f>R98/E98</f>
        <v>0.68532813358343503</v>
      </c>
      <c r="T98" s="128"/>
      <c r="U98" s="127">
        <f>SUM(U93:U97)</f>
        <v>461</v>
      </c>
      <c r="V98" s="124">
        <f>SUM(V93:V97)</f>
        <v>365</v>
      </c>
      <c r="W98" s="126">
        <f t="shared" si="55"/>
        <v>0.79175704989154017</v>
      </c>
      <c r="X98" s="125">
        <f t="shared" si="56"/>
        <v>2678.7427765726679</v>
      </c>
      <c r="Y98" s="125">
        <f t="shared" si="57"/>
        <v>3383.288821917808</v>
      </c>
      <c r="Z98" s="124">
        <f t="shared" si="58"/>
        <v>143810</v>
      </c>
      <c r="AA98" s="123">
        <f>Z98/E98</f>
        <v>0.11645473405863771</v>
      </c>
      <c r="AB98" s="122">
        <v>394</v>
      </c>
    </row>
    <row r="99" spans="2:28" ht="16.5">
      <c r="B99" s="2313"/>
      <c r="C99" s="83" t="s">
        <v>36</v>
      </c>
      <c r="D99" s="83"/>
      <c r="E99" s="121">
        <f>SUM(E93:E97)</f>
        <v>1234900.42</v>
      </c>
      <c r="F99" s="120">
        <f>SUM(F93:F97)</f>
        <v>572014.42000000004</v>
      </c>
      <c r="G99" s="119">
        <f>SUM(G93:G97)</f>
        <v>662886</v>
      </c>
      <c r="H99" s="76">
        <v>952569</v>
      </c>
      <c r="I99" s="79">
        <f t="shared" si="49"/>
        <v>1.2963894688993658</v>
      </c>
      <c r="J99" s="76">
        <v>42438</v>
      </c>
      <c r="K99" s="78">
        <f t="shared" si="50"/>
        <v>4.4551103384636706E-2</v>
      </c>
      <c r="L99" s="78">
        <f t="shared" si="51"/>
        <v>5.6411706489466987E-2</v>
      </c>
      <c r="M99" s="76">
        <v>2394</v>
      </c>
      <c r="N99" s="76">
        <v>1873</v>
      </c>
      <c r="O99" s="78">
        <f t="shared" si="52"/>
        <v>0.78237259816207183</v>
      </c>
      <c r="P99" s="77">
        <f t="shared" si="53"/>
        <v>515.83142021720971</v>
      </c>
      <c r="Q99" s="77">
        <f t="shared" si="54"/>
        <v>659.31682861719162</v>
      </c>
      <c r="R99" s="196">
        <f>N99*$T93</f>
        <v>737962</v>
      </c>
      <c r="S99" s="118">
        <f>R99/E99</f>
        <v>0.59758826545706423</v>
      </c>
      <c r="T99" s="74"/>
      <c r="U99" s="117"/>
      <c r="V99" s="76"/>
      <c r="W99" s="78"/>
      <c r="X99" s="116"/>
      <c r="Y99" s="116"/>
      <c r="Z99" s="76"/>
      <c r="AA99" s="115"/>
      <c r="AB99" s="114"/>
    </row>
    <row r="100" spans="2:28" ht="14.5">
      <c r="B100" s="113"/>
      <c r="G100" s="208"/>
    </row>
    <row r="101" spans="2:28" ht="14.5">
      <c r="B101" s="113"/>
      <c r="G101" s="208"/>
    </row>
    <row r="102" spans="2:28" ht="14.5">
      <c r="B102" s="113"/>
      <c r="G102" s="208"/>
    </row>
    <row r="103" spans="2:28" ht="14.5">
      <c r="B103" s="66" t="s">
        <v>65</v>
      </c>
      <c r="G103" s="208"/>
    </row>
    <row r="104" spans="2:28" ht="15" customHeight="1">
      <c r="B104" s="2280" t="s">
        <v>32</v>
      </c>
      <c r="C104" s="2281" t="s">
        <v>31</v>
      </c>
      <c r="D104" s="2310" t="s">
        <v>30</v>
      </c>
      <c r="E104" s="2283" t="s">
        <v>29</v>
      </c>
      <c r="F104" s="2286"/>
      <c r="G104" s="2287"/>
      <c r="H104" s="2268" t="s">
        <v>28</v>
      </c>
      <c r="I104" s="2284"/>
      <c r="J104" s="2284"/>
      <c r="K104" s="2284"/>
      <c r="L104" s="2284"/>
      <c r="M104" s="2284"/>
      <c r="N104" s="2284"/>
      <c r="O104" s="2284"/>
      <c r="P104" s="2284"/>
      <c r="Q104" s="2284"/>
      <c r="R104" s="2284"/>
      <c r="S104" s="2284"/>
      <c r="T104" s="2285"/>
      <c r="U104" s="2268" t="s">
        <v>27</v>
      </c>
      <c r="V104" s="2284"/>
      <c r="W104" s="2284"/>
      <c r="X104" s="2284"/>
      <c r="Y104" s="2284"/>
      <c r="Z104" s="2284"/>
      <c r="AA104" s="2284"/>
      <c r="AB104" s="2285"/>
    </row>
    <row r="105" spans="2:28" ht="66">
      <c r="B105" s="2308"/>
      <c r="C105" s="2309"/>
      <c r="D105" s="2322"/>
      <c r="E105" s="112" t="s">
        <v>26</v>
      </c>
      <c r="F105" s="111" t="s">
        <v>25</v>
      </c>
      <c r="G105" s="110" t="s">
        <v>24</v>
      </c>
      <c r="H105" s="107" t="s">
        <v>23</v>
      </c>
      <c r="I105" s="108" t="s">
        <v>22</v>
      </c>
      <c r="J105" s="111" t="s">
        <v>21</v>
      </c>
      <c r="K105" s="108" t="s">
        <v>20</v>
      </c>
      <c r="L105" s="108" t="s">
        <v>19</v>
      </c>
      <c r="M105" s="107" t="s">
        <v>18</v>
      </c>
      <c r="N105" s="108" t="s">
        <v>17</v>
      </c>
      <c r="O105" s="108" t="s">
        <v>16</v>
      </c>
      <c r="P105" s="108" t="s">
        <v>15</v>
      </c>
      <c r="Q105" s="108" t="s">
        <v>14</v>
      </c>
      <c r="R105" s="108" t="s">
        <v>13</v>
      </c>
      <c r="S105" s="108" t="s">
        <v>12</v>
      </c>
      <c r="T105" s="110" t="s">
        <v>11</v>
      </c>
      <c r="U105" s="109" t="s">
        <v>10</v>
      </c>
      <c r="V105" s="108" t="s">
        <v>9</v>
      </c>
      <c r="W105" s="107" t="s">
        <v>8</v>
      </c>
      <c r="X105" s="107" t="s">
        <v>7</v>
      </c>
      <c r="Y105" s="107" t="s">
        <v>6</v>
      </c>
      <c r="Z105" s="107" t="s">
        <v>5</v>
      </c>
      <c r="AA105" s="107" t="s">
        <v>4</v>
      </c>
      <c r="AB105" s="106" t="s">
        <v>3</v>
      </c>
    </row>
    <row r="106" spans="2:28" ht="16.5">
      <c r="B106" s="2316" t="s">
        <v>64</v>
      </c>
      <c r="C106" s="217" t="s">
        <v>865</v>
      </c>
      <c r="D106" s="2314" t="s">
        <v>63</v>
      </c>
      <c r="E106" s="214">
        <f>F106+G106</f>
        <v>47074.124000000003</v>
      </c>
      <c r="F106" s="195">
        <v>37504.550000000003</v>
      </c>
      <c r="G106" s="194">
        <v>9569.5740000000005</v>
      </c>
      <c r="H106" s="200">
        <v>64571</v>
      </c>
      <c r="I106" s="103">
        <f t="shared" ref="I106:I111" si="59">E106/H106</f>
        <v>0.72902888293506374</v>
      </c>
      <c r="J106" s="186">
        <v>1405</v>
      </c>
      <c r="K106" s="45">
        <f t="shared" ref="K106:K111" si="60">J106/H106</f>
        <v>2.1758993975623732E-2</v>
      </c>
      <c r="L106" s="45">
        <f t="shared" ref="L106:L111" si="61">M106/J106</f>
        <v>2.5622775800711744E-2</v>
      </c>
      <c r="M106" s="188">
        <v>36</v>
      </c>
      <c r="N106" s="186">
        <v>30</v>
      </c>
      <c r="O106" s="101">
        <f t="shared" ref="O106:O111" si="62">N106/M106</f>
        <v>0.83333333333333337</v>
      </c>
      <c r="P106" s="198">
        <f t="shared" ref="P106:P111" si="63">E106/M106</f>
        <v>1307.6145555555556</v>
      </c>
      <c r="Q106" s="100">
        <f t="shared" ref="Q106:Q111" si="64">E106/N106</f>
        <v>1569.1374666666668</v>
      </c>
      <c r="R106" s="198">
        <f>N106*$T106</f>
        <v>11820</v>
      </c>
      <c r="S106" s="197">
        <f>IFERROR(R106/E106,"-")</f>
        <v>0.25109336076014921</v>
      </c>
      <c r="T106" s="2279">
        <v>394</v>
      </c>
      <c r="U106" s="187">
        <v>11</v>
      </c>
      <c r="V106" s="186">
        <v>9</v>
      </c>
      <c r="W106" s="45">
        <f>V106/U106</f>
        <v>0.81818181818181823</v>
      </c>
      <c r="X106" s="44">
        <f>E106/U106</f>
        <v>4279.4658181818186</v>
      </c>
      <c r="Y106" s="99">
        <f>E106/V106</f>
        <v>5230.4582222222225</v>
      </c>
      <c r="Z106" s="42">
        <f>V106*AB106</f>
        <v>6183</v>
      </c>
      <c r="AA106" s="41">
        <f>IFERROR(Z106/E106,"-")</f>
        <v>0.13134604480372272</v>
      </c>
      <c r="AB106" s="40">
        <v>687</v>
      </c>
    </row>
    <row r="107" spans="2:28" ht="16.5">
      <c r="B107" s="2312"/>
      <c r="C107" s="217" t="s">
        <v>867</v>
      </c>
      <c r="D107" s="2319"/>
      <c r="E107" s="214">
        <f>F107+G107</f>
        <v>72073.03</v>
      </c>
      <c r="F107" s="203">
        <v>26721.03</v>
      </c>
      <c r="G107" s="202">
        <v>45352</v>
      </c>
      <c r="H107" s="200">
        <v>70863</v>
      </c>
      <c r="I107" s="103">
        <f t="shared" si="59"/>
        <v>1.0170756247971438</v>
      </c>
      <c r="J107" s="186">
        <v>1435</v>
      </c>
      <c r="K107" s="45">
        <f t="shared" si="60"/>
        <v>2.0250342209615739E-2</v>
      </c>
      <c r="L107" s="45">
        <f t="shared" si="61"/>
        <v>0.12264808362369338</v>
      </c>
      <c r="M107" s="188">
        <v>176</v>
      </c>
      <c r="N107" s="186">
        <v>141</v>
      </c>
      <c r="O107" s="101">
        <f t="shared" si="62"/>
        <v>0.80113636363636365</v>
      </c>
      <c r="P107" s="198">
        <f t="shared" si="63"/>
        <v>409.50585227272728</v>
      </c>
      <c r="Q107" s="100">
        <f t="shared" si="64"/>
        <v>511.15624113475178</v>
      </c>
      <c r="R107" s="198">
        <f>N107*$T106</f>
        <v>55554</v>
      </c>
      <c r="S107" s="197">
        <f>IFERROR(R107/E107,"-")</f>
        <v>0.77080150508449552</v>
      </c>
      <c r="T107" s="2272"/>
      <c r="U107" s="187">
        <v>40</v>
      </c>
      <c r="V107" s="186">
        <v>31</v>
      </c>
      <c r="W107" s="45">
        <f>V107/U107</f>
        <v>0.77500000000000002</v>
      </c>
      <c r="X107" s="44">
        <f>E107/U107</f>
        <v>1801.82575</v>
      </c>
      <c r="Y107" s="99">
        <f>E107/V107</f>
        <v>2324.9364516129031</v>
      </c>
      <c r="Z107" s="42">
        <f>V107*AB107</f>
        <v>12028</v>
      </c>
      <c r="AA107" s="41">
        <f>IFERROR(Z107/E107,"-")</f>
        <v>0.16688628187270607</v>
      </c>
      <c r="AB107" s="40">
        <v>388</v>
      </c>
    </row>
    <row r="108" spans="2:28" ht="16.5">
      <c r="B108" s="2312"/>
      <c r="C108" s="216" t="s">
        <v>868</v>
      </c>
      <c r="D108" s="2319"/>
      <c r="E108" s="214">
        <f>F108+G108</f>
        <v>343.66</v>
      </c>
      <c r="F108" s="203">
        <v>343.66</v>
      </c>
      <c r="G108" s="202">
        <v>0</v>
      </c>
      <c r="H108" s="200">
        <v>126668</v>
      </c>
      <c r="I108" s="103">
        <f t="shared" si="59"/>
        <v>2.7130767044557429E-3</v>
      </c>
      <c r="J108" s="186">
        <v>2779</v>
      </c>
      <c r="K108" s="45">
        <f t="shared" si="60"/>
        <v>2.1939242744813212E-2</v>
      </c>
      <c r="L108" s="45">
        <f t="shared" si="61"/>
        <v>3.9582583663188196E-2</v>
      </c>
      <c r="M108" s="188">
        <v>110</v>
      </c>
      <c r="N108" s="186">
        <v>87</v>
      </c>
      <c r="O108" s="101">
        <f t="shared" si="62"/>
        <v>0.79090909090909089</v>
      </c>
      <c r="P108" s="198">
        <f t="shared" si="63"/>
        <v>3.1241818181818184</v>
      </c>
      <c r="Q108" s="100">
        <f t="shared" si="64"/>
        <v>3.9501149425287361</v>
      </c>
      <c r="R108" s="198">
        <f>N108*$T106</f>
        <v>34278</v>
      </c>
      <c r="S108" s="197">
        <f>IFERROR(R108/E108,"-")</f>
        <v>99.743932956992367</v>
      </c>
      <c r="T108" s="2272"/>
      <c r="U108" s="187">
        <v>39</v>
      </c>
      <c r="V108" s="186">
        <v>29</v>
      </c>
      <c r="W108" s="45">
        <f>V108/U108</f>
        <v>0.74358974358974361</v>
      </c>
      <c r="X108" s="44">
        <f>E108/U108</f>
        <v>8.8117948717948718</v>
      </c>
      <c r="Y108" s="99">
        <f>E108/V108</f>
        <v>11.850344827586207</v>
      </c>
      <c r="Z108" s="42">
        <f>V108*AB108</f>
        <v>12963</v>
      </c>
      <c r="AA108" s="41">
        <f>IFERROR(Z108/E108,"-")</f>
        <v>37.720421346679856</v>
      </c>
      <c r="AB108" s="40">
        <v>447</v>
      </c>
    </row>
    <row r="109" spans="2:28" ht="16.5">
      <c r="B109" s="2312"/>
      <c r="C109" s="215" t="s">
        <v>869</v>
      </c>
      <c r="D109" s="2318"/>
      <c r="E109" s="214">
        <f>F109+G109</f>
        <v>9809.16</v>
      </c>
      <c r="F109" s="203">
        <v>1504.16</v>
      </c>
      <c r="G109" s="202">
        <v>8305</v>
      </c>
      <c r="H109" s="200">
        <v>1524</v>
      </c>
      <c r="I109" s="103">
        <f t="shared" si="59"/>
        <v>6.436456692913386</v>
      </c>
      <c r="J109" s="186">
        <v>198</v>
      </c>
      <c r="K109" s="45">
        <f t="shared" si="60"/>
        <v>0.12992125984251968</v>
      </c>
      <c r="L109" s="45" t="e">
        <f t="shared" si="61"/>
        <v>#VALUE!</v>
      </c>
      <c r="M109" s="213" t="s">
        <v>62</v>
      </c>
      <c r="N109" s="212" t="s">
        <v>62</v>
      </c>
      <c r="O109" s="101" t="e">
        <f t="shared" si="62"/>
        <v>#VALUE!</v>
      </c>
      <c r="P109" s="198" t="e">
        <f t="shared" si="63"/>
        <v>#VALUE!</v>
      </c>
      <c r="Q109" s="100" t="e">
        <f t="shared" si="64"/>
        <v>#VALUE!</v>
      </c>
      <c r="R109" s="198" t="e">
        <f>N109*$T106</f>
        <v>#VALUE!</v>
      </c>
      <c r="S109" s="197" t="str">
        <f>IFERROR(R109/E109,"-")</f>
        <v>-</v>
      </c>
      <c r="T109" s="2272"/>
      <c r="U109" s="211" t="s">
        <v>62</v>
      </c>
      <c r="V109" s="210" t="s">
        <v>62</v>
      </c>
      <c r="W109" s="45" t="e">
        <f>V109/U109</f>
        <v>#VALUE!</v>
      </c>
      <c r="X109" s="44" t="e">
        <f>E109/U109</f>
        <v>#VALUE!</v>
      </c>
      <c r="Y109" s="99" t="e">
        <f>E109/V109</f>
        <v>#VALUE!</v>
      </c>
      <c r="Z109" s="42" t="e">
        <f>V109*AB109</f>
        <v>#VALUE!</v>
      </c>
      <c r="AA109" s="41" t="str">
        <f>IFERROR(Z109/E109,"-")</f>
        <v>-</v>
      </c>
      <c r="AB109" s="209">
        <v>339</v>
      </c>
    </row>
    <row r="110" spans="2:28" ht="16.5">
      <c r="B110" s="2312"/>
      <c r="C110" s="137" t="s">
        <v>37</v>
      </c>
      <c r="D110" s="137"/>
      <c r="E110" s="136">
        <f>SUM(E106:E109)</f>
        <v>129299.97400000002</v>
      </c>
      <c r="F110" s="135">
        <f>SUM(F106:F109)</f>
        <v>66073.400000000009</v>
      </c>
      <c r="G110" s="134">
        <f>SUM(G106:G109)</f>
        <v>63226.574000000001</v>
      </c>
      <c r="H110" s="130">
        <f>SUM(H106:H109)</f>
        <v>263626</v>
      </c>
      <c r="I110" s="133">
        <f t="shared" si="59"/>
        <v>0.4904674576862677</v>
      </c>
      <c r="J110" s="130">
        <f>SUM(J106:J109)</f>
        <v>5817</v>
      </c>
      <c r="K110" s="132">
        <f t="shared" si="60"/>
        <v>2.2065350155144031E-2</v>
      </c>
      <c r="L110" s="132">
        <f t="shared" si="61"/>
        <v>5.5354993983152828E-2</v>
      </c>
      <c r="M110" s="130">
        <f>SUM(M106:M109)</f>
        <v>322</v>
      </c>
      <c r="N110" s="130">
        <f>SUM(N106:N109)</f>
        <v>258</v>
      </c>
      <c r="O110" s="132">
        <f t="shared" si="62"/>
        <v>0.80124223602484468</v>
      </c>
      <c r="P110" s="131">
        <f t="shared" si="63"/>
        <v>401.55271428571433</v>
      </c>
      <c r="Q110" s="131">
        <f t="shared" si="64"/>
        <v>501.16268992248069</v>
      </c>
      <c r="R110" s="130">
        <f>N110*$T106</f>
        <v>101652</v>
      </c>
      <c r="S110" s="129">
        <f>R110/E110</f>
        <v>0.78617185182109928</v>
      </c>
      <c r="T110" s="128"/>
      <c r="U110" s="127">
        <f>SUM(U106:U109)</f>
        <v>90</v>
      </c>
      <c r="V110" s="124">
        <f>SUM(V106:V109)</f>
        <v>69</v>
      </c>
      <c r="W110" s="126">
        <f>V110/U110</f>
        <v>0.76666666666666672</v>
      </c>
      <c r="X110" s="125">
        <f>E110/U110</f>
        <v>1436.6663777777781</v>
      </c>
      <c r="Y110" s="125">
        <f>E110/V110</f>
        <v>1873.9126666666668</v>
      </c>
      <c r="Z110" s="124">
        <f>V110*AB110</f>
        <v>27186</v>
      </c>
      <c r="AA110" s="123">
        <f>Z110/E110</f>
        <v>0.21025526269634051</v>
      </c>
      <c r="AB110" s="122">
        <v>394</v>
      </c>
    </row>
    <row r="111" spans="2:28" ht="16.5">
      <c r="B111" s="2313"/>
      <c r="C111" s="83" t="s">
        <v>36</v>
      </c>
      <c r="D111" s="83"/>
      <c r="E111" s="121">
        <f>SUM(E106:E109)</f>
        <v>129299.97400000002</v>
      </c>
      <c r="F111" s="120">
        <f>SUM(F106:F109)</f>
        <v>66073.400000000009</v>
      </c>
      <c r="G111" s="119">
        <f>SUM(G106:G109)</f>
        <v>63226.574000000001</v>
      </c>
      <c r="H111" s="76">
        <v>258664</v>
      </c>
      <c r="I111" s="79">
        <f t="shared" si="59"/>
        <v>0.49987618686790591</v>
      </c>
      <c r="J111" s="76">
        <v>5478</v>
      </c>
      <c r="K111" s="78">
        <f t="shared" si="60"/>
        <v>2.117805338199363E-2</v>
      </c>
      <c r="L111" s="78">
        <f t="shared" si="61"/>
        <v>5.6589996349032494E-2</v>
      </c>
      <c r="M111" s="76">
        <v>310</v>
      </c>
      <c r="N111" s="76">
        <v>237</v>
      </c>
      <c r="O111" s="78">
        <f t="shared" si="62"/>
        <v>0.76451612903225807</v>
      </c>
      <c r="P111" s="77">
        <f t="shared" si="63"/>
        <v>417.09669032258068</v>
      </c>
      <c r="Q111" s="77">
        <f t="shared" si="64"/>
        <v>545.56951054852323</v>
      </c>
      <c r="R111" s="196">
        <f>N111*$T106</f>
        <v>93378</v>
      </c>
      <c r="S111" s="118">
        <f>R111/E111</f>
        <v>0.72218111969612608</v>
      </c>
      <c r="T111" s="74"/>
      <c r="U111" s="117"/>
      <c r="V111" s="76"/>
      <c r="W111" s="78"/>
      <c r="X111" s="116"/>
      <c r="Y111" s="116"/>
      <c r="Z111" s="76"/>
      <c r="AA111" s="115"/>
      <c r="AB111" s="114"/>
    </row>
    <row r="112" spans="2:28" ht="14.5">
      <c r="B112" s="113"/>
      <c r="G112" s="208"/>
    </row>
    <row r="113" spans="2:28" ht="14.5">
      <c r="B113" s="113"/>
      <c r="G113" s="208"/>
    </row>
    <row r="114" spans="2:28" ht="14.5">
      <c r="B114" s="113"/>
    </row>
    <row r="115" spans="2:28" ht="14.5">
      <c r="B115" s="66" t="s">
        <v>61</v>
      </c>
    </row>
    <row r="116" spans="2:28" ht="16.5">
      <c r="B116" s="2280" t="s">
        <v>32</v>
      </c>
      <c r="C116" s="2281" t="s">
        <v>31</v>
      </c>
      <c r="D116" s="2310" t="s">
        <v>30</v>
      </c>
      <c r="E116" s="2283" t="s">
        <v>29</v>
      </c>
      <c r="F116" s="2286"/>
      <c r="G116" s="2287"/>
      <c r="H116" s="2268" t="s">
        <v>28</v>
      </c>
      <c r="I116" s="2284"/>
      <c r="J116" s="2284"/>
      <c r="K116" s="2284"/>
      <c r="L116" s="2284"/>
      <c r="M116" s="2284"/>
      <c r="N116" s="2284"/>
      <c r="O116" s="2284"/>
      <c r="P116" s="2284"/>
      <c r="Q116" s="2284"/>
      <c r="R116" s="2284"/>
      <c r="S116" s="2284"/>
      <c r="T116" s="2285"/>
      <c r="U116" s="2268" t="s">
        <v>27</v>
      </c>
      <c r="V116" s="2284"/>
      <c r="W116" s="2284"/>
      <c r="X116" s="2284"/>
      <c r="Y116" s="2284"/>
      <c r="Z116" s="2284"/>
      <c r="AA116" s="2284"/>
      <c r="AB116" s="2285"/>
    </row>
    <row r="117" spans="2:28" ht="66">
      <c r="B117" s="2308"/>
      <c r="C117" s="2309"/>
      <c r="D117" s="2311"/>
      <c r="E117" s="112" t="s">
        <v>26</v>
      </c>
      <c r="F117" s="111" t="s">
        <v>25</v>
      </c>
      <c r="G117" s="110" t="s">
        <v>24</v>
      </c>
      <c r="H117" s="107" t="s">
        <v>23</v>
      </c>
      <c r="I117" s="108" t="s">
        <v>22</v>
      </c>
      <c r="J117" s="111" t="s">
        <v>21</v>
      </c>
      <c r="K117" s="108" t="s">
        <v>20</v>
      </c>
      <c r="L117" s="108" t="s">
        <v>19</v>
      </c>
      <c r="M117" s="107" t="s">
        <v>18</v>
      </c>
      <c r="N117" s="108" t="s">
        <v>17</v>
      </c>
      <c r="O117" s="108" t="s">
        <v>16</v>
      </c>
      <c r="P117" s="108" t="s">
        <v>15</v>
      </c>
      <c r="Q117" s="108" t="s">
        <v>14</v>
      </c>
      <c r="R117" s="108" t="s">
        <v>13</v>
      </c>
      <c r="S117" s="108" t="s">
        <v>12</v>
      </c>
      <c r="T117" s="110" t="s">
        <v>11</v>
      </c>
      <c r="U117" s="109" t="s">
        <v>10</v>
      </c>
      <c r="V117" s="108" t="s">
        <v>9</v>
      </c>
      <c r="W117" s="107" t="s">
        <v>8</v>
      </c>
      <c r="X117" s="107" t="s">
        <v>7</v>
      </c>
      <c r="Y117" s="107" t="s">
        <v>6</v>
      </c>
      <c r="Z117" s="107" t="s">
        <v>5</v>
      </c>
      <c r="AA117" s="107" t="s">
        <v>4</v>
      </c>
      <c r="AB117" s="106" t="s">
        <v>3</v>
      </c>
    </row>
    <row r="118" spans="2:28" ht="16.5">
      <c r="B118" s="2316" t="s">
        <v>55</v>
      </c>
      <c r="C118" s="97" t="s">
        <v>865</v>
      </c>
      <c r="D118" s="2314" t="s">
        <v>60</v>
      </c>
      <c r="E118" s="35">
        <f>F118+G118</f>
        <v>4977300.0133333337</v>
      </c>
      <c r="F118" s="195">
        <v>2868117.0133333337</v>
      </c>
      <c r="G118" s="194">
        <v>2109183</v>
      </c>
      <c r="H118" s="200">
        <v>6845819</v>
      </c>
      <c r="I118" s="103">
        <f t="shared" ref="I118:I123" si="65">E118/H118</f>
        <v>0.72705691069736633</v>
      </c>
      <c r="J118" s="186">
        <v>677573</v>
      </c>
      <c r="K118" s="45">
        <f t="shared" ref="K118:K123" si="66">J118/H118</f>
        <v>9.8976178014639302E-2</v>
      </c>
      <c r="L118" s="45">
        <f t="shared" ref="L118:L123" si="67">M118/J118</f>
        <v>5.8305156787534333E-2</v>
      </c>
      <c r="M118" s="188">
        <v>39506</v>
      </c>
      <c r="N118" s="186">
        <v>31105</v>
      </c>
      <c r="O118" s="101">
        <f t="shared" ref="O118:O123" si="68">N118/M118</f>
        <v>0.78734875715081254</v>
      </c>
      <c r="P118" s="198">
        <f t="shared" ref="P118:P123" si="69">E118/M118</f>
        <v>125.98845778700283</v>
      </c>
      <c r="Q118" s="100">
        <f t="shared" ref="Q118:Q123" si="70">E118/N118</f>
        <v>160.01607501473504</v>
      </c>
      <c r="R118" s="198">
        <f>N118*$T118</f>
        <v>12255370</v>
      </c>
      <c r="S118" s="197">
        <f t="shared" ref="S118:S123" si="71">R118/E118</f>
        <v>2.4622526203302924</v>
      </c>
      <c r="T118" s="2279">
        <v>394</v>
      </c>
      <c r="U118" s="187">
        <v>6681</v>
      </c>
      <c r="V118" s="186">
        <v>5075</v>
      </c>
      <c r="W118" s="45">
        <f>V118/U118</f>
        <v>0.75961682382876816</v>
      </c>
      <c r="X118" s="44">
        <f>E118/U118</f>
        <v>744.99326647707437</v>
      </c>
      <c r="Y118" s="99">
        <f>E118/V118</f>
        <v>980.74877110016428</v>
      </c>
      <c r="Z118" s="42">
        <f>V118*AB118</f>
        <v>3486525</v>
      </c>
      <c r="AA118" s="41">
        <f>Z118/E118</f>
        <v>0.70048520094432665</v>
      </c>
      <c r="AB118" s="40">
        <v>687</v>
      </c>
    </row>
    <row r="119" spans="2:28" ht="16.5">
      <c r="B119" s="2317"/>
      <c r="C119" s="97" t="s">
        <v>867</v>
      </c>
      <c r="D119" s="2318"/>
      <c r="E119" s="35">
        <f>F119+G119</f>
        <v>2842778.7533333334</v>
      </c>
      <c r="F119" s="203">
        <v>1051644.6733333333</v>
      </c>
      <c r="G119" s="202">
        <v>1791134.08</v>
      </c>
      <c r="H119" s="200">
        <v>3741472</v>
      </c>
      <c r="I119" s="103">
        <f t="shared" si="65"/>
        <v>0.75980222579063361</v>
      </c>
      <c r="J119" s="186">
        <v>315118</v>
      </c>
      <c r="K119" s="45">
        <f t="shared" si="66"/>
        <v>8.4223001000675674E-2</v>
      </c>
      <c r="L119" s="45">
        <f t="shared" si="67"/>
        <v>4.3881974371505275E-2</v>
      </c>
      <c r="M119" s="188">
        <v>13828</v>
      </c>
      <c r="N119" s="186">
        <v>10997</v>
      </c>
      <c r="O119" s="101">
        <f t="shared" si="68"/>
        <v>0.795270465721724</v>
      </c>
      <c r="P119" s="198">
        <f t="shared" si="69"/>
        <v>205.5813388294282</v>
      </c>
      <c r="Q119" s="100">
        <f t="shared" si="70"/>
        <v>258.50493346670305</v>
      </c>
      <c r="R119" s="198">
        <f>N119*$T118</f>
        <v>4332818</v>
      </c>
      <c r="S119" s="197">
        <f t="shared" si="71"/>
        <v>1.524148861363025</v>
      </c>
      <c r="T119" s="2272"/>
      <c r="U119" s="187">
        <v>577</v>
      </c>
      <c r="V119" s="186">
        <v>509</v>
      </c>
      <c r="W119" s="45">
        <f>V119/U119</f>
        <v>0.88214904679376083</v>
      </c>
      <c r="X119" s="44">
        <f>E119/U119</f>
        <v>4926.8262622761413</v>
      </c>
      <c r="Y119" s="99">
        <f>E119/V119</f>
        <v>5585.0270203012442</v>
      </c>
      <c r="Z119" s="42">
        <f>V119*AB119</f>
        <v>197492</v>
      </c>
      <c r="AA119" s="41">
        <f>Z119/E119</f>
        <v>6.9471463359020977E-2</v>
      </c>
      <c r="AB119" s="40">
        <v>388</v>
      </c>
    </row>
    <row r="120" spans="2:28" ht="16.5">
      <c r="B120" s="207" t="s">
        <v>59</v>
      </c>
      <c r="C120" s="97" t="s">
        <v>868</v>
      </c>
      <c r="D120" s="206" t="s">
        <v>58</v>
      </c>
      <c r="E120" s="35">
        <f>F120+G120</f>
        <v>2686237.46</v>
      </c>
      <c r="F120" s="203">
        <v>877518.46</v>
      </c>
      <c r="G120" s="202">
        <v>1808719</v>
      </c>
      <c r="H120" s="200">
        <v>1532736</v>
      </c>
      <c r="I120" s="103">
        <f t="shared" si="65"/>
        <v>1.7525767385903377</v>
      </c>
      <c r="J120" s="186">
        <v>83826</v>
      </c>
      <c r="K120" s="45">
        <f t="shared" si="66"/>
        <v>5.4690435926343477E-2</v>
      </c>
      <c r="L120" s="45">
        <f t="shared" si="67"/>
        <v>3.7219955622360607E-2</v>
      </c>
      <c r="M120" s="188">
        <v>3120</v>
      </c>
      <c r="N120" s="186">
        <v>2607</v>
      </c>
      <c r="O120" s="101">
        <f t="shared" si="68"/>
        <v>0.83557692307692311</v>
      </c>
      <c r="P120" s="198">
        <f t="shared" si="69"/>
        <v>860.97354487179484</v>
      </c>
      <c r="Q120" s="100">
        <f t="shared" si="70"/>
        <v>1030.3941158419639</v>
      </c>
      <c r="R120" s="198">
        <f>N120*$T118</f>
        <v>1027158</v>
      </c>
      <c r="S120" s="197">
        <f t="shared" si="71"/>
        <v>0.3823779599886899</v>
      </c>
      <c r="T120" s="2272"/>
      <c r="U120" s="187">
        <v>1016</v>
      </c>
      <c r="V120" s="186">
        <v>922</v>
      </c>
      <c r="W120" s="45">
        <f>V120/U120</f>
        <v>0.90748031496062997</v>
      </c>
      <c r="X120" s="44">
        <f>E120/U120</f>
        <v>2643.9345078740157</v>
      </c>
      <c r="Y120" s="99">
        <f>E120/V120</f>
        <v>2913.4896529284165</v>
      </c>
      <c r="Z120" s="42">
        <f>V120*AB120</f>
        <v>412134</v>
      </c>
      <c r="AA120" s="41">
        <f>Z120/E120</f>
        <v>0.15342426205313955</v>
      </c>
      <c r="AB120" s="40">
        <v>447</v>
      </c>
    </row>
    <row r="121" spans="2:28" ht="16.5">
      <c r="B121" s="205" t="s">
        <v>57</v>
      </c>
      <c r="C121" s="97" t="s">
        <v>870</v>
      </c>
      <c r="D121" s="204" t="s">
        <v>56</v>
      </c>
      <c r="E121" s="35">
        <f>F121+G121</f>
        <v>81325.553333333344</v>
      </c>
      <c r="F121" s="203">
        <v>34320.553333333337</v>
      </c>
      <c r="G121" s="202">
        <v>47005</v>
      </c>
      <c r="H121" s="200">
        <v>67533</v>
      </c>
      <c r="I121" s="103">
        <f t="shared" si="65"/>
        <v>1.2042342755887248</v>
      </c>
      <c r="J121" s="186">
        <v>4320</v>
      </c>
      <c r="K121" s="45">
        <f t="shared" si="66"/>
        <v>6.3968726400426459E-2</v>
      </c>
      <c r="L121" s="45">
        <f t="shared" si="67"/>
        <v>3.6805555555555557E-2</v>
      </c>
      <c r="M121" s="188">
        <v>159</v>
      </c>
      <c r="N121" s="186">
        <v>122</v>
      </c>
      <c r="O121" s="101">
        <f t="shared" si="68"/>
        <v>0.76729559748427678</v>
      </c>
      <c r="P121" s="198">
        <f t="shared" si="69"/>
        <v>511.48146750524114</v>
      </c>
      <c r="Q121" s="100">
        <f t="shared" si="70"/>
        <v>666.60289617486353</v>
      </c>
      <c r="R121" s="198">
        <f>N121*$T118</f>
        <v>48068</v>
      </c>
      <c r="S121" s="197">
        <f t="shared" si="71"/>
        <v>0.5910565379491628</v>
      </c>
      <c r="T121" s="2272"/>
      <c r="U121" s="187">
        <v>25</v>
      </c>
      <c r="V121" s="186">
        <v>20</v>
      </c>
      <c r="W121" s="45">
        <f>V121/U121</f>
        <v>0.8</v>
      </c>
      <c r="X121" s="44">
        <f>E121/U121</f>
        <v>3253.0221333333338</v>
      </c>
      <c r="Y121" s="99">
        <f>E121/V121</f>
        <v>4066.2776666666673</v>
      </c>
      <c r="Z121" s="42">
        <f>V121*AB121</f>
        <v>11300</v>
      </c>
      <c r="AA121" s="41">
        <f>Z121/E121</f>
        <v>0.13894771737591619</v>
      </c>
      <c r="AB121" s="201">
        <v>565</v>
      </c>
    </row>
    <row r="122" spans="2:28" ht="16.5">
      <c r="B122" s="2316" t="s">
        <v>55</v>
      </c>
      <c r="C122" s="137" t="s">
        <v>37</v>
      </c>
      <c r="D122" s="137"/>
      <c r="E122" s="136">
        <f>SUM(E118:E121)</f>
        <v>10587641.779999999</v>
      </c>
      <c r="F122" s="135">
        <f>SUM(F118:F121)</f>
        <v>4831600.7</v>
      </c>
      <c r="G122" s="134">
        <f>SUM(G118:G121)</f>
        <v>5756041.0800000001</v>
      </c>
      <c r="H122" s="130">
        <f>SUM(H118:H121)</f>
        <v>12187560</v>
      </c>
      <c r="I122" s="133">
        <f t="shared" si="65"/>
        <v>0.86872530514721558</v>
      </c>
      <c r="J122" s="130">
        <f>SUM(J118:J121)</f>
        <v>1080837</v>
      </c>
      <c r="K122" s="132">
        <f t="shared" si="66"/>
        <v>8.8683624942154135E-2</v>
      </c>
      <c r="L122" s="132">
        <f t="shared" si="67"/>
        <v>5.2378850835047286E-2</v>
      </c>
      <c r="M122" s="130">
        <f>SUM(M118:M121)</f>
        <v>56613</v>
      </c>
      <c r="N122" s="130">
        <f>SUM(N118:N121)</f>
        <v>44831</v>
      </c>
      <c r="O122" s="132">
        <f t="shared" si="68"/>
        <v>0.79188525603659932</v>
      </c>
      <c r="P122" s="131">
        <f t="shared" si="69"/>
        <v>187.01785420309821</v>
      </c>
      <c r="Q122" s="131">
        <f t="shared" si="70"/>
        <v>236.16787000066915</v>
      </c>
      <c r="R122" s="130">
        <f>N122*$T118</f>
        <v>17663414</v>
      </c>
      <c r="S122" s="129">
        <f t="shared" si="71"/>
        <v>1.6683048375669545</v>
      </c>
      <c r="T122" s="128"/>
      <c r="U122" s="127">
        <f>SUM(U118:U121)</f>
        <v>8299</v>
      </c>
      <c r="V122" s="124">
        <f>SUM(V118:V121)</f>
        <v>6526</v>
      </c>
      <c r="W122" s="126">
        <f>V122/U122</f>
        <v>0.78635980238582959</v>
      </c>
      <c r="X122" s="125">
        <f>E122/U122</f>
        <v>1275.773199180624</v>
      </c>
      <c r="Y122" s="125">
        <f>E122/V122</f>
        <v>1622.3784523444681</v>
      </c>
      <c r="Z122" s="124">
        <f>V122*AB122</f>
        <v>2571244</v>
      </c>
      <c r="AA122" s="123">
        <f>Z122/E122</f>
        <v>0.24285332403832047</v>
      </c>
      <c r="AB122" s="122">
        <v>394</v>
      </c>
    </row>
    <row r="123" spans="2:28" ht="16.5">
      <c r="B123" s="2313"/>
      <c r="C123" s="83" t="s">
        <v>36</v>
      </c>
      <c r="D123" s="83"/>
      <c r="E123" s="121">
        <f>SUM(E118:E121)</f>
        <v>10587641.779999999</v>
      </c>
      <c r="F123" s="120">
        <f>SUM(F118:F121)</f>
        <v>4831600.7</v>
      </c>
      <c r="G123" s="119">
        <f>SUM(G118:G121)</f>
        <v>5756041.0800000001</v>
      </c>
      <c r="H123" s="76">
        <v>10768648</v>
      </c>
      <c r="I123" s="79">
        <f t="shared" si="65"/>
        <v>0.98319136998442136</v>
      </c>
      <c r="J123" s="76">
        <v>965128</v>
      </c>
      <c r="K123" s="78">
        <f t="shared" si="66"/>
        <v>8.9623878503596738E-2</v>
      </c>
      <c r="L123" s="78">
        <f t="shared" si="67"/>
        <v>4.9743660944455037E-2</v>
      </c>
      <c r="M123" s="76">
        <v>48009</v>
      </c>
      <c r="N123" s="76">
        <v>38160</v>
      </c>
      <c r="O123" s="78">
        <f t="shared" si="68"/>
        <v>0.79485096544397926</v>
      </c>
      <c r="P123" s="77">
        <f t="shared" si="69"/>
        <v>220.53452019413027</v>
      </c>
      <c r="Q123" s="77">
        <f t="shared" si="70"/>
        <v>277.45392505241091</v>
      </c>
      <c r="R123" s="196">
        <f>N123*$T118</f>
        <v>15035040</v>
      </c>
      <c r="S123" s="118">
        <f t="shared" si="71"/>
        <v>1.4200555999543838</v>
      </c>
      <c r="T123" s="74"/>
      <c r="U123" s="117"/>
      <c r="V123" s="76"/>
      <c r="W123" s="78"/>
      <c r="X123" s="116"/>
      <c r="Y123" s="116"/>
      <c r="Z123" s="76"/>
      <c r="AA123" s="115"/>
      <c r="AB123" s="114"/>
    </row>
    <row r="124" spans="2:28" ht="14.5">
      <c r="B124" s="113"/>
    </row>
    <row r="125" spans="2:28" ht="14.5">
      <c r="B125" s="113"/>
    </row>
    <row r="126" spans="2:28" ht="14.5">
      <c r="B126" s="113"/>
    </row>
    <row r="127" spans="2:28" ht="14.5">
      <c r="B127" s="66" t="s">
        <v>54</v>
      </c>
    </row>
    <row r="128" spans="2:28" ht="15" customHeight="1">
      <c r="B128" s="2280" t="s">
        <v>32</v>
      </c>
      <c r="C128" s="2281" t="s">
        <v>31</v>
      </c>
      <c r="D128" s="2310" t="s">
        <v>30</v>
      </c>
      <c r="E128" s="2283" t="s">
        <v>29</v>
      </c>
      <c r="F128" s="2286"/>
      <c r="G128" s="2287"/>
      <c r="H128" s="2268" t="s">
        <v>28</v>
      </c>
      <c r="I128" s="2284"/>
      <c r="J128" s="2284"/>
      <c r="K128" s="2284"/>
      <c r="L128" s="2284"/>
      <c r="M128" s="2284"/>
      <c r="N128" s="2284"/>
      <c r="O128" s="2284"/>
      <c r="P128" s="2284"/>
      <c r="Q128" s="2284"/>
      <c r="R128" s="2284"/>
      <c r="S128" s="2284"/>
      <c r="T128" s="2285"/>
      <c r="U128" s="2268" t="s">
        <v>27</v>
      </c>
      <c r="V128" s="2284"/>
      <c r="W128" s="2284"/>
      <c r="X128" s="2284"/>
      <c r="Y128" s="2284"/>
      <c r="Z128" s="2284"/>
      <c r="AA128" s="2284"/>
      <c r="AB128" s="2285"/>
    </row>
    <row r="129" spans="2:28" ht="66">
      <c r="B129" s="2308"/>
      <c r="C129" s="2309"/>
      <c r="D129" s="2311"/>
      <c r="E129" s="112" t="s">
        <v>26</v>
      </c>
      <c r="F129" s="111" t="s">
        <v>25</v>
      </c>
      <c r="G129" s="110" t="s">
        <v>24</v>
      </c>
      <c r="H129" s="107" t="s">
        <v>23</v>
      </c>
      <c r="I129" s="108" t="s">
        <v>22</v>
      </c>
      <c r="J129" s="111" t="s">
        <v>21</v>
      </c>
      <c r="K129" s="108" t="s">
        <v>20</v>
      </c>
      <c r="L129" s="108" t="s">
        <v>19</v>
      </c>
      <c r="M129" s="107" t="s">
        <v>18</v>
      </c>
      <c r="N129" s="108" t="s">
        <v>17</v>
      </c>
      <c r="O129" s="108" t="s">
        <v>16</v>
      </c>
      <c r="P129" s="108" t="s">
        <v>15</v>
      </c>
      <c r="Q129" s="108" t="s">
        <v>14</v>
      </c>
      <c r="R129" s="108" t="s">
        <v>13</v>
      </c>
      <c r="S129" s="108" t="s">
        <v>12</v>
      </c>
      <c r="T129" s="110" t="s">
        <v>11</v>
      </c>
      <c r="U129" s="109" t="s">
        <v>10</v>
      </c>
      <c r="V129" s="108" t="s">
        <v>9</v>
      </c>
      <c r="W129" s="107" t="s">
        <v>8</v>
      </c>
      <c r="X129" s="107" t="s">
        <v>7</v>
      </c>
      <c r="Y129" s="107" t="s">
        <v>6</v>
      </c>
      <c r="Z129" s="107" t="s">
        <v>5</v>
      </c>
      <c r="AA129" s="107" t="s">
        <v>4</v>
      </c>
      <c r="AB129" s="106" t="s">
        <v>3</v>
      </c>
    </row>
    <row r="130" spans="2:28" ht="16.5">
      <c r="B130" s="2312" t="s">
        <v>53</v>
      </c>
      <c r="C130" s="97" t="s">
        <v>865</v>
      </c>
      <c r="D130" s="2314" t="s">
        <v>47</v>
      </c>
      <c r="E130" s="35">
        <f>F130+G130</f>
        <v>2943696.08</v>
      </c>
      <c r="F130" s="195">
        <v>1523784.35</v>
      </c>
      <c r="G130" s="194">
        <v>1419911.73</v>
      </c>
      <c r="H130" s="200">
        <v>4624340</v>
      </c>
      <c r="I130" s="103">
        <f>E130/H130</f>
        <v>0.63656566774934376</v>
      </c>
      <c r="J130" s="186">
        <v>357754</v>
      </c>
      <c r="K130" s="45">
        <f>J130/H130</f>
        <v>7.7363256161960409E-2</v>
      </c>
      <c r="L130" s="45">
        <f>M130/J130</f>
        <v>7.1437356395735618E-2</v>
      </c>
      <c r="M130" s="188">
        <v>25557</v>
      </c>
      <c r="N130" s="186">
        <v>19700</v>
      </c>
      <c r="O130" s="101">
        <f>N130/M130</f>
        <v>0.77082599679148567</v>
      </c>
      <c r="P130" s="198">
        <f>E130/M130</f>
        <v>115.18159721407051</v>
      </c>
      <c r="Q130" s="100">
        <f>E130/N130</f>
        <v>149.42619695431472</v>
      </c>
      <c r="R130" s="198">
        <f>N130*$T130</f>
        <v>7545100</v>
      </c>
      <c r="S130" s="197">
        <f>R130/E130</f>
        <v>2.5631382435376957</v>
      </c>
      <c r="T130" s="2279">
        <v>383</v>
      </c>
      <c r="U130" s="187">
        <v>3838</v>
      </c>
      <c r="V130" s="186">
        <v>2780</v>
      </c>
      <c r="W130" s="45">
        <f>V130/U130</f>
        <v>0.72433559145388227</v>
      </c>
      <c r="X130" s="44">
        <f>E130/U130</f>
        <v>766.98699322563834</v>
      </c>
      <c r="Y130" s="99">
        <f>E130/V130</f>
        <v>1058.8834820143886</v>
      </c>
      <c r="Z130" s="42">
        <f>V130*AB130</f>
        <v>1826460</v>
      </c>
      <c r="AA130" s="41">
        <f>Z130/E130</f>
        <v>0.62046486809874746</v>
      </c>
      <c r="AB130" s="40">
        <v>657</v>
      </c>
    </row>
    <row r="131" spans="2:28" ht="16.5">
      <c r="B131" s="2312"/>
      <c r="C131" s="97" t="s">
        <v>867</v>
      </c>
      <c r="D131" s="2315"/>
      <c r="E131" s="35">
        <f>F131+G131</f>
        <v>486082.73</v>
      </c>
      <c r="F131" s="193">
        <v>200449.3</v>
      </c>
      <c r="G131" s="192">
        <v>285633.43</v>
      </c>
      <c r="H131" s="200">
        <v>494391</v>
      </c>
      <c r="I131" s="91">
        <f>E131/H131</f>
        <v>0.98319494084641501</v>
      </c>
      <c r="J131" s="85">
        <v>29199</v>
      </c>
      <c r="K131" s="22">
        <f>J131/H131</f>
        <v>5.9060541150627741E-2</v>
      </c>
      <c r="L131" s="22">
        <f>M131/J131</f>
        <v>4.5583752868248915E-2</v>
      </c>
      <c r="M131" s="199">
        <v>1331</v>
      </c>
      <c r="N131" s="89">
        <v>975</v>
      </c>
      <c r="O131" s="88">
        <f>N131/M131</f>
        <v>0.73253193087903834</v>
      </c>
      <c r="P131" s="198">
        <f>E131/M131</f>
        <v>365.20114951164538</v>
      </c>
      <c r="Q131" s="85">
        <f>E131/N131</f>
        <v>498.54638974358971</v>
      </c>
      <c r="R131" s="198">
        <f>N131*$T130</f>
        <v>373425</v>
      </c>
      <c r="S131" s="197">
        <f>R131/E131</f>
        <v>0.76823342396879646</v>
      </c>
      <c r="T131" s="2272"/>
      <c r="U131" s="24">
        <v>124</v>
      </c>
      <c r="V131" s="85">
        <v>108</v>
      </c>
      <c r="W131" s="22">
        <f>V131/U131</f>
        <v>0.87096774193548387</v>
      </c>
      <c r="X131" s="21">
        <f>E131/U131</f>
        <v>3920.0220161290322</v>
      </c>
      <c r="Y131" s="84">
        <f>E131/V131</f>
        <v>4500.7660185185186</v>
      </c>
      <c r="Z131" s="19">
        <f>V131*AB131</f>
        <v>43956</v>
      </c>
      <c r="AA131" s="185">
        <f>Z131/E131</f>
        <v>9.0429051038287245E-2</v>
      </c>
      <c r="AB131" s="17">
        <v>407</v>
      </c>
    </row>
    <row r="132" spans="2:28" ht="16.5">
      <c r="B132" s="2312"/>
      <c r="C132" s="137" t="s">
        <v>37</v>
      </c>
      <c r="D132" s="137"/>
      <c r="E132" s="136">
        <f>SUM(E130:E131)</f>
        <v>3429778.81</v>
      </c>
      <c r="F132" s="135">
        <f>SUM(F130:F131)</f>
        <v>1724233.6500000001</v>
      </c>
      <c r="G132" s="134">
        <f>SUM(G130:G131)</f>
        <v>1705545.16</v>
      </c>
      <c r="H132" s="130">
        <f>SUM(H130:H131)</f>
        <v>5118731</v>
      </c>
      <c r="I132" s="133">
        <f>E132/H132</f>
        <v>0.67004474546523352</v>
      </c>
      <c r="J132" s="130">
        <f>SUM(J130:J131)</f>
        <v>386953</v>
      </c>
      <c r="K132" s="132">
        <f>J132/H132</f>
        <v>7.5595494273873742E-2</v>
      </c>
      <c r="L132" s="132">
        <f>M132/J132</f>
        <v>6.9486475101627324E-2</v>
      </c>
      <c r="M132" s="130">
        <f>SUM(M130:M131)</f>
        <v>26888</v>
      </c>
      <c r="N132" s="130">
        <f>SUM(N130:N131)</f>
        <v>20675</v>
      </c>
      <c r="O132" s="132">
        <f>N132/M132</f>
        <v>0.76893037786373108</v>
      </c>
      <c r="P132" s="131">
        <f>E132/M132</f>
        <v>127.5579741892294</v>
      </c>
      <c r="Q132" s="131">
        <f>E132/N132</f>
        <v>165.89014800483676</v>
      </c>
      <c r="R132" s="130">
        <f>N132*$T130</f>
        <v>7918525</v>
      </c>
      <c r="S132" s="129">
        <f>R132/E132</f>
        <v>2.3087567562410825</v>
      </c>
      <c r="T132" s="128"/>
      <c r="U132" s="127">
        <f>SUM(U130:U131)</f>
        <v>3962</v>
      </c>
      <c r="V132" s="124">
        <f>SUM(V130:V131)</f>
        <v>2888</v>
      </c>
      <c r="W132" s="126">
        <f>V132/U132</f>
        <v>0.72892478546188788</v>
      </c>
      <c r="X132" s="125">
        <f>E132/U132</f>
        <v>865.66855376072692</v>
      </c>
      <c r="Y132" s="125">
        <f>E132/V132</f>
        <v>1187.5965408587258</v>
      </c>
      <c r="Z132" s="124">
        <f>V132*AB132</f>
        <v>1106104</v>
      </c>
      <c r="AA132" s="123">
        <f>Z132/E132</f>
        <v>0.32250009731677126</v>
      </c>
      <c r="AB132" s="122">
        <f>T130</f>
        <v>383</v>
      </c>
    </row>
    <row r="133" spans="2:28" ht="16.5">
      <c r="B133" s="2313"/>
      <c r="C133" s="83" t="s">
        <v>36</v>
      </c>
      <c r="D133" s="83"/>
      <c r="E133" s="121">
        <f>SUM(E130:E131)</f>
        <v>3429778.81</v>
      </c>
      <c r="F133" s="120">
        <f>SUM(F130:F131)</f>
        <v>1724233.6500000001</v>
      </c>
      <c r="G133" s="119">
        <f>SUM(G130:G131)</f>
        <v>1705545.16</v>
      </c>
      <c r="H133" s="76">
        <v>4864830</v>
      </c>
      <c r="I133" s="79">
        <f>E133/H133</f>
        <v>0.70501514133073506</v>
      </c>
      <c r="J133" s="76">
        <v>356225</v>
      </c>
      <c r="K133" s="78">
        <f>J133/H133</f>
        <v>7.3224552553737748E-2</v>
      </c>
      <c r="L133" s="78">
        <f>M133/J133</f>
        <v>6.7401221138325501E-2</v>
      </c>
      <c r="M133" s="76">
        <v>24010</v>
      </c>
      <c r="N133" s="76">
        <v>18465</v>
      </c>
      <c r="O133" s="78">
        <f>N133/M133</f>
        <v>0.76905456059975008</v>
      </c>
      <c r="P133" s="77">
        <f>E133/M133</f>
        <v>142.84793044564765</v>
      </c>
      <c r="Q133" s="77">
        <f>E133/N133</f>
        <v>185.74485838072027</v>
      </c>
      <c r="R133" s="196">
        <f>N133*$T130</f>
        <v>7072095</v>
      </c>
      <c r="S133" s="118">
        <f>R133/E133</f>
        <v>2.0619682468677913</v>
      </c>
      <c r="T133" s="74"/>
      <c r="U133" s="117"/>
      <c r="V133" s="76"/>
      <c r="W133" s="78"/>
      <c r="X133" s="116"/>
      <c r="Y133" s="116"/>
      <c r="Z133" s="76"/>
      <c r="AA133" s="115"/>
      <c r="AB133" s="114"/>
    </row>
    <row r="134" spans="2:28" ht="14.5">
      <c r="B134" s="113"/>
    </row>
    <row r="135" spans="2:28" ht="14.5">
      <c r="B135" s="113"/>
    </row>
    <row r="136" spans="2:28" ht="14.5">
      <c r="B136" s="113"/>
    </row>
    <row r="137" spans="2:28" ht="14.5">
      <c r="B137" s="66" t="s">
        <v>52</v>
      </c>
    </row>
    <row r="138" spans="2:28" ht="16.5">
      <c r="B138" s="2280" t="s">
        <v>32</v>
      </c>
      <c r="C138" s="2281" t="s">
        <v>31</v>
      </c>
      <c r="D138" s="2310" t="s">
        <v>30</v>
      </c>
      <c r="E138" s="2283" t="s">
        <v>29</v>
      </c>
      <c r="F138" s="2286"/>
      <c r="G138" s="2287"/>
      <c r="H138" s="2268" t="s">
        <v>28</v>
      </c>
      <c r="I138" s="2284"/>
      <c r="J138" s="2284"/>
      <c r="K138" s="2284"/>
      <c r="L138" s="2284"/>
      <c r="M138" s="2284"/>
      <c r="N138" s="2284"/>
      <c r="O138" s="2284"/>
      <c r="P138" s="2284"/>
      <c r="Q138" s="2284"/>
      <c r="R138" s="2284"/>
      <c r="S138" s="2284"/>
      <c r="T138" s="2285"/>
      <c r="U138" s="2268" t="s">
        <v>27</v>
      </c>
      <c r="V138" s="2284"/>
      <c r="W138" s="2284"/>
      <c r="X138" s="2284"/>
      <c r="Y138" s="2284"/>
      <c r="Z138" s="2284"/>
      <c r="AA138" s="2284"/>
      <c r="AB138" s="2285"/>
    </row>
    <row r="139" spans="2:28" ht="66">
      <c r="B139" s="2308"/>
      <c r="C139" s="2309"/>
      <c r="D139" s="2311"/>
      <c r="E139" s="112" t="s">
        <v>26</v>
      </c>
      <c r="F139" s="111" t="s">
        <v>25</v>
      </c>
      <c r="G139" s="110" t="s">
        <v>24</v>
      </c>
      <c r="H139" s="107" t="s">
        <v>23</v>
      </c>
      <c r="I139" s="108" t="s">
        <v>22</v>
      </c>
      <c r="J139" s="111" t="s">
        <v>21</v>
      </c>
      <c r="K139" s="108" t="s">
        <v>20</v>
      </c>
      <c r="L139" s="108" t="s">
        <v>19</v>
      </c>
      <c r="M139" s="107" t="s">
        <v>18</v>
      </c>
      <c r="N139" s="108" t="s">
        <v>17</v>
      </c>
      <c r="O139" s="108" t="s">
        <v>16</v>
      </c>
      <c r="P139" s="108" t="s">
        <v>15</v>
      </c>
      <c r="Q139" s="108" t="s">
        <v>14</v>
      </c>
      <c r="R139" s="108" t="s">
        <v>13</v>
      </c>
      <c r="S139" s="108" t="s">
        <v>12</v>
      </c>
      <c r="T139" s="110" t="s">
        <v>11</v>
      </c>
      <c r="U139" s="109" t="s">
        <v>10</v>
      </c>
      <c r="V139" s="108" t="s">
        <v>9</v>
      </c>
      <c r="W139" s="107" t="s">
        <v>8</v>
      </c>
      <c r="X139" s="107" t="s">
        <v>7</v>
      </c>
      <c r="Y139" s="107" t="s">
        <v>6</v>
      </c>
      <c r="Z139" s="107" t="s">
        <v>5</v>
      </c>
      <c r="AA139" s="107" t="s">
        <v>4</v>
      </c>
      <c r="AB139" s="106" t="s">
        <v>3</v>
      </c>
    </row>
    <row r="140" spans="2:28" ht="16.5">
      <c r="B140" s="2270" t="s">
        <v>51</v>
      </c>
      <c r="C140" s="97" t="s">
        <v>865</v>
      </c>
      <c r="D140" s="184" t="s">
        <v>47</v>
      </c>
      <c r="E140" s="35">
        <f>F140+G140</f>
        <v>2221839.0019999999</v>
      </c>
      <c r="F140" s="195">
        <f>1623288.9*2/3</f>
        <v>1082192.5999999999</v>
      </c>
      <c r="G140" s="194">
        <v>1139646.402</v>
      </c>
      <c r="H140" s="181">
        <v>3937306</v>
      </c>
      <c r="I140" s="103">
        <f>E140/H140</f>
        <v>0.56430437512349807</v>
      </c>
      <c r="J140" s="186">
        <v>240823</v>
      </c>
      <c r="K140" s="45">
        <f>J140/H140</f>
        <v>6.1164410386187917E-2</v>
      </c>
      <c r="L140" s="45">
        <f>M140/J140</f>
        <v>5.9259290017980012E-2</v>
      </c>
      <c r="M140" s="188">
        <v>14271</v>
      </c>
      <c r="N140" s="186">
        <v>10899</v>
      </c>
      <c r="O140" s="101">
        <f>N140/M140</f>
        <v>0.76371662812697083</v>
      </c>
      <c r="P140" s="87">
        <f>E140/M140</f>
        <v>155.68908990259968</v>
      </c>
      <c r="Q140" s="100">
        <f>E140/N140</f>
        <v>203.85714304064592</v>
      </c>
      <c r="R140" s="87">
        <f>N140*$T140</f>
        <v>4174317</v>
      </c>
      <c r="S140" s="86">
        <f>R140/E140</f>
        <v>1.8787666416164568</v>
      </c>
      <c r="T140" s="2279">
        <v>383</v>
      </c>
      <c r="U140" s="187">
        <v>2275</v>
      </c>
      <c r="V140" s="186">
        <v>1639</v>
      </c>
      <c r="W140" s="45">
        <f>V140/U140</f>
        <v>0.72043956043956048</v>
      </c>
      <c r="X140" s="44">
        <f>E140/U140</f>
        <v>976.63252835164826</v>
      </c>
      <c r="Y140" s="99">
        <f>E140/V140</f>
        <v>1355.6064685784013</v>
      </c>
      <c r="Z140" s="42">
        <f>V140*AB140</f>
        <v>1076823</v>
      </c>
      <c r="AA140" s="41">
        <f>Z140/E140</f>
        <v>0.48465392813371816</v>
      </c>
      <c r="AB140" s="40">
        <v>657</v>
      </c>
    </row>
    <row r="141" spans="2:28" ht="16.5">
      <c r="B141" s="2294"/>
      <c r="C141" s="97" t="s">
        <v>867</v>
      </c>
      <c r="D141" s="184" t="s">
        <v>47</v>
      </c>
      <c r="E141" s="35">
        <f>F141+G141</f>
        <v>479265.43666666665</v>
      </c>
      <c r="F141" s="193">
        <f>300673.93*2/3</f>
        <v>200449.28666666665</v>
      </c>
      <c r="G141" s="192">
        <v>278816.15000000002</v>
      </c>
      <c r="H141" s="181">
        <v>475133</v>
      </c>
      <c r="I141" s="91">
        <f>E141/H141</f>
        <v>1.0086974313858785</v>
      </c>
      <c r="J141" s="85">
        <v>21883</v>
      </c>
      <c r="K141" s="22">
        <f>J141/H141</f>
        <v>4.6056577842414653E-2</v>
      </c>
      <c r="L141" s="22">
        <f>M141/J141</f>
        <v>4.1036420966046705E-2</v>
      </c>
      <c r="M141" s="180">
        <v>898</v>
      </c>
      <c r="N141" s="89">
        <v>665</v>
      </c>
      <c r="O141" s="88">
        <f>N141/M141</f>
        <v>0.74053452115812912</v>
      </c>
      <c r="P141" s="87">
        <f>E141/M141</f>
        <v>533.70315887156642</v>
      </c>
      <c r="Q141" s="85">
        <f>E141/N141</f>
        <v>720.69990476190469</v>
      </c>
      <c r="R141" s="87">
        <f>N141*$T140</f>
        <v>254695</v>
      </c>
      <c r="S141" s="86">
        <f>R141/E141</f>
        <v>0.53142784877504656</v>
      </c>
      <c r="T141" s="2272"/>
      <c r="U141" s="24">
        <v>78</v>
      </c>
      <c r="V141" s="85">
        <v>57</v>
      </c>
      <c r="W141" s="22">
        <f>V141/U141</f>
        <v>0.73076923076923073</v>
      </c>
      <c r="X141" s="21">
        <f>E141/U141</f>
        <v>6144.428675213675</v>
      </c>
      <c r="Y141" s="84">
        <f>E141/V141</f>
        <v>8408.1655555555553</v>
      </c>
      <c r="Z141" s="19">
        <f>V141*AB141</f>
        <v>23199</v>
      </c>
      <c r="AA141" s="185">
        <f>Z141/E141</f>
        <v>4.8405326620987087E-2</v>
      </c>
      <c r="AB141" s="17">
        <v>407</v>
      </c>
    </row>
    <row r="142" spans="2:28" ht="16.5">
      <c r="B142" s="191" t="s">
        <v>50</v>
      </c>
      <c r="C142" s="169" t="s">
        <v>871</v>
      </c>
      <c r="D142" s="184" t="s">
        <v>45</v>
      </c>
      <c r="E142" s="35">
        <f>F142+G142</f>
        <v>3139195.96</v>
      </c>
      <c r="F142" s="190">
        <v>1696330</v>
      </c>
      <c r="G142" s="189">
        <v>1442865.96</v>
      </c>
      <c r="H142" s="181">
        <v>3587092</v>
      </c>
      <c r="I142" s="91">
        <f>E142/H142</f>
        <v>0.87513672913881213</v>
      </c>
      <c r="J142" s="98">
        <v>236537</v>
      </c>
      <c r="K142" s="22">
        <f>J142/H142</f>
        <v>6.5941157907296502E-2</v>
      </c>
      <c r="L142" s="22">
        <f>M142/J142</f>
        <v>5.8481336957854374E-2</v>
      </c>
      <c r="M142" s="180">
        <v>13833</v>
      </c>
      <c r="N142" s="89">
        <v>10675</v>
      </c>
      <c r="O142" s="88">
        <f>N142/M142</f>
        <v>0.77170534229740473</v>
      </c>
      <c r="P142" s="87">
        <f>E142/M142</f>
        <v>226.93529675413865</v>
      </c>
      <c r="Q142" s="85">
        <f>E142/N142</f>
        <v>294.06987915690866</v>
      </c>
      <c r="R142" s="87">
        <f>N142*$T140</f>
        <v>4088525</v>
      </c>
      <c r="S142" s="86">
        <f>R142/E142</f>
        <v>1.302411525784456</v>
      </c>
      <c r="T142" s="2272"/>
      <c r="U142" s="24">
        <v>1575</v>
      </c>
      <c r="V142" s="85">
        <v>1307</v>
      </c>
      <c r="W142" s="22">
        <f>V142/U142</f>
        <v>0.82984126984126982</v>
      </c>
      <c r="X142" s="21">
        <f>E142/U142</f>
        <v>1993.1402920634921</v>
      </c>
      <c r="Y142" s="84">
        <f>E142/V142</f>
        <v>2401.8331752104054</v>
      </c>
      <c r="Z142" s="19">
        <f>V142*AB142</f>
        <v>435231</v>
      </c>
      <c r="AA142" s="18">
        <f>Z142/E142</f>
        <v>0.13864410044666342</v>
      </c>
      <c r="AB142" s="17">
        <v>333</v>
      </c>
    </row>
    <row r="143" spans="2:28" ht="16.5">
      <c r="B143" s="2306" t="s">
        <v>49</v>
      </c>
      <c r="C143" s="137" t="s">
        <v>37</v>
      </c>
      <c r="D143" s="137"/>
      <c r="E143" s="136">
        <f>SUM(E140:E142)</f>
        <v>5840300.3986666668</v>
      </c>
      <c r="F143" s="135">
        <f>SUM(F140:F142)</f>
        <v>2978971.8866666667</v>
      </c>
      <c r="G143" s="134">
        <f>SUM(G140:G142)</f>
        <v>2861328.5120000001</v>
      </c>
      <c r="H143" s="130">
        <f>SUM(H140:H142)</f>
        <v>7999531</v>
      </c>
      <c r="I143" s="133">
        <f>E143/H143</f>
        <v>0.73008035079389866</v>
      </c>
      <c r="J143" s="130">
        <f>SUM(J140:J142)</f>
        <v>499243</v>
      </c>
      <c r="K143" s="132">
        <f>J143/H143</f>
        <v>6.2409033729602395E-2</v>
      </c>
      <c r="L143" s="132">
        <f>M143/J143</f>
        <v>5.8091951214138203E-2</v>
      </c>
      <c r="M143" s="130">
        <f>SUM(M140:M142)</f>
        <v>29002</v>
      </c>
      <c r="N143" s="130">
        <f>SUM(N140:N142)</f>
        <v>22239</v>
      </c>
      <c r="O143" s="132">
        <f>N143/M143</f>
        <v>0.76680918557340871</v>
      </c>
      <c r="P143" s="131">
        <f>E143/M143</f>
        <v>201.37578093464819</v>
      </c>
      <c r="Q143" s="131">
        <f>E143/N143</f>
        <v>262.61524343120942</v>
      </c>
      <c r="R143" s="130">
        <f>N143*$T140</f>
        <v>8517537</v>
      </c>
      <c r="S143" s="129">
        <f>R143/E143</f>
        <v>1.4584073452702095</v>
      </c>
      <c r="T143" s="128"/>
      <c r="U143" s="127">
        <f>SUM(U140:U142)</f>
        <v>3928</v>
      </c>
      <c r="V143" s="124">
        <f>SUM(V140:V142)</f>
        <v>3003</v>
      </c>
      <c r="W143" s="126">
        <f>V143/U143</f>
        <v>0.76451120162932795</v>
      </c>
      <c r="X143" s="125">
        <f>E143/U143</f>
        <v>1486.8381870332655</v>
      </c>
      <c r="Y143" s="125">
        <f>E143/V143</f>
        <v>1944.8219775779776</v>
      </c>
      <c r="Z143" s="124">
        <f>V143*AB143</f>
        <v>1150149</v>
      </c>
      <c r="AA143" s="123">
        <f>Z143/E143</f>
        <v>0.19693319204309723</v>
      </c>
      <c r="AB143" s="122">
        <f>T140</f>
        <v>383</v>
      </c>
    </row>
    <row r="144" spans="2:28" ht="16.5">
      <c r="B144" s="2307"/>
      <c r="C144" s="83" t="s">
        <v>36</v>
      </c>
      <c r="D144" s="83"/>
      <c r="E144" s="121">
        <f>SUM(E140:E142)</f>
        <v>5840300.3986666668</v>
      </c>
      <c r="F144" s="120">
        <f>SUM(F140:F142)</f>
        <v>2978971.8866666667</v>
      </c>
      <c r="G144" s="119">
        <f>SUM(G140:G142)</f>
        <v>2861328.5120000001</v>
      </c>
      <c r="H144" s="76">
        <v>7623881</v>
      </c>
      <c r="I144" s="79">
        <f>E144/H144</f>
        <v>0.76605345737514352</v>
      </c>
      <c r="J144" s="76">
        <v>450108</v>
      </c>
      <c r="K144" s="78">
        <f>J144/H144</f>
        <v>5.9039221624786642E-2</v>
      </c>
      <c r="L144" s="78">
        <f>M144/J144</f>
        <v>5.7966088138846676E-2</v>
      </c>
      <c r="M144" s="76">
        <v>26091</v>
      </c>
      <c r="N144" s="76">
        <v>20283</v>
      </c>
      <c r="O144" s="78">
        <f>N144/M144</f>
        <v>0.77739450385190301</v>
      </c>
      <c r="P144" s="77">
        <f>E144/M144</f>
        <v>223.84348620852657</v>
      </c>
      <c r="Q144" s="77">
        <f>E144/N144</f>
        <v>287.94065959999341</v>
      </c>
      <c r="R144" s="76">
        <f>N144*$T140</f>
        <v>7768389</v>
      </c>
      <c r="S144" s="118">
        <f>R144/E144</f>
        <v>1.3301351762271532</v>
      </c>
      <c r="T144" s="74"/>
      <c r="U144" s="117"/>
      <c r="V144" s="76"/>
      <c r="W144" s="78"/>
      <c r="X144" s="116"/>
      <c r="Y144" s="116"/>
      <c r="Z144" s="76"/>
      <c r="AA144" s="115"/>
      <c r="AB144" s="114"/>
    </row>
    <row r="145" spans="2:28" ht="14.5">
      <c r="B145" s="113"/>
    </row>
    <row r="146" spans="2:28" ht="14.5">
      <c r="B146" s="113"/>
    </row>
    <row r="147" spans="2:28" ht="14.5">
      <c r="B147" s="113"/>
    </row>
    <row r="148" spans="2:28" ht="14.5">
      <c r="B148" s="66" t="s">
        <v>528</v>
      </c>
    </row>
    <row r="149" spans="2:28" ht="16.5">
      <c r="B149" s="2280" t="s">
        <v>32</v>
      </c>
      <c r="C149" s="2281" t="s">
        <v>31</v>
      </c>
      <c r="D149" s="2310" t="s">
        <v>30</v>
      </c>
      <c r="E149" s="2283" t="s">
        <v>29</v>
      </c>
      <c r="F149" s="2286"/>
      <c r="G149" s="2287"/>
      <c r="H149" s="2268" t="s">
        <v>28</v>
      </c>
      <c r="I149" s="2284"/>
      <c r="J149" s="2284"/>
      <c r="K149" s="2284"/>
      <c r="L149" s="2284"/>
      <c r="M149" s="2284"/>
      <c r="N149" s="2284"/>
      <c r="O149" s="2284"/>
      <c r="P149" s="2284"/>
      <c r="Q149" s="2284"/>
      <c r="R149" s="2284"/>
      <c r="S149" s="2284"/>
      <c r="T149" s="2285"/>
      <c r="U149" s="2268" t="s">
        <v>27</v>
      </c>
      <c r="V149" s="2284"/>
      <c r="W149" s="2284"/>
      <c r="X149" s="2284"/>
      <c r="Y149" s="2284"/>
      <c r="Z149" s="2284"/>
      <c r="AA149" s="2284"/>
      <c r="AB149" s="2285"/>
    </row>
    <row r="150" spans="2:28" ht="66">
      <c r="B150" s="2308"/>
      <c r="C150" s="2309"/>
      <c r="D150" s="2311"/>
      <c r="E150" s="112" t="s">
        <v>26</v>
      </c>
      <c r="F150" s="111" t="s">
        <v>25</v>
      </c>
      <c r="G150" s="110" t="s">
        <v>24</v>
      </c>
      <c r="H150" s="107" t="s">
        <v>23</v>
      </c>
      <c r="I150" s="108" t="s">
        <v>22</v>
      </c>
      <c r="J150" s="111" t="s">
        <v>21</v>
      </c>
      <c r="K150" s="108" t="s">
        <v>20</v>
      </c>
      <c r="L150" s="108" t="s">
        <v>19</v>
      </c>
      <c r="M150" s="107" t="s">
        <v>18</v>
      </c>
      <c r="N150" s="108" t="s">
        <v>17</v>
      </c>
      <c r="O150" s="108" t="s">
        <v>16</v>
      </c>
      <c r="P150" s="108" t="s">
        <v>15</v>
      </c>
      <c r="Q150" s="108" t="s">
        <v>14</v>
      </c>
      <c r="R150" s="108" t="s">
        <v>13</v>
      </c>
      <c r="S150" s="108" t="s">
        <v>12</v>
      </c>
      <c r="T150" s="110" t="s">
        <v>11</v>
      </c>
      <c r="U150" s="109" t="s">
        <v>10</v>
      </c>
      <c r="V150" s="108" t="s">
        <v>9</v>
      </c>
      <c r="W150" s="107" t="s">
        <v>8</v>
      </c>
      <c r="X150" s="107" t="s">
        <v>7</v>
      </c>
      <c r="Y150" s="107" t="s">
        <v>6</v>
      </c>
      <c r="Z150" s="107" t="s">
        <v>5</v>
      </c>
      <c r="AA150" s="107" t="s">
        <v>4</v>
      </c>
      <c r="AB150" s="106" t="s">
        <v>3</v>
      </c>
    </row>
    <row r="151" spans="2:28" ht="16.5">
      <c r="B151" s="2270" t="s">
        <v>48</v>
      </c>
      <c r="C151" s="97" t="s">
        <v>865</v>
      </c>
      <c r="D151" s="184" t="s">
        <v>47</v>
      </c>
      <c r="E151" s="35">
        <f>F151+G151</f>
        <v>355281.93</v>
      </c>
      <c r="F151" s="183">
        <v>174249.59</v>
      </c>
      <c r="G151" s="182">
        <v>181032.34</v>
      </c>
      <c r="H151" s="181">
        <v>361398</v>
      </c>
      <c r="I151" s="103">
        <f>E151/H151</f>
        <v>0.9830766357312436</v>
      </c>
      <c r="J151" s="186">
        <v>13703</v>
      </c>
      <c r="K151" s="45">
        <f>J151/H151</f>
        <v>3.7916645913923151E-2</v>
      </c>
      <c r="L151" s="45">
        <f>M151/J151</f>
        <v>6.8744070641465371E-2</v>
      </c>
      <c r="M151" s="188">
        <v>942</v>
      </c>
      <c r="N151" s="186">
        <v>766</v>
      </c>
      <c r="O151" s="101">
        <f>N151/M151</f>
        <v>0.81316348195329091</v>
      </c>
      <c r="P151" s="87">
        <f>E151/M151</f>
        <v>377.15703821656052</v>
      </c>
      <c r="Q151" s="100">
        <f>E151/N151</f>
        <v>463.81453002610965</v>
      </c>
      <c r="R151" s="87">
        <f>N151*$T151</f>
        <v>293378</v>
      </c>
      <c r="S151" s="86">
        <f>R151/E151</f>
        <v>0.82576110752381915</v>
      </c>
      <c r="T151" s="2279">
        <v>383</v>
      </c>
      <c r="U151" s="187">
        <v>267</v>
      </c>
      <c r="V151" s="186">
        <v>202</v>
      </c>
      <c r="W151" s="45">
        <f>V151/U151</f>
        <v>0.75655430711610483</v>
      </c>
      <c r="X151" s="44">
        <f>E151/U151</f>
        <v>1330.6439325842696</v>
      </c>
      <c r="Y151" s="99">
        <f>E151/V151</f>
        <v>1758.8214356435644</v>
      </c>
      <c r="Z151" s="42">
        <f>V151*AB151</f>
        <v>132714</v>
      </c>
      <c r="AA151" s="41">
        <f>Z151/E151</f>
        <v>0.37354559518408381</v>
      </c>
      <c r="AB151" s="40">
        <v>657</v>
      </c>
    </row>
    <row r="152" spans="2:28" ht="16.5">
      <c r="B152" s="2294"/>
      <c r="C152" s="97" t="s">
        <v>867</v>
      </c>
      <c r="D152" s="184" t="s">
        <v>47</v>
      </c>
      <c r="E152" s="35">
        <f>F152+G152</f>
        <v>466164.16000000003</v>
      </c>
      <c r="F152" s="183">
        <v>200449.29</v>
      </c>
      <c r="G152" s="182">
        <v>265714.87</v>
      </c>
      <c r="H152" s="181">
        <v>452479</v>
      </c>
      <c r="I152" s="91">
        <f>E152/H152</f>
        <v>1.0302448511422631</v>
      </c>
      <c r="J152" s="85">
        <v>8190</v>
      </c>
      <c r="K152" s="22">
        <f>J152/H152</f>
        <v>1.8100287527155957E-2</v>
      </c>
      <c r="L152" s="22">
        <f>M152/J152</f>
        <v>4.7741147741147738E-2</v>
      </c>
      <c r="M152" s="180">
        <v>391</v>
      </c>
      <c r="N152" s="89">
        <v>293</v>
      </c>
      <c r="O152" s="88">
        <f>N152/M152</f>
        <v>0.7493606138107417</v>
      </c>
      <c r="P152" s="87">
        <f>E152/M152</f>
        <v>1192.2357033248084</v>
      </c>
      <c r="Q152" s="85">
        <f>E152/N152</f>
        <v>1591.0039590443687</v>
      </c>
      <c r="R152" s="87">
        <f>N152*$T151</f>
        <v>112219</v>
      </c>
      <c r="S152" s="86">
        <f>R152/E152</f>
        <v>0.24072850216541741</v>
      </c>
      <c r="T152" s="2272"/>
      <c r="U152" s="24">
        <v>57</v>
      </c>
      <c r="V152" s="85">
        <v>45</v>
      </c>
      <c r="W152" s="22">
        <f>V152/U152</f>
        <v>0.78947368421052633</v>
      </c>
      <c r="X152" s="21">
        <f>E152/U152</f>
        <v>8178.3185964912291</v>
      </c>
      <c r="Y152" s="84">
        <f>E152/V152</f>
        <v>10359.203555555556</v>
      </c>
      <c r="Z152" s="19">
        <f>V152*AB152</f>
        <v>18315</v>
      </c>
      <c r="AA152" s="185">
        <f>Z152/E152</f>
        <v>3.9288734680932996E-2</v>
      </c>
      <c r="AB152" s="17">
        <v>407</v>
      </c>
    </row>
    <row r="153" spans="2:28" ht="16.5">
      <c r="B153" s="2295" t="s">
        <v>46</v>
      </c>
      <c r="C153" s="169" t="s">
        <v>871</v>
      </c>
      <c r="D153" s="184" t="s">
        <v>45</v>
      </c>
      <c r="E153" s="35">
        <f>F153+G153</f>
        <v>351035.48</v>
      </c>
      <c r="F153" s="183">
        <v>264402.74</v>
      </c>
      <c r="G153" s="182">
        <v>86632.74</v>
      </c>
      <c r="H153" s="181">
        <v>702782</v>
      </c>
      <c r="I153" s="91">
        <f>E153/H153</f>
        <v>0.49949412477838073</v>
      </c>
      <c r="J153" s="98">
        <v>40592</v>
      </c>
      <c r="K153" s="22">
        <f>J153/H153</f>
        <v>5.7759020578216289E-2</v>
      </c>
      <c r="L153" s="22">
        <f>M153/J153</f>
        <v>6.1514584154513205E-2</v>
      </c>
      <c r="M153" s="180">
        <v>2497</v>
      </c>
      <c r="N153" s="89">
        <v>1977</v>
      </c>
      <c r="O153" s="88">
        <f>N153/M153</f>
        <v>0.79175010012014413</v>
      </c>
      <c r="P153" s="87">
        <f>E153/M153</f>
        <v>140.58289146976372</v>
      </c>
      <c r="Q153" s="85">
        <f>E153/N153</f>
        <v>177.55967627718766</v>
      </c>
      <c r="R153" s="87">
        <f>N153*$T151</f>
        <v>757191</v>
      </c>
      <c r="S153" s="86">
        <f>R153/E153</f>
        <v>2.1570212788747165</v>
      </c>
      <c r="T153" s="2272"/>
      <c r="U153" s="24">
        <v>358</v>
      </c>
      <c r="V153" s="85">
        <v>315</v>
      </c>
      <c r="W153" s="22">
        <f>V153/U153</f>
        <v>0.87988826815642462</v>
      </c>
      <c r="X153" s="21">
        <f>E153/U153</f>
        <v>980.54603351955302</v>
      </c>
      <c r="Y153" s="84">
        <f>E153/V153</f>
        <v>1114.3983492063492</v>
      </c>
      <c r="Z153" s="19">
        <f>V153*AB153</f>
        <v>104895</v>
      </c>
      <c r="AA153" s="18">
        <f>Z153/E153</f>
        <v>0.29881594874683326</v>
      </c>
      <c r="AB153" s="17">
        <v>333</v>
      </c>
    </row>
    <row r="154" spans="2:28" ht="16.5">
      <c r="B154" s="2295"/>
      <c r="C154" s="137" t="s">
        <v>37</v>
      </c>
      <c r="D154" s="137"/>
      <c r="E154" s="136">
        <f>SUM(E151:E153)</f>
        <v>1172481.57</v>
      </c>
      <c r="F154" s="135">
        <f>SUM(F151:F153)</f>
        <v>639101.62</v>
      </c>
      <c r="G154" s="134">
        <f>SUM(G151:G153)</f>
        <v>533379.94999999995</v>
      </c>
      <c r="H154" s="130">
        <f>SUM(H151:H153)</f>
        <v>1516659</v>
      </c>
      <c r="I154" s="133">
        <f>E154/H154</f>
        <v>0.77306867924826872</v>
      </c>
      <c r="J154" s="130">
        <f>SUM(J151:J153)</f>
        <v>62485</v>
      </c>
      <c r="K154" s="132">
        <f>J154/H154</f>
        <v>4.1199109358135214E-2</v>
      </c>
      <c r="L154" s="132">
        <f>M154/J154</f>
        <v>6.1294710730575339E-2</v>
      </c>
      <c r="M154" s="130">
        <f>SUM(M151:M153)</f>
        <v>3830</v>
      </c>
      <c r="N154" s="130">
        <f>SUM(N151:N153)</f>
        <v>3036</v>
      </c>
      <c r="O154" s="132">
        <f>N154/M154</f>
        <v>0.79268929503916452</v>
      </c>
      <c r="P154" s="131">
        <f>E154/M154</f>
        <v>306.13095822454312</v>
      </c>
      <c r="Q154" s="131">
        <f>E154/N154</f>
        <v>386.19287549407119</v>
      </c>
      <c r="R154" s="130">
        <f>N154*$T151</f>
        <v>1162788</v>
      </c>
      <c r="S154" s="129">
        <f>R154/E154</f>
        <v>0.99173243294561975</v>
      </c>
      <c r="T154" s="128"/>
      <c r="U154" s="127">
        <f>SUM(U151:U153)</f>
        <v>682</v>
      </c>
      <c r="V154" s="124">
        <f>SUM(V151:V153)</f>
        <v>562</v>
      </c>
      <c r="W154" s="126">
        <f>V154/U154</f>
        <v>0.82404692082111441</v>
      </c>
      <c r="X154" s="125">
        <f>E154/U154</f>
        <v>1719.1811876832846</v>
      </c>
      <c r="Y154" s="125">
        <f>E154/V154</f>
        <v>2086.2661387900357</v>
      </c>
      <c r="Z154" s="124">
        <f>V154*AB154</f>
        <v>215246</v>
      </c>
      <c r="AA154" s="123">
        <f>Z154/E154</f>
        <v>0.1835815636743868</v>
      </c>
      <c r="AB154" s="122">
        <f>T151</f>
        <v>383</v>
      </c>
    </row>
    <row r="155" spans="2:28" ht="16.5">
      <c r="B155" s="2296"/>
      <c r="C155" s="83" t="s">
        <v>36</v>
      </c>
      <c r="D155" s="83"/>
      <c r="E155" s="121">
        <f>SUM(E151:E153)</f>
        <v>1172481.57</v>
      </c>
      <c r="F155" s="120">
        <f>SUM(F151:F153)</f>
        <v>639101.62</v>
      </c>
      <c r="G155" s="119">
        <f>SUM(G151:G153)</f>
        <v>533379.94999999995</v>
      </c>
      <c r="H155" s="76">
        <v>1452211</v>
      </c>
      <c r="I155" s="79">
        <f>E155/H155</f>
        <v>0.80737686878835102</v>
      </c>
      <c r="J155" s="76">
        <v>58380</v>
      </c>
      <c r="K155" s="78">
        <f>J155/H155</f>
        <v>4.0200769722857077E-2</v>
      </c>
      <c r="L155" s="78">
        <f>M155/J155</f>
        <v>6.1784857828023294E-2</v>
      </c>
      <c r="M155" s="76">
        <v>3607</v>
      </c>
      <c r="N155" s="76">
        <v>2883</v>
      </c>
      <c r="O155" s="78">
        <f>N155/M155</f>
        <v>0.79927917937344051</v>
      </c>
      <c r="P155" s="77">
        <f>E155/M155</f>
        <v>325.05726919878015</v>
      </c>
      <c r="Q155" s="77">
        <f>E155/N155</f>
        <v>406.68802289282002</v>
      </c>
      <c r="R155" s="76">
        <f>N155*$T151</f>
        <v>1104189</v>
      </c>
      <c r="S155" s="118">
        <f>R155/E155</f>
        <v>0.94175382219440762</v>
      </c>
      <c r="T155" s="74"/>
      <c r="U155" s="117"/>
      <c r="V155" s="76"/>
      <c r="W155" s="78"/>
      <c r="X155" s="116"/>
      <c r="Y155" s="116"/>
      <c r="Z155" s="76"/>
      <c r="AA155" s="115"/>
      <c r="AB155" s="114"/>
    </row>
    <row r="159" spans="2:28" ht="14.5">
      <c r="B159" s="66" t="s">
        <v>43</v>
      </c>
    </row>
    <row r="160" spans="2:28" ht="16.5">
      <c r="B160" s="2297" t="s">
        <v>32</v>
      </c>
      <c r="C160" s="2299" t="s">
        <v>31</v>
      </c>
      <c r="D160" s="2299" t="s">
        <v>30</v>
      </c>
      <c r="E160" s="2302" t="s">
        <v>29</v>
      </c>
      <c r="F160" s="2303"/>
      <c r="G160" s="2304"/>
      <c r="H160" s="2305" t="s">
        <v>28</v>
      </c>
      <c r="I160" s="2303"/>
      <c r="J160" s="2303"/>
      <c r="K160" s="2303"/>
      <c r="L160" s="2303"/>
      <c r="M160" s="2303"/>
      <c r="N160" s="2303"/>
      <c r="O160" s="2303"/>
      <c r="P160" s="2303"/>
      <c r="Q160" s="2303"/>
      <c r="R160" s="2303"/>
      <c r="S160" s="2303"/>
      <c r="T160" s="2304"/>
      <c r="U160" s="2305" t="s">
        <v>27</v>
      </c>
      <c r="V160" s="2303"/>
      <c r="W160" s="2303"/>
      <c r="X160" s="2303"/>
      <c r="Y160" s="2303"/>
      <c r="Z160" s="2303"/>
      <c r="AA160" s="2303"/>
      <c r="AB160" s="2304"/>
    </row>
    <row r="161" spans="2:28" ht="66">
      <c r="B161" s="2298"/>
      <c r="C161" s="2300"/>
      <c r="D161" s="2301"/>
      <c r="E161" s="179" t="s">
        <v>26</v>
      </c>
      <c r="F161" s="178" t="s">
        <v>25</v>
      </c>
      <c r="G161" s="174" t="s">
        <v>24</v>
      </c>
      <c r="H161" s="177" t="s">
        <v>23</v>
      </c>
      <c r="I161" s="175" t="s">
        <v>44</v>
      </c>
      <c r="J161" s="178" t="s">
        <v>21</v>
      </c>
      <c r="K161" s="175" t="s">
        <v>20</v>
      </c>
      <c r="L161" s="175" t="s">
        <v>19</v>
      </c>
      <c r="M161" s="177" t="s">
        <v>18</v>
      </c>
      <c r="N161" s="175" t="s">
        <v>17</v>
      </c>
      <c r="O161" s="175" t="s">
        <v>16</v>
      </c>
      <c r="P161" s="176" t="s">
        <v>15</v>
      </c>
      <c r="Q161" s="175" t="s">
        <v>14</v>
      </c>
      <c r="R161" s="175" t="s">
        <v>13</v>
      </c>
      <c r="S161" s="175" t="s">
        <v>12</v>
      </c>
      <c r="T161" s="174" t="s">
        <v>11</v>
      </c>
      <c r="U161" s="173" t="s">
        <v>10</v>
      </c>
      <c r="V161" s="172" t="s">
        <v>9</v>
      </c>
      <c r="W161" s="171" t="s">
        <v>8</v>
      </c>
      <c r="X161" s="171" t="s">
        <v>7</v>
      </c>
      <c r="Y161" s="171" t="s">
        <v>6</v>
      </c>
      <c r="Z161" s="171" t="s">
        <v>5</v>
      </c>
      <c r="AA161" s="171" t="s">
        <v>4</v>
      </c>
      <c r="AB161" s="170" t="s">
        <v>3</v>
      </c>
    </row>
    <row r="162" spans="2:28" ht="16.5">
      <c r="B162" s="2288" t="s">
        <v>43</v>
      </c>
      <c r="C162" s="169" t="s">
        <v>871</v>
      </c>
      <c r="D162" s="169" t="s">
        <v>42</v>
      </c>
      <c r="E162" s="35">
        <v>1846455.58</v>
      </c>
      <c r="F162" s="168">
        <v>1258564.74</v>
      </c>
      <c r="G162" s="167">
        <v>587890.84</v>
      </c>
      <c r="H162" s="155">
        <v>1880912</v>
      </c>
      <c r="I162" s="166">
        <v>0.98168100368331968</v>
      </c>
      <c r="J162" s="159">
        <v>71497</v>
      </c>
      <c r="K162" s="158">
        <v>3.8011879343637554E-2</v>
      </c>
      <c r="L162" s="165">
        <v>5.0603521826090604E-2</v>
      </c>
      <c r="M162" s="155">
        <v>3618</v>
      </c>
      <c r="N162" s="159">
        <v>2815</v>
      </c>
      <c r="O162" s="164">
        <v>0.77805417357656159</v>
      </c>
      <c r="P162" s="163">
        <v>510.35256495301275</v>
      </c>
      <c r="Q162" s="162">
        <v>655.93448667850805</v>
      </c>
      <c r="R162" s="155">
        <v>937395</v>
      </c>
      <c r="S162" s="161">
        <v>0.50767265140491491</v>
      </c>
      <c r="T162" s="2290">
        <v>333</v>
      </c>
      <c r="U162" s="160">
        <v>437</v>
      </c>
      <c r="V162" s="159">
        <v>380</v>
      </c>
      <c r="W162" s="158">
        <v>0.86956521739130432</v>
      </c>
      <c r="X162" s="157">
        <v>4225.2988100686498</v>
      </c>
      <c r="Y162" s="156">
        <v>4859.0936315789477</v>
      </c>
      <c r="Z162" s="155">
        <v>126540</v>
      </c>
      <c r="AA162" s="154">
        <v>6.8531299301551565E-2</v>
      </c>
      <c r="AB162" s="2292">
        <v>333</v>
      </c>
    </row>
    <row r="163" spans="2:28" ht="16.5">
      <c r="B163" s="2289"/>
      <c r="C163" s="153" t="s">
        <v>0</v>
      </c>
      <c r="D163" s="153"/>
      <c r="E163" s="152">
        <v>1846455.58</v>
      </c>
      <c r="F163" s="151">
        <v>1258564.74</v>
      </c>
      <c r="G163" s="150">
        <v>587890.84</v>
      </c>
      <c r="H163" s="146">
        <v>1880912</v>
      </c>
      <c r="I163" s="149">
        <v>0.98168100368331968</v>
      </c>
      <c r="J163" s="146">
        <v>71497</v>
      </c>
      <c r="K163" s="148">
        <v>3.8011879343637554E-2</v>
      </c>
      <c r="L163" s="148">
        <v>5.0603521826090604E-2</v>
      </c>
      <c r="M163" s="146">
        <v>3618</v>
      </c>
      <c r="N163" s="146">
        <v>2815</v>
      </c>
      <c r="O163" s="148">
        <v>0.77805417357656159</v>
      </c>
      <c r="P163" s="147">
        <v>510.35256495301275</v>
      </c>
      <c r="Q163" s="147">
        <v>655.93448667850805</v>
      </c>
      <c r="R163" s="146">
        <v>937395</v>
      </c>
      <c r="S163" s="145">
        <v>0.50767265140491491</v>
      </c>
      <c r="T163" s="2291"/>
      <c r="U163" s="144">
        <v>437</v>
      </c>
      <c r="V163" s="141">
        <v>380</v>
      </c>
      <c r="W163" s="143">
        <v>0.86956521739130432</v>
      </c>
      <c r="X163" s="142">
        <v>4225.2988100686498</v>
      </c>
      <c r="Y163" s="142">
        <v>4859.0936315789477</v>
      </c>
      <c r="Z163" s="141">
        <v>126540</v>
      </c>
      <c r="AA163" s="140">
        <v>6.8531299301551565E-2</v>
      </c>
      <c r="AB163" s="2293"/>
    </row>
    <row r="167" spans="2:28" ht="14.5">
      <c r="B167" s="66" t="s">
        <v>1</v>
      </c>
    </row>
    <row r="168" spans="2:28" ht="16.5">
      <c r="B168" s="2280" t="s">
        <v>32</v>
      </c>
      <c r="C168" s="2281" t="s">
        <v>31</v>
      </c>
      <c r="D168" s="2281" t="s">
        <v>30</v>
      </c>
      <c r="E168" s="2283" t="s">
        <v>29</v>
      </c>
      <c r="F168" s="2286"/>
      <c r="G168" s="2287"/>
      <c r="H168" s="2268" t="s">
        <v>28</v>
      </c>
      <c r="I168" s="2284"/>
      <c r="J168" s="2284"/>
      <c r="K168" s="2284"/>
      <c r="L168" s="2284"/>
      <c r="M168" s="2284"/>
      <c r="N168" s="2284"/>
      <c r="O168" s="2284"/>
      <c r="P168" s="2284"/>
      <c r="Q168" s="2284"/>
      <c r="R168" s="2284"/>
      <c r="S168" s="2284"/>
      <c r="T168" s="2285"/>
      <c r="U168" s="2268" t="s">
        <v>27</v>
      </c>
      <c r="V168" s="2284"/>
      <c r="W168" s="2284"/>
      <c r="X168" s="2284"/>
      <c r="Y168" s="2284"/>
      <c r="Z168" s="2284"/>
      <c r="AA168" s="2284"/>
      <c r="AB168" s="2285"/>
    </row>
    <row r="169" spans="2:28" ht="66">
      <c r="B169" s="2280"/>
      <c r="C169" s="2282"/>
      <c r="D169" s="2282"/>
      <c r="E169" s="112" t="s">
        <v>26</v>
      </c>
      <c r="F169" s="111" t="s">
        <v>25</v>
      </c>
      <c r="G169" s="110" t="s">
        <v>24</v>
      </c>
      <c r="H169" s="107" t="s">
        <v>23</v>
      </c>
      <c r="I169" s="108" t="s">
        <v>22</v>
      </c>
      <c r="J169" s="111" t="s">
        <v>21</v>
      </c>
      <c r="K169" s="108" t="s">
        <v>20</v>
      </c>
      <c r="L169" s="108" t="s">
        <v>19</v>
      </c>
      <c r="M169" s="107" t="s">
        <v>18</v>
      </c>
      <c r="N169" s="108" t="s">
        <v>17</v>
      </c>
      <c r="O169" s="108" t="s">
        <v>16</v>
      </c>
      <c r="P169" s="108" t="s">
        <v>15</v>
      </c>
      <c r="Q169" s="108" t="s">
        <v>14</v>
      </c>
      <c r="R169" s="108" t="s">
        <v>13</v>
      </c>
      <c r="S169" s="108" t="s">
        <v>12</v>
      </c>
      <c r="T169" s="110" t="s">
        <v>11</v>
      </c>
      <c r="U169" s="109" t="s">
        <v>10</v>
      </c>
      <c r="V169" s="108" t="s">
        <v>9</v>
      </c>
      <c r="W169" s="107" t="s">
        <v>8</v>
      </c>
      <c r="X169" s="107" t="s">
        <v>7</v>
      </c>
      <c r="Y169" s="107" t="s">
        <v>6</v>
      </c>
      <c r="Z169" s="107" t="s">
        <v>5</v>
      </c>
      <c r="AA169" s="107" t="s">
        <v>4</v>
      </c>
      <c r="AB169" s="106" t="s">
        <v>3</v>
      </c>
    </row>
    <row r="170" spans="2:28" ht="16.5">
      <c r="B170" s="2270" t="s">
        <v>33</v>
      </c>
      <c r="C170" s="97" t="s">
        <v>872</v>
      </c>
      <c r="D170" s="96" t="s">
        <v>33</v>
      </c>
      <c r="E170" s="105">
        <f>F170+G170</f>
        <v>2651815.8899999997</v>
      </c>
      <c r="F170" s="94">
        <v>1774823.89</v>
      </c>
      <c r="G170" s="139">
        <v>876992</v>
      </c>
      <c r="H170" s="92">
        <v>709993</v>
      </c>
      <c r="I170" s="103">
        <f t="shared" ref="I170:I175" si="72">E170/H170</f>
        <v>3.7349887815795362</v>
      </c>
      <c r="J170" s="100">
        <v>112127</v>
      </c>
      <c r="K170" s="45">
        <f t="shared" ref="K170:K175" si="73">J170/H170</f>
        <v>0.15792690913854079</v>
      </c>
      <c r="L170" s="45">
        <f t="shared" ref="L170:L175" si="74">M170/J170</f>
        <v>0.15798157446466954</v>
      </c>
      <c r="M170" s="87">
        <v>17714</v>
      </c>
      <c r="N170" s="102">
        <v>14323</v>
      </c>
      <c r="O170" s="101">
        <f t="shared" ref="O170:O175" si="75">N170/M170</f>
        <v>0.80856949305633963</v>
      </c>
      <c r="P170" s="87">
        <f t="shared" ref="P170:P175" si="76">E170/M170</f>
        <v>149.70169865642993</v>
      </c>
      <c r="Q170" s="100">
        <f t="shared" ref="Q170:Q175" si="77">E170/N170</f>
        <v>185.14388675556793</v>
      </c>
      <c r="R170" s="87">
        <f>N170*$T170</f>
        <v>6588580</v>
      </c>
      <c r="S170" s="86">
        <f t="shared" ref="S170:S175" si="78">R170/E170</f>
        <v>2.4845540841826694</v>
      </c>
      <c r="T170" s="2279">
        <v>460</v>
      </c>
      <c r="U170" s="47">
        <v>1690</v>
      </c>
      <c r="V170" s="100">
        <v>1396</v>
      </c>
      <c r="W170" s="45">
        <f>V170/U170</f>
        <v>0.82603550295857986</v>
      </c>
      <c r="X170" s="44">
        <f>E170/U170</f>
        <v>1569.1218284023666</v>
      </c>
      <c r="Y170" s="99">
        <f>E170/V170</f>
        <v>1899.5815830945555</v>
      </c>
      <c r="Z170" s="42">
        <f>V170*AB170</f>
        <v>977200</v>
      </c>
      <c r="AA170" s="41">
        <f>Z170/E170</f>
        <v>0.36850220397465078</v>
      </c>
      <c r="AB170" s="40">
        <v>700</v>
      </c>
    </row>
    <row r="171" spans="2:28" ht="16.5">
      <c r="B171" s="2270"/>
      <c r="C171" s="97" t="s">
        <v>873</v>
      </c>
      <c r="D171" s="96" t="s">
        <v>33</v>
      </c>
      <c r="E171" s="95">
        <f>F171+G171</f>
        <v>433082.87</v>
      </c>
      <c r="F171" s="94">
        <v>233082.87</v>
      </c>
      <c r="G171" s="138">
        <v>200000</v>
      </c>
      <c r="H171" s="92">
        <v>138818</v>
      </c>
      <c r="I171" s="91">
        <f t="shared" si="72"/>
        <v>3.1197890043077985</v>
      </c>
      <c r="J171" s="85">
        <v>20206</v>
      </c>
      <c r="K171" s="22">
        <f t="shared" si="73"/>
        <v>0.14555749254419456</v>
      </c>
      <c r="L171" s="22">
        <f t="shared" si="74"/>
        <v>0.10190042561615362</v>
      </c>
      <c r="M171" s="87">
        <v>2059</v>
      </c>
      <c r="N171" s="89">
        <v>1549</v>
      </c>
      <c r="O171" s="88">
        <f t="shared" si="75"/>
        <v>0.75230694511898977</v>
      </c>
      <c r="P171" s="87">
        <f t="shared" si="76"/>
        <v>210.33650801359883</v>
      </c>
      <c r="Q171" s="85">
        <f t="shared" si="77"/>
        <v>279.58868302130406</v>
      </c>
      <c r="R171" s="87">
        <f>N171*$T170</f>
        <v>712540</v>
      </c>
      <c r="S171" s="86">
        <f t="shared" si="78"/>
        <v>1.6452740326579991</v>
      </c>
      <c r="T171" s="2272"/>
      <c r="U171" s="24">
        <v>134</v>
      </c>
      <c r="V171" s="85">
        <v>103</v>
      </c>
      <c r="W171" s="22">
        <f>V171/U171</f>
        <v>0.76865671641791045</v>
      </c>
      <c r="X171" s="21">
        <f>E171/U171</f>
        <v>3231.9617164179103</v>
      </c>
      <c r="Y171" s="84">
        <f>E171/V171</f>
        <v>4204.6880582524273</v>
      </c>
      <c r="Z171" s="19">
        <f>V171*AB171</f>
        <v>51500</v>
      </c>
      <c r="AA171" s="18">
        <f>Z171/E171</f>
        <v>0.11891488573537901</v>
      </c>
      <c r="AB171" s="17">
        <v>500</v>
      </c>
    </row>
    <row r="172" spans="2:28" ht="16.5">
      <c r="B172" s="2270"/>
      <c r="C172" s="97" t="s">
        <v>874</v>
      </c>
      <c r="D172" s="96" t="s">
        <v>33</v>
      </c>
      <c r="E172" s="95">
        <f>F172+G172</f>
        <v>628227.82999999996</v>
      </c>
      <c r="F172" s="94">
        <v>527477.82999999996</v>
      </c>
      <c r="G172" s="93">
        <v>100750</v>
      </c>
      <c r="H172" s="92">
        <v>699681</v>
      </c>
      <c r="I172" s="91">
        <f t="shared" si="72"/>
        <v>0.89787750417690337</v>
      </c>
      <c r="J172" s="98">
        <v>126166</v>
      </c>
      <c r="K172" s="22">
        <f t="shared" si="73"/>
        <v>0.18031931694586534</v>
      </c>
      <c r="L172" s="22">
        <f t="shared" si="74"/>
        <v>0.14902588653044402</v>
      </c>
      <c r="M172" s="87">
        <v>18802</v>
      </c>
      <c r="N172" s="89">
        <v>15998</v>
      </c>
      <c r="O172" s="88">
        <f t="shared" si="75"/>
        <v>0.85086692905010108</v>
      </c>
      <c r="P172" s="87">
        <f t="shared" si="76"/>
        <v>33.412819380916922</v>
      </c>
      <c r="Q172" s="85">
        <f t="shared" si="77"/>
        <v>39.269148018502307</v>
      </c>
      <c r="R172" s="87">
        <f>N172*$T170</f>
        <v>7359080</v>
      </c>
      <c r="S172" s="86">
        <f t="shared" si="78"/>
        <v>11.714030561173962</v>
      </c>
      <c r="T172" s="2272"/>
      <c r="U172" s="24">
        <v>2601</v>
      </c>
      <c r="V172" s="85">
        <v>2315</v>
      </c>
      <c r="W172" s="22">
        <f>V172/U172</f>
        <v>0.89004229142637448</v>
      </c>
      <c r="X172" s="21">
        <f>E172/U172</f>
        <v>241.5331910803537</v>
      </c>
      <c r="Y172" s="84">
        <f>E172/V172</f>
        <v>271.37271274298053</v>
      </c>
      <c r="Z172" s="19">
        <f>V172*AB172</f>
        <v>810250</v>
      </c>
      <c r="AA172" s="18">
        <f>Z172/E172</f>
        <v>1.2897391062729584</v>
      </c>
      <c r="AB172" s="17">
        <v>350</v>
      </c>
    </row>
    <row r="173" spans="2:28" ht="16.5">
      <c r="B173" s="2270"/>
      <c r="C173" s="97" t="s">
        <v>866</v>
      </c>
      <c r="D173" s="96" t="s">
        <v>33</v>
      </c>
      <c r="E173" s="95">
        <f>F173+G173</f>
        <v>792015.90999999992</v>
      </c>
      <c r="F173" s="94">
        <v>443929.91</v>
      </c>
      <c r="G173" s="93">
        <v>348086</v>
      </c>
      <c r="H173" s="92">
        <v>723843</v>
      </c>
      <c r="I173" s="91">
        <f t="shared" si="72"/>
        <v>1.0941819013239058</v>
      </c>
      <c r="J173" s="98">
        <v>43123</v>
      </c>
      <c r="K173" s="22">
        <f t="shared" si="73"/>
        <v>5.9575073600214412E-2</v>
      </c>
      <c r="L173" s="22">
        <f t="shared" si="74"/>
        <v>0.1204461656192751</v>
      </c>
      <c r="M173" s="87">
        <v>5194</v>
      </c>
      <c r="N173" s="89">
        <v>4120</v>
      </c>
      <c r="O173" s="88">
        <f t="shared" si="75"/>
        <v>0.79322294955718131</v>
      </c>
      <c r="P173" s="87">
        <f t="shared" si="76"/>
        <v>152.48669811320752</v>
      </c>
      <c r="Q173" s="85">
        <f t="shared" si="77"/>
        <v>192.23687135922327</v>
      </c>
      <c r="R173" s="87">
        <f>N173*$T170</f>
        <v>1895200</v>
      </c>
      <c r="S173" s="86">
        <f t="shared" si="78"/>
        <v>2.3928812238127897</v>
      </c>
      <c r="T173" s="2272"/>
      <c r="U173" s="24">
        <v>464</v>
      </c>
      <c r="V173" s="85">
        <v>366</v>
      </c>
      <c r="W173" s="22">
        <f>V173/U173</f>
        <v>0.78879310344827591</v>
      </c>
      <c r="X173" s="21">
        <f>E173/U173</f>
        <v>1706.9308405172412</v>
      </c>
      <c r="Y173" s="84">
        <f>E173/V173</f>
        <v>2163.977896174863</v>
      </c>
      <c r="Z173" s="19">
        <f>V173*AB173</f>
        <v>146400</v>
      </c>
      <c r="AA173" s="18">
        <f>Z173/E173</f>
        <v>0.18484477161576213</v>
      </c>
      <c r="AB173" s="17">
        <v>400</v>
      </c>
    </row>
    <row r="174" spans="2:28" ht="16.5">
      <c r="B174" s="2270"/>
      <c r="C174" s="137" t="s">
        <v>37</v>
      </c>
      <c r="D174" s="137"/>
      <c r="E174" s="136">
        <f>SUM(E170:E173)</f>
        <v>4505142.5</v>
      </c>
      <c r="F174" s="135">
        <f>SUM(F170:F173)</f>
        <v>2979314.5</v>
      </c>
      <c r="G174" s="134">
        <f>SUM(G170:G173)</f>
        <v>1525828</v>
      </c>
      <c r="H174" s="130">
        <f>SUM(H170:H173)</f>
        <v>2272335</v>
      </c>
      <c r="I174" s="133">
        <f t="shared" si="72"/>
        <v>1.9826048976053268</v>
      </c>
      <c r="J174" s="130">
        <f>SUM(J170:J173)</f>
        <v>301622</v>
      </c>
      <c r="K174" s="132">
        <f t="shared" si="73"/>
        <v>0.1327365903354919</v>
      </c>
      <c r="L174" s="132">
        <f t="shared" si="74"/>
        <v>0.14511209394540187</v>
      </c>
      <c r="M174" s="130">
        <f>SUM(M170:M173)</f>
        <v>43769</v>
      </c>
      <c r="N174" s="130">
        <f>SUM(N170:N173)</f>
        <v>35990</v>
      </c>
      <c r="O174" s="132">
        <f t="shared" si="75"/>
        <v>0.82227147067559236</v>
      </c>
      <c r="P174" s="131">
        <f t="shared" si="76"/>
        <v>102.92998469236217</v>
      </c>
      <c r="Q174" s="131">
        <f t="shared" si="77"/>
        <v>125.17761878299528</v>
      </c>
      <c r="R174" s="130">
        <f>N174*$T170</f>
        <v>16555400</v>
      </c>
      <c r="S174" s="129">
        <f t="shared" si="78"/>
        <v>3.6747783227722541</v>
      </c>
      <c r="T174" s="128"/>
      <c r="U174" s="127">
        <f>SUM(U170:U173)</f>
        <v>4889</v>
      </c>
      <c r="V174" s="124">
        <f>SUM(V170:V173)</f>
        <v>4180</v>
      </c>
      <c r="W174" s="126">
        <f>V174/U174</f>
        <v>0.85498056862344041</v>
      </c>
      <c r="X174" s="125">
        <f>E174/U174</f>
        <v>921.48547760278177</v>
      </c>
      <c r="Y174" s="125">
        <f>E174/V174</f>
        <v>1077.7852870813397</v>
      </c>
      <c r="Z174" s="124">
        <f>V174*AB174</f>
        <v>1922800</v>
      </c>
      <c r="AA174" s="123">
        <f>Z174/E174</f>
        <v>0.42680115001911706</v>
      </c>
      <c r="AB174" s="122">
        <f>T170</f>
        <v>460</v>
      </c>
    </row>
    <row r="175" spans="2:28" ht="16.5">
      <c r="B175" s="2271"/>
      <c r="C175" s="83" t="s">
        <v>36</v>
      </c>
      <c r="D175" s="83"/>
      <c r="E175" s="121">
        <f>SUM(E170:E173)</f>
        <v>4505142.5</v>
      </c>
      <c r="F175" s="120">
        <f>SUM(F170:F173)</f>
        <v>2979314.5</v>
      </c>
      <c r="G175" s="119">
        <f>SUM(G170:G173)</f>
        <v>1525828</v>
      </c>
      <c r="H175" s="76">
        <v>2197074</v>
      </c>
      <c r="I175" s="79">
        <f t="shared" si="72"/>
        <v>2.0505192360384767</v>
      </c>
      <c r="J175" s="76">
        <v>277719</v>
      </c>
      <c r="K175" s="78">
        <f t="shared" si="73"/>
        <v>0.12640402644608237</v>
      </c>
      <c r="L175" s="78">
        <f t="shared" si="74"/>
        <v>0.13968435720998562</v>
      </c>
      <c r="M175" s="76">
        <v>38793</v>
      </c>
      <c r="N175" s="76">
        <v>32085</v>
      </c>
      <c r="O175" s="78">
        <f t="shared" si="75"/>
        <v>0.82708220555254819</v>
      </c>
      <c r="P175" s="77">
        <f t="shared" si="76"/>
        <v>116.13287190988065</v>
      </c>
      <c r="Q175" s="77">
        <f t="shared" si="77"/>
        <v>140.41273180613993</v>
      </c>
      <c r="R175" s="76">
        <f>N175*$T170</f>
        <v>14759100</v>
      </c>
      <c r="S175" s="118">
        <f t="shared" si="78"/>
        <v>3.2760561957807104</v>
      </c>
      <c r="T175" s="74"/>
      <c r="U175" s="117"/>
      <c r="V175" s="76"/>
      <c r="W175" s="78"/>
      <c r="X175" s="116"/>
      <c r="Y175" s="116"/>
      <c r="Z175" s="76"/>
      <c r="AA175" s="115"/>
      <c r="AB175" s="114"/>
    </row>
    <row r="176" spans="2:28" ht="16.5">
      <c r="B176" s="113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</row>
    <row r="177" spans="2:28" ht="16.5">
      <c r="B177" s="113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</row>
    <row r="178" spans="2:28" ht="16.5">
      <c r="B178" s="113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</row>
    <row r="179" spans="2:28" ht="16.5">
      <c r="B179" s="66" t="s">
        <v>41</v>
      </c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</row>
    <row r="180" spans="2:28" ht="16.5">
      <c r="B180" s="2280" t="s">
        <v>32</v>
      </c>
      <c r="C180" s="2281" t="s">
        <v>31</v>
      </c>
      <c r="D180" s="2281" t="s">
        <v>30</v>
      </c>
      <c r="E180" s="2283" t="s">
        <v>29</v>
      </c>
      <c r="F180" s="2286"/>
      <c r="G180" s="2287"/>
      <c r="H180" s="2268" t="s">
        <v>28</v>
      </c>
      <c r="I180" s="2284"/>
      <c r="J180" s="2284"/>
      <c r="K180" s="2284"/>
      <c r="L180" s="2284"/>
      <c r="M180" s="2284"/>
      <c r="N180" s="2284"/>
      <c r="O180" s="2284"/>
      <c r="P180" s="2284"/>
      <c r="Q180" s="2284"/>
      <c r="R180" s="2284"/>
      <c r="S180" s="2284"/>
      <c r="T180" s="2285"/>
      <c r="U180" s="2268" t="s">
        <v>27</v>
      </c>
      <c r="V180" s="2284"/>
      <c r="W180" s="2284"/>
      <c r="X180" s="2284"/>
      <c r="Y180" s="2284"/>
      <c r="Z180" s="2284"/>
      <c r="AA180" s="2284"/>
      <c r="AB180" s="2285"/>
    </row>
    <row r="181" spans="2:28" ht="66">
      <c r="B181" s="2280"/>
      <c r="C181" s="2282"/>
      <c r="D181" s="2282"/>
      <c r="E181" s="112" t="s">
        <v>26</v>
      </c>
      <c r="F181" s="111" t="s">
        <v>25</v>
      </c>
      <c r="G181" s="110" t="s">
        <v>24</v>
      </c>
      <c r="H181" s="107" t="s">
        <v>23</v>
      </c>
      <c r="I181" s="108" t="s">
        <v>22</v>
      </c>
      <c r="J181" s="111" t="s">
        <v>21</v>
      </c>
      <c r="K181" s="108" t="s">
        <v>20</v>
      </c>
      <c r="L181" s="108" t="s">
        <v>19</v>
      </c>
      <c r="M181" s="107" t="s">
        <v>18</v>
      </c>
      <c r="N181" s="108" t="s">
        <v>17</v>
      </c>
      <c r="O181" s="108" t="s">
        <v>16</v>
      </c>
      <c r="P181" s="108" t="s">
        <v>15</v>
      </c>
      <c r="Q181" s="108" t="s">
        <v>14</v>
      </c>
      <c r="R181" s="108" t="s">
        <v>13</v>
      </c>
      <c r="S181" s="108" t="s">
        <v>12</v>
      </c>
      <c r="T181" s="110" t="s">
        <v>11</v>
      </c>
      <c r="U181" s="109" t="s">
        <v>10</v>
      </c>
      <c r="V181" s="108" t="s">
        <v>9</v>
      </c>
      <c r="W181" s="107" t="s">
        <v>8</v>
      </c>
      <c r="X181" s="107" t="s">
        <v>7</v>
      </c>
      <c r="Y181" s="107" t="s">
        <v>6</v>
      </c>
      <c r="Z181" s="107" t="s">
        <v>5</v>
      </c>
      <c r="AA181" s="107" t="s">
        <v>4</v>
      </c>
      <c r="AB181" s="106" t="s">
        <v>3</v>
      </c>
    </row>
    <row r="182" spans="2:28" ht="16.5">
      <c r="B182" s="2270" t="s">
        <v>40</v>
      </c>
      <c r="C182" s="97" t="s">
        <v>872</v>
      </c>
      <c r="D182" s="96" t="s">
        <v>33</v>
      </c>
      <c r="E182" s="105">
        <f>F182+G182</f>
        <v>2286108.41</v>
      </c>
      <c r="F182" s="94">
        <v>1409116.41</v>
      </c>
      <c r="G182" s="139">
        <v>876992</v>
      </c>
      <c r="H182" s="92">
        <v>561027</v>
      </c>
      <c r="I182" s="103">
        <f t="shared" ref="I182:I187" si="79">E182/H182</f>
        <v>4.074863437945055</v>
      </c>
      <c r="J182" s="100">
        <v>84980</v>
      </c>
      <c r="K182" s="45">
        <f t="shared" ref="K182:K187" si="80">J182/H182</f>
        <v>0.1514722107848642</v>
      </c>
      <c r="L182" s="45">
        <f t="shared" ref="L182:L187" si="81">M182/J182</f>
        <v>0.16763944457519417</v>
      </c>
      <c r="M182" s="87">
        <v>14246</v>
      </c>
      <c r="N182" s="102">
        <v>11495</v>
      </c>
      <c r="O182" s="101">
        <f t="shared" ref="O182:O187" si="82">N182/M182</f>
        <v>0.80689316299312086</v>
      </c>
      <c r="P182" s="87">
        <f t="shared" ref="P182:P187" si="83">E182/M182</f>
        <v>160.47370560157239</v>
      </c>
      <c r="Q182" s="100">
        <f t="shared" ref="Q182:Q187" si="84">E182/N182</f>
        <v>198.87850456720315</v>
      </c>
      <c r="R182" s="87">
        <f>N182*$T182</f>
        <v>5287700</v>
      </c>
      <c r="S182" s="86">
        <f t="shared" ref="S182:S187" si="85">R182/E182</f>
        <v>2.3129699260412586</v>
      </c>
      <c r="T182" s="2279">
        <v>460</v>
      </c>
      <c r="U182" s="47">
        <v>1072</v>
      </c>
      <c r="V182" s="100">
        <v>868</v>
      </c>
      <c r="W182" s="45">
        <f>V182/U182</f>
        <v>0.80970149253731338</v>
      </c>
      <c r="X182" s="44">
        <f>E182/U182</f>
        <v>2132.5638152985075</v>
      </c>
      <c r="Y182" s="99">
        <f>E182/V182</f>
        <v>2633.7654493087557</v>
      </c>
      <c r="Z182" s="42">
        <f>V182*AB182</f>
        <v>607600</v>
      </c>
      <c r="AA182" s="41">
        <f>Z182/E182</f>
        <v>0.26577917186350752</v>
      </c>
      <c r="AB182" s="40">
        <v>700</v>
      </c>
    </row>
    <row r="183" spans="2:28" ht="16.5">
      <c r="B183" s="2270"/>
      <c r="C183" s="97" t="s">
        <v>873</v>
      </c>
      <c r="D183" s="96" t="s">
        <v>33</v>
      </c>
      <c r="E183" s="95">
        <f>F183+G183</f>
        <v>342580.72</v>
      </c>
      <c r="F183" s="94">
        <v>142580.72</v>
      </c>
      <c r="G183" s="138">
        <v>200000</v>
      </c>
      <c r="H183" s="92">
        <v>80179</v>
      </c>
      <c r="I183" s="91">
        <f t="shared" si="79"/>
        <v>4.2726988363536584</v>
      </c>
      <c r="J183" s="85">
        <v>11675</v>
      </c>
      <c r="K183" s="22">
        <f t="shared" si="80"/>
        <v>0.14561169383504408</v>
      </c>
      <c r="L183" s="22">
        <f t="shared" si="81"/>
        <v>0.10483940042826552</v>
      </c>
      <c r="M183" s="87">
        <v>1224</v>
      </c>
      <c r="N183" s="89">
        <v>883</v>
      </c>
      <c r="O183" s="88">
        <f t="shared" si="82"/>
        <v>0.72140522875816993</v>
      </c>
      <c r="P183" s="87">
        <f t="shared" si="83"/>
        <v>279.88620915032675</v>
      </c>
      <c r="Q183" s="85">
        <f t="shared" si="84"/>
        <v>387.97363533408833</v>
      </c>
      <c r="R183" s="87">
        <f>N183*$T182</f>
        <v>406180</v>
      </c>
      <c r="S183" s="86">
        <f t="shared" si="85"/>
        <v>1.1856475752634299</v>
      </c>
      <c r="T183" s="2272"/>
      <c r="U183" s="24">
        <v>68</v>
      </c>
      <c r="V183" s="85">
        <v>66</v>
      </c>
      <c r="W183" s="22">
        <f>V183/U183</f>
        <v>0.97058823529411764</v>
      </c>
      <c r="X183" s="21">
        <f>E183/U183</f>
        <v>5037.9517647058819</v>
      </c>
      <c r="Y183" s="84">
        <f>E183/V183</f>
        <v>5190.6169696969691</v>
      </c>
      <c r="Z183" s="19">
        <f>V183*AB183</f>
        <v>33000</v>
      </c>
      <c r="AA183" s="18">
        <f>Z183/E183</f>
        <v>9.6327662572488038E-2</v>
      </c>
      <c r="AB183" s="17">
        <v>500</v>
      </c>
    </row>
    <row r="184" spans="2:28" ht="16.5">
      <c r="B184" s="2270"/>
      <c r="C184" s="97" t="s">
        <v>874</v>
      </c>
      <c r="D184" s="96" t="s">
        <v>33</v>
      </c>
      <c r="E184" s="95">
        <f>F184+G184</f>
        <v>554285.44999999995</v>
      </c>
      <c r="F184" s="94">
        <v>453535.45</v>
      </c>
      <c r="G184" s="93">
        <v>100750</v>
      </c>
      <c r="H184" s="92">
        <v>555113</v>
      </c>
      <c r="I184" s="91">
        <f t="shared" si="79"/>
        <v>0.9985092224466009</v>
      </c>
      <c r="J184" s="98">
        <v>94710</v>
      </c>
      <c r="K184" s="22">
        <f t="shared" si="80"/>
        <v>0.1706139110415357</v>
      </c>
      <c r="L184" s="22">
        <f t="shared" si="81"/>
        <v>0.15264491605955022</v>
      </c>
      <c r="M184" s="87">
        <v>14457</v>
      </c>
      <c r="N184" s="89">
        <v>12252</v>
      </c>
      <c r="O184" s="88">
        <f t="shared" si="82"/>
        <v>0.8474787300269766</v>
      </c>
      <c r="P184" s="87">
        <f t="shared" si="83"/>
        <v>38.340281524520989</v>
      </c>
      <c r="Q184" s="85">
        <f t="shared" si="84"/>
        <v>45.240405648057454</v>
      </c>
      <c r="R184" s="87">
        <f>N184*$T182</f>
        <v>5635920</v>
      </c>
      <c r="S184" s="86">
        <f t="shared" si="85"/>
        <v>10.167901755313983</v>
      </c>
      <c r="T184" s="2272"/>
      <c r="U184" s="24">
        <v>1748</v>
      </c>
      <c r="V184" s="85">
        <v>1551</v>
      </c>
      <c r="W184" s="22">
        <f>V184/U184</f>
        <v>0.88729977116704806</v>
      </c>
      <c r="X184" s="21">
        <f>E184/U184</f>
        <v>317.09693935926771</v>
      </c>
      <c r="Y184" s="84">
        <f>E184/V184</f>
        <v>357.37295293359119</v>
      </c>
      <c r="Z184" s="19">
        <f>V184*AB184</f>
        <v>542850</v>
      </c>
      <c r="AA184" s="18">
        <f>Z184/E184</f>
        <v>0.9793690236682201</v>
      </c>
      <c r="AB184" s="17">
        <v>350</v>
      </c>
    </row>
    <row r="185" spans="2:28" ht="16.5">
      <c r="B185" s="2270"/>
      <c r="C185" s="97" t="s">
        <v>866</v>
      </c>
      <c r="D185" s="96" t="s">
        <v>33</v>
      </c>
      <c r="E185" s="95">
        <f>F185+G185</f>
        <v>731429.31</v>
      </c>
      <c r="F185" s="94">
        <v>383343.31</v>
      </c>
      <c r="G185" s="93">
        <v>348086</v>
      </c>
      <c r="H185" s="92">
        <v>668823</v>
      </c>
      <c r="I185" s="91">
        <f t="shared" si="79"/>
        <v>1.0936066941477791</v>
      </c>
      <c r="J185" s="98">
        <v>33108</v>
      </c>
      <c r="K185" s="22">
        <f t="shared" si="80"/>
        <v>4.9501886149250253E-2</v>
      </c>
      <c r="L185" s="22">
        <f t="shared" si="81"/>
        <v>0.12175305062220611</v>
      </c>
      <c r="M185" s="87">
        <v>4031</v>
      </c>
      <c r="N185" s="89">
        <v>3163</v>
      </c>
      <c r="O185" s="88">
        <f t="shared" si="82"/>
        <v>0.78466881667080124</v>
      </c>
      <c r="P185" s="87">
        <f t="shared" si="83"/>
        <v>181.45108161746467</v>
      </c>
      <c r="Q185" s="85">
        <f t="shared" si="84"/>
        <v>231.24543471387923</v>
      </c>
      <c r="R185" s="87">
        <f>N185*$T182</f>
        <v>1454980</v>
      </c>
      <c r="S185" s="86">
        <f t="shared" si="85"/>
        <v>1.9892284600954806</v>
      </c>
      <c r="T185" s="2272"/>
      <c r="U185" s="24">
        <v>296</v>
      </c>
      <c r="V185" s="85">
        <v>245</v>
      </c>
      <c r="W185" s="22">
        <f>V185/U185</f>
        <v>0.82770270270270274</v>
      </c>
      <c r="X185" s="21">
        <f>E185/U185</f>
        <v>2471.0449662162164</v>
      </c>
      <c r="Y185" s="84">
        <f>E185/V185</f>
        <v>2985.425755102041</v>
      </c>
      <c r="Z185" s="19">
        <f>V185*AB185</f>
        <v>98000</v>
      </c>
      <c r="AA185" s="18">
        <f>Z185/E185</f>
        <v>0.13398423970732043</v>
      </c>
      <c r="AB185" s="17">
        <v>400</v>
      </c>
    </row>
    <row r="186" spans="2:28" ht="16.5">
      <c r="B186" s="2270"/>
      <c r="C186" s="137" t="s">
        <v>37</v>
      </c>
      <c r="D186" s="137"/>
      <c r="E186" s="136">
        <f>SUM(E182:E185)</f>
        <v>3914403.89</v>
      </c>
      <c r="F186" s="135">
        <f>SUM(F182:F185)</f>
        <v>2388575.8899999997</v>
      </c>
      <c r="G186" s="134">
        <f>SUM(G182:G185)</f>
        <v>1525828</v>
      </c>
      <c r="H186" s="130">
        <f>SUM(H182:H185)</f>
        <v>1865142</v>
      </c>
      <c r="I186" s="133">
        <f t="shared" si="79"/>
        <v>2.0987162854088321</v>
      </c>
      <c r="J186" s="130">
        <f>SUM(J182:J185)</f>
        <v>224473</v>
      </c>
      <c r="K186" s="132">
        <f t="shared" si="80"/>
        <v>0.12035169440182035</v>
      </c>
      <c r="L186" s="132">
        <f t="shared" si="81"/>
        <v>0.15127877294819422</v>
      </c>
      <c r="M186" s="130">
        <f>SUM(M182:M185)</f>
        <v>33958</v>
      </c>
      <c r="N186" s="130">
        <f>SUM(N182:N185)</f>
        <v>27793</v>
      </c>
      <c r="O186" s="132">
        <f t="shared" si="82"/>
        <v>0.81845220566582244</v>
      </c>
      <c r="P186" s="131">
        <f t="shared" si="83"/>
        <v>115.27192090229107</v>
      </c>
      <c r="Q186" s="131">
        <f t="shared" si="84"/>
        <v>140.84135897528154</v>
      </c>
      <c r="R186" s="130">
        <f>N186*$T182</f>
        <v>12784780</v>
      </c>
      <c r="S186" s="129">
        <f t="shared" si="85"/>
        <v>3.2660860655337229</v>
      </c>
      <c r="T186" s="128"/>
      <c r="U186" s="127">
        <f>SUM(U182:U185)</f>
        <v>3184</v>
      </c>
      <c r="V186" s="124">
        <f>SUM(V182:V185)</f>
        <v>2730</v>
      </c>
      <c r="W186" s="126">
        <f>V186/U186</f>
        <v>0.85741206030150752</v>
      </c>
      <c r="X186" s="125">
        <f>E186/U186</f>
        <v>1229.3982066582914</v>
      </c>
      <c r="Y186" s="125">
        <f>E186/V186</f>
        <v>1433.8475787545788</v>
      </c>
      <c r="Z186" s="124">
        <f>V186*AB186</f>
        <v>1255800</v>
      </c>
      <c r="AA186" s="123">
        <f>Z186/E186</f>
        <v>0.32081513182841231</v>
      </c>
      <c r="AB186" s="122">
        <f>T182</f>
        <v>460</v>
      </c>
    </row>
    <row r="187" spans="2:28" ht="16.5">
      <c r="B187" s="2271"/>
      <c r="C187" s="83" t="s">
        <v>36</v>
      </c>
      <c r="D187" s="83"/>
      <c r="E187" s="121">
        <f>SUM(E182:E185)</f>
        <v>3914403.89</v>
      </c>
      <c r="F187" s="120">
        <f>SUM(F182:F185)</f>
        <v>2388575.8899999997</v>
      </c>
      <c r="G187" s="119">
        <f>SUM(G182:G185)</f>
        <v>1525828</v>
      </c>
      <c r="H187" s="76">
        <v>1716727</v>
      </c>
      <c r="I187" s="79">
        <f t="shared" si="79"/>
        <v>2.2801551382368892</v>
      </c>
      <c r="J187" s="76">
        <v>207044</v>
      </c>
      <c r="K187" s="78">
        <f t="shared" si="80"/>
        <v>0.12060391663904628</v>
      </c>
      <c r="L187" s="78">
        <f t="shared" si="81"/>
        <v>0.14593033364888622</v>
      </c>
      <c r="M187" s="76">
        <v>30214</v>
      </c>
      <c r="N187" s="76">
        <v>24833</v>
      </c>
      <c r="O187" s="78">
        <f t="shared" si="82"/>
        <v>0.82190375322698084</v>
      </c>
      <c r="P187" s="77">
        <f t="shared" si="83"/>
        <v>129.55596379161977</v>
      </c>
      <c r="Q187" s="77">
        <f t="shared" si="84"/>
        <v>157.6291181089679</v>
      </c>
      <c r="R187" s="76">
        <f>N187*$T182</f>
        <v>11423180</v>
      </c>
      <c r="S187" s="118">
        <f t="shared" si="85"/>
        <v>2.9182425526355176</v>
      </c>
      <c r="T187" s="74"/>
      <c r="U187" s="117"/>
      <c r="V187" s="76"/>
      <c r="W187" s="78"/>
      <c r="X187" s="116"/>
      <c r="Y187" s="116"/>
      <c r="Z187" s="76"/>
      <c r="AA187" s="115"/>
      <c r="AB187" s="114"/>
    </row>
    <row r="188" spans="2:28" ht="16.5">
      <c r="B188" s="113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</row>
    <row r="189" spans="2:28" ht="16.5">
      <c r="B189" s="113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</row>
    <row r="190" spans="2:28" ht="16.5">
      <c r="B190" s="113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</row>
    <row r="191" spans="2:28" ht="16.5">
      <c r="B191" s="66" t="s">
        <v>39</v>
      </c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</row>
    <row r="192" spans="2:28" ht="16.5">
      <c r="B192" s="2280" t="s">
        <v>32</v>
      </c>
      <c r="C192" s="2281" t="s">
        <v>31</v>
      </c>
      <c r="D192" s="2281" t="s">
        <v>30</v>
      </c>
      <c r="E192" s="2283" t="s">
        <v>29</v>
      </c>
      <c r="F192" s="2286"/>
      <c r="G192" s="2287"/>
      <c r="H192" s="2268" t="s">
        <v>28</v>
      </c>
      <c r="I192" s="2284"/>
      <c r="J192" s="2284"/>
      <c r="K192" s="2284"/>
      <c r="L192" s="2284"/>
      <c r="M192" s="2284"/>
      <c r="N192" s="2284"/>
      <c r="O192" s="2284"/>
      <c r="P192" s="2284"/>
      <c r="Q192" s="2284"/>
      <c r="R192" s="2284"/>
      <c r="S192" s="2284"/>
      <c r="T192" s="2285"/>
      <c r="U192" s="2268" t="s">
        <v>27</v>
      </c>
      <c r="V192" s="2284"/>
      <c r="W192" s="2284"/>
      <c r="X192" s="2284"/>
      <c r="Y192" s="2284"/>
      <c r="Z192" s="2284"/>
      <c r="AA192" s="2284"/>
      <c r="AB192" s="2285"/>
    </row>
    <row r="193" spans="2:28" ht="66">
      <c r="B193" s="2280"/>
      <c r="C193" s="2282"/>
      <c r="D193" s="2282"/>
      <c r="E193" s="112" t="s">
        <v>26</v>
      </c>
      <c r="F193" s="111" t="s">
        <v>25</v>
      </c>
      <c r="G193" s="110" t="s">
        <v>24</v>
      </c>
      <c r="H193" s="107" t="s">
        <v>23</v>
      </c>
      <c r="I193" s="108" t="s">
        <v>22</v>
      </c>
      <c r="J193" s="111" t="s">
        <v>21</v>
      </c>
      <c r="K193" s="108" t="s">
        <v>20</v>
      </c>
      <c r="L193" s="108" t="s">
        <v>19</v>
      </c>
      <c r="M193" s="107" t="s">
        <v>18</v>
      </c>
      <c r="N193" s="108" t="s">
        <v>17</v>
      </c>
      <c r="O193" s="108" t="s">
        <v>16</v>
      </c>
      <c r="P193" s="108" t="s">
        <v>15</v>
      </c>
      <c r="Q193" s="108" t="s">
        <v>14</v>
      </c>
      <c r="R193" s="108" t="s">
        <v>13</v>
      </c>
      <c r="S193" s="108" t="s">
        <v>12</v>
      </c>
      <c r="T193" s="110" t="s">
        <v>11</v>
      </c>
      <c r="U193" s="109" t="s">
        <v>10</v>
      </c>
      <c r="V193" s="108" t="s">
        <v>9</v>
      </c>
      <c r="W193" s="107" t="s">
        <v>8</v>
      </c>
      <c r="X193" s="107" t="s">
        <v>7</v>
      </c>
      <c r="Y193" s="107" t="s">
        <v>6</v>
      </c>
      <c r="Z193" s="107" t="s">
        <v>5</v>
      </c>
      <c r="AA193" s="107" t="s">
        <v>4</v>
      </c>
      <c r="AB193" s="106" t="s">
        <v>3</v>
      </c>
    </row>
    <row r="194" spans="2:28" ht="16.5">
      <c r="B194" s="2270" t="s">
        <v>38</v>
      </c>
      <c r="C194" s="97" t="s">
        <v>872</v>
      </c>
      <c r="D194" s="96" t="s">
        <v>33</v>
      </c>
      <c r="E194" s="105">
        <f>F194+G194</f>
        <v>2214483.56</v>
      </c>
      <c r="F194" s="94">
        <v>1337491.56</v>
      </c>
      <c r="G194" s="139">
        <v>876992</v>
      </c>
      <c r="H194" s="92">
        <v>511734</v>
      </c>
      <c r="I194" s="103">
        <f t="shared" ref="I194:I199" si="86">E194/H194</f>
        <v>4.3274114285937619</v>
      </c>
      <c r="J194" s="100">
        <v>78006</v>
      </c>
      <c r="K194" s="45">
        <f t="shared" ref="K194:K199" si="87">J194/H194</f>
        <v>0.15243466332117858</v>
      </c>
      <c r="L194" s="45">
        <f t="shared" ref="L194:L199" si="88">M194/J194</f>
        <v>0.17008948029638746</v>
      </c>
      <c r="M194" s="87">
        <v>13268</v>
      </c>
      <c r="N194" s="102">
        <v>10685</v>
      </c>
      <c r="O194" s="101">
        <f t="shared" ref="O194:O199" si="89">N194/M194</f>
        <v>0.80532107325896896</v>
      </c>
      <c r="P194" s="87">
        <f t="shared" ref="P194:P199" si="90">E194/M194</f>
        <v>166.90409707567079</v>
      </c>
      <c r="Q194" s="100">
        <f t="shared" ref="Q194:Q199" si="91">E194/N194</f>
        <v>207.25162002807676</v>
      </c>
      <c r="R194" s="87">
        <f>N194*$T194</f>
        <v>4915100</v>
      </c>
      <c r="S194" s="86">
        <f t="shared" ref="S194:S199" si="92">R194/E194</f>
        <v>2.2195242668678921</v>
      </c>
      <c r="T194" s="2279">
        <v>460</v>
      </c>
      <c r="U194" s="47">
        <v>915</v>
      </c>
      <c r="V194" s="100">
        <v>732</v>
      </c>
      <c r="W194" s="45">
        <f t="shared" ref="W194:W199" si="93">V194/U194</f>
        <v>0.8</v>
      </c>
      <c r="X194" s="44">
        <f t="shared" ref="X194:X199" si="94">E194/U194</f>
        <v>2420.200612021858</v>
      </c>
      <c r="Y194" s="99">
        <f t="shared" ref="Y194:Y199" si="95">E194/V194</f>
        <v>3025.2507650273224</v>
      </c>
      <c r="Z194" s="42">
        <f t="shared" ref="Z194:Z199" si="96">V194*AB194</f>
        <v>512400</v>
      </c>
      <c r="AA194" s="41">
        <f t="shared" ref="AA194:AA199" si="97">Z194/E194</f>
        <v>0.23138577736833593</v>
      </c>
      <c r="AB194" s="40">
        <v>700</v>
      </c>
    </row>
    <row r="195" spans="2:28" ht="16.5">
      <c r="B195" s="2270"/>
      <c r="C195" s="97" t="s">
        <v>873</v>
      </c>
      <c r="D195" s="96" t="s">
        <v>33</v>
      </c>
      <c r="E195" s="95">
        <f>F195+G195</f>
        <v>317476.91000000003</v>
      </c>
      <c r="F195" s="94">
        <v>117476.91</v>
      </c>
      <c r="G195" s="138">
        <v>200000</v>
      </c>
      <c r="H195" s="92">
        <v>51701</v>
      </c>
      <c r="I195" s="91">
        <f t="shared" si="86"/>
        <v>6.1406338368696938</v>
      </c>
      <c r="J195" s="85">
        <v>6825</v>
      </c>
      <c r="K195" s="22">
        <f t="shared" si="87"/>
        <v>0.13200905204928337</v>
      </c>
      <c r="L195" s="22">
        <f t="shared" si="88"/>
        <v>9.9194139194139191E-2</v>
      </c>
      <c r="M195" s="87">
        <v>677</v>
      </c>
      <c r="N195" s="89">
        <v>480</v>
      </c>
      <c r="O195" s="88">
        <f t="shared" si="89"/>
        <v>0.70901033973412109</v>
      </c>
      <c r="P195" s="87">
        <f t="shared" si="90"/>
        <v>468.94669128508127</v>
      </c>
      <c r="Q195" s="85">
        <f t="shared" si="91"/>
        <v>661.41022916666668</v>
      </c>
      <c r="R195" s="87">
        <f>N195*$T194</f>
        <v>220800</v>
      </c>
      <c r="S195" s="86">
        <f t="shared" si="92"/>
        <v>0.69548364950383312</v>
      </c>
      <c r="T195" s="2272"/>
      <c r="U195" s="24">
        <v>36</v>
      </c>
      <c r="V195" s="85">
        <v>34</v>
      </c>
      <c r="W195" s="22">
        <f t="shared" si="93"/>
        <v>0.94444444444444442</v>
      </c>
      <c r="X195" s="21">
        <f t="shared" si="94"/>
        <v>8818.8030555555561</v>
      </c>
      <c r="Y195" s="84">
        <f t="shared" si="95"/>
        <v>9337.556176470589</v>
      </c>
      <c r="Z195" s="19">
        <f t="shared" si="96"/>
        <v>17000</v>
      </c>
      <c r="AA195" s="18">
        <f t="shared" si="97"/>
        <v>5.3547201275204542E-2</v>
      </c>
      <c r="AB195" s="17">
        <v>500</v>
      </c>
    </row>
    <row r="196" spans="2:28" ht="16.5">
      <c r="B196" s="2270"/>
      <c r="C196" s="97" t="s">
        <v>874</v>
      </c>
      <c r="D196" s="96" t="s">
        <v>33</v>
      </c>
      <c r="E196" s="95">
        <f>F196+G196</f>
        <v>480434.28</v>
      </c>
      <c r="F196" s="94">
        <v>379684.28</v>
      </c>
      <c r="G196" s="93">
        <v>100750</v>
      </c>
      <c r="H196" s="92">
        <v>464944</v>
      </c>
      <c r="I196" s="91">
        <f t="shared" si="86"/>
        <v>1.0333164424102688</v>
      </c>
      <c r="J196" s="98">
        <v>75716</v>
      </c>
      <c r="K196" s="22">
        <f t="shared" si="87"/>
        <v>0.16284971953611618</v>
      </c>
      <c r="L196" s="22">
        <f t="shared" si="88"/>
        <v>0.1597812879708384</v>
      </c>
      <c r="M196" s="87">
        <v>12098</v>
      </c>
      <c r="N196" s="89">
        <v>10199</v>
      </c>
      <c r="O196" s="88">
        <f t="shared" si="89"/>
        <v>0.84303190610018186</v>
      </c>
      <c r="P196" s="87">
        <f t="shared" si="90"/>
        <v>39.711876343197225</v>
      </c>
      <c r="Q196" s="85">
        <f t="shared" si="91"/>
        <v>47.106018237082068</v>
      </c>
      <c r="R196" s="87">
        <f>N196*$T194</f>
        <v>4691540</v>
      </c>
      <c r="S196" s="86">
        <f t="shared" si="92"/>
        <v>9.7652065959989365</v>
      </c>
      <c r="T196" s="2272"/>
      <c r="U196" s="24">
        <v>1139</v>
      </c>
      <c r="V196" s="85">
        <v>1007</v>
      </c>
      <c r="W196" s="22">
        <f t="shared" si="93"/>
        <v>0.884108867427568</v>
      </c>
      <c r="X196" s="21">
        <f t="shared" si="94"/>
        <v>421.80358208955226</v>
      </c>
      <c r="Y196" s="84">
        <f t="shared" si="95"/>
        <v>477.09461767626618</v>
      </c>
      <c r="Z196" s="19">
        <f t="shared" si="96"/>
        <v>352450</v>
      </c>
      <c r="AA196" s="18">
        <f t="shared" si="97"/>
        <v>0.73360710230752058</v>
      </c>
      <c r="AB196" s="17">
        <v>350</v>
      </c>
    </row>
    <row r="197" spans="2:28" ht="16.5">
      <c r="B197" s="2270"/>
      <c r="C197" s="97" t="s">
        <v>866</v>
      </c>
      <c r="D197" s="96" t="s">
        <v>33</v>
      </c>
      <c r="E197" s="95">
        <f>F197+G197</f>
        <v>685550.61</v>
      </c>
      <c r="F197" s="94">
        <v>337464.61</v>
      </c>
      <c r="G197" s="93">
        <v>348086</v>
      </c>
      <c r="H197" s="92">
        <v>625319</v>
      </c>
      <c r="I197" s="91">
        <f t="shared" si="86"/>
        <v>1.0963214135505237</v>
      </c>
      <c r="J197" s="98">
        <v>27852</v>
      </c>
      <c r="K197" s="22">
        <f t="shared" si="87"/>
        <v>4.4540466545874985E-2</v>
      </c>
      <c r="L197" s="22">
        <f t="shared" si="88"/>
        <v>0.12868016659485854</v>
      </c>
      <c r="M197" s="87">
        <v>3584</v>
      </c>
      <c r="N197" s="89">
        <v>2775</v>
      </c>
      <c r="O197" s="88">
        <f t="shared" si="89"/>
        <v>0.7742745535714286</v>
      </c>
      <c r="P197" s="87">
        <f t="shared" si="90"/>
        <v>191.28086216517858</v>
      </c>
      <c r="Q197" s="85">
        <f t="shared" si="91"/>
        <v>247.04526486486486</v>
      </c>
      <c r="R197" s="87">
        <f>N197*$T194</f>
        <v>1276500</v>
      </c>
      <c r="S197" s="86">
        <f t="shared" si="92"/>
        <v>1.8620069494212834</v>
      </c>
      <c r="T197" s="2272"/>
      <c r="U197" s="24">
        <v>236</v>
      </c>
      <c r="V197" s="85">
        <v>125</v>
      </c>
      <c r="W197" s="22">
        <f t="shared" si="93"/>
        <v>0.52966101694915257</v>
      </c>
      <c r="X197" s="21">
        <f t="shared" si="94"/>
        <v>2904.8754661016947</v>
      </c>
      <c r="Y197" s="84">
        <f t="shared" si="95"/>
        <v>5484.40488</v>
      </c>
      <c r="Z197" s="19">
        <f t="shared" si="96"/>
        <v>50000</v>
      </c>
      <c r="AA197" s="18">
        <f t="shared" si="97"/>
        <v>7.2934075574668369E-2</v>
      </c>
      <c r="AB197" s="17">
        <v>400</v>
      </c>
    </row>
    <row r="198" spans="2:28" ht="16.5">
      <c r="B198" s="2270"/>
      <c r="C198" s="137" t="s">
        <v>37</v>
      </c>
      <c r="D198" s="137"/>
      <c r="E198" s="136">
        <f>SUM(E194:E197)</f>
        <v>3697945.36</v>
      </c>
      <c r="F198" s="135">
        <f>SUM(F194:F197)</f>
        <v>2172117.36</v>
      </c>
      <c r="G198" s="134">
        <f>SUM(G194:G197)</f>
        <v>1525828</v>
      </c>
      <c r="H198" s="130">
        <f>SUM(H194:H197)</f>
        <v>1653698</v>
      </c>
      <c r="I198" s="133">
        <f t="shared" si="86"/>
        <v>2.2361672808457165</v>
      </c>
      <c r="J198" s="130">
        <f>SUM(J194:J197)</f>
        <v>188399</v>
      </c>
      <c r="K198" s="132">
        <f t="shared" si="87"/>
        <v>0.11392588005790659</v>
      </c>
      <c r="L198" s="132">
        <f t="shared" si="88"/>
        <v>0.15725667333690732</v>
      </c>
      <c r="M198" s="130">
        <f>SUM(M194:M197)</f>
        <v>29627</v>
      </c>
      <c r="N198" s="130">
        <f>SUM(N194:N197)</f>
        <v>24139</v>
      </c>
      <c r="O198" s="132">
        <f t="shared" si="89"/>
        <v>0.81476356026597363</v>
      </c>
      <c r="P198" s="131">
        <f t="shared" si="90"/>
        <v>124.81673338508793</v>
      </c>
      <c r="Q198" s="131">
        <f t="shared" si="91"/>
        <v>153.19380918845022</v>
      </c>
      <c r="R198" s="130">
        <f>N198*$T194</f>
        <v>11103940</v>
      </c>
      <c r="S198" s="129">
        <f t="shared" si="92"/>
        <v>3.0027323064611209</v>
      </c>
      <c r="T198" s="128"/>
      <c r="U198" s="127">
        <f>SUM(U194:U197)</f>
        <v>2326</v>
      </c>
      <c r="V198" s="124">
        <f>SUM(V194:V197)</f>
        <v>1898</v>
      </c>
      <c r="W198" s="126">
        <f t="shared" si="93"/>
        <v>0.81599312123817713</v>
      </c>
      <c r="X198" s="125">
        <f t="shared" si="94"/>
        <v>1589.8303353396389</v>
      </c>
      <c r="Y198" s="125">
        <f t="shared" si="95"/>
        <v>1948.337913593256</v>
      </c>
      <c r="Z198" s="124">
        <f t="shared" si="96"/>
        <v>873080</v>
      </c>
      <c r="AA198" s="123">
        <f t="shared" si="97"/>
        <v>0.23609867507615095</v>
      </c>
      <c r="AB198" s="122">
        <f>T194</f>
        <v>460</v>
      </c>
    </row>
    <row r="199" spans="2:28" ht="16.5">
      <c r="B199" s="2271"/>
      <c r="C199" s="83" t="s">
        <v>36</v>
      </c>
      <c r="D199" s="83"/>
      <c r="E199" s="121">
        <f>SUM(E194:E197)</f>
        <v>3697945.36</v>
      </c>
      <c r="F199" s="120">
        <f>SUM(F194:F197)</f>
        <v>2172117.36</v>
      </c>
      <c r="G199" s="119">
        <f>SUM(G194:G197)</f>
        <v>1525828</v>
      </c>
      <c r="H199" s="76">
        <v>1605795</v>
      </c>
      <c r="I199" s="79">
        <f t="shared" si="86"/>
        <v>2.3028751241596841</v>
      </c>
      <c r="J199" s="76">
        <v>174026</v>
      </c>
      <c r="K199" s="78">
        <f t="shared" si="87"/>
        <v>0.10837373388259398</v>
      </c>
      <c r="L199" s="78">
        <f t="shared" si="88"/>
        <v>0.15286221599071403</v>
      </c>
      <c r="M199" s="76">
        <v>26602</v>
      </c>
      <c r="N199" s="76">
        <v>21784</v>
      </c>
      <c r="O199" s="78">
        <f t="shared" si="89"/>
        <v>0.81888579806029627</v>
      </c>
      <c r="P199" s="77">
        <f t="shared" si="90"/>
        <v>139.01005037215248</v>
      </c>
      <c r="Q199" s="77">
        <f t="shared" si="91"/>
        <v>169.7551120088138</v>
      </c>
      <c r="R199" s="76">
        <f>N199*$T194</f>
        <v>10020640</v>
      </c>
      <c r="S199" s="118">
        <f t="shared" si="92"/>
        <v>2.7097858471332308</v>
      </c>
      <c r="T199" s="74"/>
      <c r="U199" s="117">
        <v>3189</v>
      </c>
      <c r="V199" s="76">
        <v>2603</v>
      </c>
      <c r="W199" s="78">
        <f t="shared" si="93"/>
        <v>0.81624333646911262</v>
      </c>
      <c r="X199" s="116">
        <f t="shared" si="94"/>
        <v>1159.5940294763247</v>
      </c>
      <c r="Y199" s="116">
        <f t="shared" si="95"/>
        <v>1420.6474683058009</v>
      </c>
      <c r="Z199" s="76">
        <f t="shared" si="96"/>
        <v>1197380</v>
      </c>
      <c r="AA199" s="115">
        <f t="shared" si="97"/>
        <v>0.32379602277303526</v>
      </c>
      <c r="AB199" s="114">
        <v>460</v>
      </c>
    </row>
    <row r="200" spans="2:28" ht="16.5">
      <c r="B200" s="113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</row>
    <row r="201" spans="2:28" ht="16.5">
      <c r="B201" s="113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</row>
    <row r="202" spans="2:28" ht="16.5"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</row>
    <row r="203" spans="2:28" ht="16.5">
      <c r="B203" s="66" t="s">
        <v>35</v>
      </c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</row>
    <row r="204" spans="2:28" ht="16.5">
      <c r="B204" s="2280" t="s">
        <v>32</v>
      </c>
      <c r="C204" s="2281" t="s">
        <v>31</v>
      </c>
      <c r="D204" s="2281" t="s">
        <v>30</v>
      </c>
      <c r="E204" s="2283" t="s">
        <v>29</v>
      </c>
      <c r="F204" s="2283"/>
      <c r="G204" s="2283"/>
      <c r="H204" s="2268" t="s">
        <v>28</v>
      </c>
      <c r="I204" s="2268"/>
      <c r="J204" s="2268"/>
      <c r="K204" s="2268"/>
      <c r="L204" s="2268"/>
      <c r="M204" s="2268"/>
      <c r="N204" s="2268"/>
      <c r="O204" s="2268"/>
      <c r="P204" s="2268"/>
      <c r="Q204" s="2268"/>
      <c r="R204" s="2268"/>
      <c r="S204" s="2268"/>
      <c r="T204" s="2268"/>
      <c r="U204" s="2268" t="s">
        <v>27</v>
      </c>
      <c r="V204" s="2268"/>
      <c r="W204" s="2268"/>
      <c r="X204" s="2268"/>
      <c r="Y204" s="2268"/>
      <c r="Z204" s="2268"/>
      <c r="AA204" s="2268"/>
      <c r="AB204" s="2269"/>
    </row>
    <row r="205" spans="2:28" ht="66">
      <c r="B205" s="2280"/>
      <c r="C205" s="2282"/>
      <c r="D205" s="2282"/>
      <c r="E205" s="112" t="s">
        <v>26</v>
      </c>
      <c r="F205" s="111" t="s">
        <v>25</v>
      </c>
      <c r="G205" s="110" t="s">
        <v>24</v>
      </c>
      <c r="H205" s="107" t="s">
        <v>23</v>
      </c>
      <c r="I205" s="108" t="s">
        <v>22</v>
      </c>
      <c r="J205" s="111" t="s">
        <v>21</v>
      </c>
      <c r="K205" s="108" t="s">
        <v>20</v>
      </c>
      <c r="L205" s="108" t="s">
        <v>19</v>
      </c>
      <c r="M205" s="107" t="s">
        <v>18</v>
      </c>
      <c r="N205" s="108" t="s">
        <v>17</v>
      </c>
      <c r="O205" s="108" t="s">
        <v>16</v>
      </c>
      <c r="P205" s="108" t="s">
        <v>15</v>
      </c>
      <c r="Q205" s="108" t="s">
        <v>14</v>
      </c>
      <c r="R205" s="108" t="s">
        <v>13</v>
      </c>
      <c r="S205" s="108" t="s">
        <v>12</v>
      </c>
      <c r="T205" s="110" t="s">
        <v>11</v>
      </c>
      <c r="U205" s="109" t="s">
        <v>10</v>
      </c>
      <c r="V205" s="108" t="s">
        <v>9</v>
      </c>
      <c r="W205" s="107" t="s">
        <v>8</v>
      </c>
      <c r="X205" s="107" t="s">
        <v>7</v>
      </c>
      <c r="Y205" s="107" t="s">
        <v>6</v>
      </c>
      <c r="Z205" s="107" t="s">
        <v>5</v>
      </c>
      <c r="AA205" s="107" t="s">
        <v>4</v>
      </c>
      <c r="AB205" s="106" t="s">
        <v>3</v>
      </c>
    </row>
    <row r="206" spans="2:28" ht="16.5">
      <c r="B206" s="2270" t="s">
        <v>34</v>
      </c>
      <c r="C206" s="97" t="s">
        <v>872</v>
      </c>
      <c r="D206" s="96" t="s">
        <v>33</v>
      </c>
      <c r="E206" s="105">
        <f>F206+G206</f>
        <v>1360063.91</v>
      </c>
      <c r="F206" s="94">
        <v>1166573.6299999999</v>
      </c>
      <c r="G206" s="104">
        <v>193490.28</v>
      </c>
      <c r="H206" s="92">
        <v>331895</v>
      </c>
      <c r="I206" s="103">
        <f>E206/H206</f>
        <v>4.0978740565540308</v>
      </c>
      <c r="J206" s="100">
        <v>57970</v>
      </c>
      <c r="K206" s="45">
        <f>J206/H206</f>
        <v>0.17466367375224093</v>
      </c>
      <c r="L206" s="45">
        <f>M206/J206</f>
        <v>0.15156115232016559</v>
      </c>
      <c r="M206" s="87">
        <v>8786</v>
      </c>
      <c r="N206" s="102">
        <v>7009</v>
      </c>
      <c r="O206" s="101">
        <f>N206/M206</f>
        <v>0.79774641475073982</v>
      </c>
      <c r="P206" s="87">
        <f>E206/M206</f>
        <v>154.79898816298655</v>
      </c>
      <c r="Q206" s="100">
        <f>E206/N206</f>
        <v>194.04535739763159</v>
      </c>
      <c r="R206" s="87">
        <f>N206*$T206</f>
        <v>3224140</v>
      </c>
      <c r="S206" s="86">
        <f>R206/E206</f>
        <v>2.3705797766518195</v>
      </c>
      <c r="T206" s="2272">
        <v>460</v>
      </c>
      <c r="U206" s="47">
        <v>441</v>
      </c>
      <c r="V206" s="100">
        <v>350</v>
      </c>
      <c r="W206" s="45">
        <f>V206/U206</f>
        <v>0.79365079365079361</v>
      </c>
      <c r="X206" s="44">
        <f>E206/U206</f>
        <v>3084.0451473922899</v>
      </c>
      <c r="Y206" s="99">
        <f>E206/V206</f>
        <v>3885.8968857142854</v>
      </c>
      <c r="Z206" s="42">
        <f>V206*AB206</f>
        <v>245000</v>
      </c>
      <c r="AA206" s="41">
        <f>Z206/E206</f>
        <v>0.18013859363417709</v>
      </c>
      <c r="AB206" s="40">
        <v>700</v>
      </c>
    </row>
    <row r="207" spans="2:28" ht="16.5">
      <c r="B207" s="2270"/>
      <c r="C207" s="97" t="s">
        <v>873</v>
      </c>
      <c r="D207" s="96" t="s">
        <v>33</v>
      </c>
      <c r="E207" s="95">
        <f>F207+G207</f>
        <v>77855.28</v>
      </c>
      <c r="F207" s="94">
        <v>72575.28</v>
      </c>
      <c r="G207" s="93">
        <v>5280</v>
      </c>
      <c r="H207" s="92">
        <v>20971</v>
      </c>
      <c r="I207" s="91">
        <f>E207/H207</f>
        <v>3.7125211005674501</v>
      </c>
      <c r="J207" s="85">
        <v>4109</v>
      </c>
      <c r="K207" s="22">
        <f>J207/H207</f>
        <v>0.19593724667397835</v>
      </c>
      <c r="L207" s="22">
        <f>M207/J207</f>
        <v>9.4183499634947682E-2</v>
      </c>
      <c r="M207" s="87">
        <v>387</v>
      </c>
      <c r="N207" s="89">
        <v>262</v>
      </c>
      <c r="O207" s="88">
        <f>N207/M207</f>
        <v>0.67700258397932822</v>
      </c>
      <c r="P207" s="87">
        <f>E207/M207</f>
        <v>201.17643410852713</v>
      </c>
      <c r="Q207" s="85">
        <f>E207/N207</f>
        <v>297.15755725190837</v>
      </c>
      <c r="R207" s="87">
        <f>N207*$T206</f>
        <v>120520</v>
      </c>
      <c r="S207" s="86">
        <f>R207/E207</f>
        <v>1.5480003411457772</v>
      </c>
      <c r="T207" s="2272"/>
      <c r="U207" s="24">
        <v>22</v>
      </c>
      <c r="V207" s="85">
        <v>16</v>
      </c>
      <c r="W207" s="22">
        <f>V207/U207</f>
        <v>0.72727272727272729</v>
      </c>
      <c r="X207" s="21">
        <f>E207/U207</f>
        <v>3538.8763636363637</v>
      </c>
      <c r="Y207" s="84">
        <f>E207/V207</f>
        <v>4865.9549999999999</v>
      </c>
      <c r="Z207" s="19">
        <f>V207*AB207</f>
        <v>8000</v>
      </c>
      <c r="AA207" s="18">
        <f>Z207/E207</f>
        <v>0.10275475215040007</v>
      </c>
      <c r="AB207" s="17">
        <v>500</v>
      </c>
    </row>
    <row r="208" spans="2:28" ht="16.5">
      <c r="B208" s="2270"/>
      <c r="C208" s="97" t="s">
        <v>874</v>
      </c>
      <c r="D208" s="96" t="s">
        <v>33</v>
      </c>
      <c r="E208" s="95">
        <f>F208+G208</f>
        <v>386373.67</v>
      </c>
      <c r="F208" s="94">
        <v>285623.67</v>
      </c>
      <c r="G208" s="93">
        <v>100750</v>
      </c>
      <c r="H208" s="92">
        <v>303990</v>
      </c>
      <c r="I208" s="91">
        <f>E208/H208</f>
        <v>1.2710078292049081</v>
      </c>
      <c r="J208" s="98">
        <v>45336</v>
      </c>
      <c r="K208" s="22">
        <f>J208/H208</f>
        <v>0.14913648475278793</v>
      </c>
      <c r="L208" s="22">
        <f>M208/J208</f>
        <v>0.13598464796188459</v>
      </c>
      <c r="M208" s="87">
        <v>6165</v>
      </c>
      <c r="N208" s="89">
        <v>5232</v>
      </c>
      <c r="O208" s="88">
        <f>N208/M208</f>
        <v>0.84866180048661799</v>
      </c>
      <c r="P208" s="87">
        <f>E208/M208</f>
        <v>62.672128142741279</v>
      </c>
      <c r="Q208" s="85">
        <f>E208/N208</f>
        <v>73.848178516819573</v>
      </c>
      <c r="R208" s="87">
        <f>N208*$T206</f>
        <v>2406720</v>
      </c>
      <c r="S208" s="86">
        <f>R208/E208</f>
        <v>6.2289958836998389</v>
      </c>
      <c r="T208" s="2272"/>
      <c r="U208" s="24">
        <v>433</v>
      </c>
      <c r="V208" s="85">
        <v>379</v>
      </c>
      <c r="W208" s="22">
        <f>V208/U208</f>
        <v>0.87528868360277134</v>
      </c>
      <c r="X208" s="21">
        <f>E208/U208</f>
        <v>892.31794457274827</v>
      </c>
      <c r="Y208" s="84">
        <f>E208/V208</f>
        <v>1019.4555936675462</v>
      </c>
      <c r="Z208" s="19">
        <f>V208*AB208</f>
        <v>132650</v>
      </c>
      <c r="AA208" s="18">
        <f>Z208/E208</f>
        <v>0.34332049593337977</v>
      </c>
      <c r="AB208" s="17">
        <v>350</v>
      </c>
    </row>
    <row r="209" spans="2:28" ht="16.5">
      <c r="B209" s="2270"/>
      <c r="C209" s="97" t="s">
        <v>866</v>
      </c>
      <c r="D209" s="96" t="s">
        <v>33</v>
      </c>
      <c r="E209" s="95">
        <f>F209+G209</f>
        <v>628855.81000000006</v>
      </c>
      <c r="F209" s="94">
        <v>280769.81</v>
      </c>
      <c r="G209" s="93">
        <v>348086</v>
      </c>
      <c r="H209" s="92">
        <v>471829</v>
      </c>
      <c r="I209" s="91">
        <f>E209/H209</f>
        <v>1.3328044906099457</v>
      </c>
      <c r="J209" s="90">
        <v>16939</v>
      </c>
      <c r="K209" s="22">
        <f>J209/H209</f>
        <v>3.5900718268694801E-2</v>
      </c>
      <c r="L209" s="22">
        <f>M209/J209</f>
        <v>0.1164767695849814</v>
      </c>
      <c r="M209" s="87">
        <v>1973</v>
      </c>
      <c r="N209" s="89">
        <v>1517</v>
      </c>
      <c r="O209" s="88">
        <f>N209/M209</f>
        <v>0.76887987835783067</v>
      </c>
      <c r="P209" s="87">
        <f>E209/M209</f>
        <v>318.7307704004055</v>
      </c>
      <c r="Q209" s="85">
        <f>E209/N209</f>
        <v>414.53909690177989</v>
      </c>
      <c r="R209" s="87">
        <f>N209*$T206</f>
        <v>697820</v>
      </c>
      <c r="S209" s="86">
        <f>R209/E209</f>
        <v>1.1096661411142881</v>
      </c>
      <c r="T209" s="2272"/>
      <c r="U209" s="24">
        <v>87</v>
      </c>
      <c r="V209" s="85">
        <v>57</v>
      </c>
      <c r="W209" s="22">
        <f>V209/U209</f>
        <v>0.65517241379310343</v>
      </c>
      <c r="X209" s="21">
        <f>E209/U209</f>
        <v>7228.2277011494261</v>
      </c>
      <c r="Y209" s="84">
        <f>E209/V209</f>
        <v>11032.558070175439</v>
      </c>
      <c r="Z209" s="19">
        <f>V209*AB209</f>
        <v>22800</v>
      </c>
      <c r="AA209" s="18">
        <f>Z209/E209</f>
        <v>3.6256324005339152E-2</v>
      </c>
      <c r="AB209" s="17">
        <v>400</v>
      </c>
    </row>
    <row r="210" spans="2:28" ht="16.5">
      <c r="B210" s="2271"/>
      <c r="C210" s="83" t="s">
        <v>0</v>
      </c>
      <c r="D210" s="83"/>
      <c r="E210" s="82">
        <f>F210+G210</f>
        <v>2453148.67</v>
      </c>
      <c r="F210" s="81">
        <f>SUM(F206:F209)</f>
        <v>1805542.39</v>
      </c>
      <c r="G210" s="80">
        <f>SUM(G206:G209)</f>
        <v>647606.28</v>
      </c>
      <c r="H210" s="76">
        <f>SUM(H206:H209)</f>
        <v>1128685</v>
      </c>
      <c r="I210" s="79">
        <f>E210/H210</f>
        <v>2.1734573153714276</v>
      </c>
      <c r="J210" s="76">
        <f>SUM(J206:J209)</f>
        <v>124354</v>
      </c>
      <c r="K210" s="78">
        <f>J210/H210</f>
        <v>0.11017600127582097</v>
      </c>
      <c r="L210" s="78">
        <f>M210/J210</f>
        <v>0.13920742396706179</v>
      </c>
      <c r="M210" s="76">
        <f>SUM(M206:M209)</f>
        <v>17311</v>
      </c>
      <c r="N210" s="76">
        <f>SUM(N206:N209)</f>
        <v>14020</v>
      </c>
      <c r="O210" s="78">
        <f>N210/M210</f>
        <v>0.8098896655305875</v>
      </c>
      <c r="P210" s="77">
        <f>E210/M210</f>
        <v>141.71039627982208</v>
      </c>
      <c r="Q210" s="77">
        <f>E210/N210</f>
        <v>174.97494079885877</v>
      </c>
      <c r="R210" s="76">
        <f>N210*$T206</f>
        <v>6449200</v>
      </c>
      <c r="S210" s="75">
        <f>R210/E210</f>
        <v>2.6289478819072145</v>
      </c>
      <c r="T210" s="74"/>
      <c r="U210" s="73">
        <f>SUM(U206:U209)</f>
        <v>983</v>
      </c>
      <c r="V210" s="70">
        <f>SUM(V206:V209)</f>
        <v>802</v>
      </c>
      <c r="W210" s="72">
        <f>V210/U210</f>
        <v>0.81586978636826046</v>
      </c>
      <c r="X210" s="71">
        <f>E210/U210</f>
        <v>2495.5734181078333</v>
      </c>
      <c r="Y210" s="71">
        <f>E210/V210</f>
        <v>3058.7888653366581</v>
      </c>
      <c r="Z210" s="70">
        <f>V210*AB210</f>
        <v>368920</v>
      </c>
      <c r="AA210" s="69">
        <f>Z210/E210</f>
        <v>0.15038631963549115</v>
      </c>
      <c r="AB210" s="68">
        <f>T206</f>
        <v>460</v>
      </c>
    </row>
    <row r="211" spans="2:28" ht="16.5"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</row>
    <row r="212" spans="2:28" ht="16.5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</row>
    <row r="213" spans="2:28" ht="16.5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</row>
    <row r="214" spans="2:28" ht="16.5">
      <c r="B214" s="66" t="s">
        <v>2</v>
      </c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</row>
    <row r="215" spans="2:28" ht="16.5">
      <c r="B215" s="2273" t="s">
        <v>32</v>
      </c>
      <c r="C215" s="2274" t="s">
        <v>31</v>
      </c>
      <c r="D215" s="2274" t="s">
        <v>30</v>
      </c>
      <c r="E215" s="2276" t="s">
        <v>29</v>
      </c>
      <c r="F215" s="2276"/>
      <c r="G215" s="2276"/>
      <c r="H215" s="2277" t="s">
        <v>28</v>
      </c>
      <c r="I215" s="2277"/>
      <c r="J215" s="2277"/>
      <c r="K215" s="2277"/>
      <c r="L215" s="2277"/>
      <c r="M215" s="2277"/>
      <c r="N215" s="2277"/>
      <c r="O215" s="2277"/>
      <c r="P215" s="2277"/>
      <c r="Q215" s="2277"/>
      <c r="R215" s="2277"/>
      <c r="S215" s="2277"/>
      <c r="T215" s="2277"/>
      <c r="U215" s="2277" t="s">
        <v>27</v>
      </c>
      <c r="V215" s="2277"/>
      <c r="W215" s="2277"/>
      <c r="X215" s="2277"/>
      <c r="Y215" s="2277"/>
      <c r="Z215" s="2277"/>
      <c r="AA215" s="2277"/>
      <c r="AB215" s="2278"/>
    </row>
    <row r="216" spans="2:28" ht="66">
      <c r="B216" s="2273"/>
      <c r="C216" s="2275"/>
      <c r="D216" s="2275"/>
      <c r="E216" s="64" t="s">
        <v>26</v>
      </c>
      <c r="F216" s="63" t="s">
        <v>25</v>
      </c>
      <c r="G216" s="60" t="s">
        <v>24</v>
      </c>
      <c r="H216" s="62" t="s">
        <v>23</v>
      </c>
      <c r="I216" s="61" t="s">
        <v>22</v>
      </c>
      <c r="J216" s="63" t="s">
        <v>21</v>
      </c>
      <c r="K216" s="61" t="s">
        <v>20</v>
      </c>
      <c r="L216" s="61" t="s">
        <v>19</v>
      </c>
      <c r="M216" s="62" t="s">
        <v>18</v>
      </c>
      <c r="N216" s="61" t="s">
        <v>17</v>
      </c>
      <c r="O216" s="61" t="s">
        <v>16</v>
      </c>
      <c r="P216" s="58" t="s">
        <v>15</v>
      </c>
      <c r="Q216" s="61" t="s">
        <v>14</v>
      </c>
      <c r="R216" s="61" t="s">
        <v>13</v>
      </c>
      <c r="S216" s="61" t="s">
        <v>12</v>
      </c>
      <c r="T216" s="60" t="s">
        <v>11</v>
      </c>
      <c r="U216" s="59" t="s">
        <v>10</v>
      </c>
      <c r="V216" s="58" t="s">
        <v>9</v>
      </c>
      <c r="W216" s="57" t="s">
        <v>8</v>
      </c>
      <c r="X216" s="57" t="s">
        <v>7</v>
      </c>
      <c r="Y216" s="57" t="s">
        <v>6</v>
      </c>
      <c r="Z216" s="57" t="s">
        <v>5</v>
      </c>
      <c r="AA216" s="57" t="s">
        <v>4</v>
      </c>
      <c r="AB216" s="56" t="s">
        <v>3</v>
      </c>
    </row>
    <row r="217" spans="2:28" ht="16.5">
      <c r="B217" s="2265" t="s">
        <v>2</v>
      </c>
      <c r="C217" s="37" t="s">
        <v>872</v>
      </c>
      <c r="D217" s="36" t="s">
        <v>1</v>
      </c>
      <c r="E217" s="55">
        <f>F217+G217</f>
        <v>783870.28</v>
      </c>
      <c r="F217" s="54">
        <v>590380</v>
      </c>
      <c r="G217" s="53">
        <v>193490.28</v>
      </c>
      <c r="H217" s="32">
        <v>219062</v>
      </c>
      <c r="I217" s="52">
        <f>E217/H217</f>
        <v>3.5783033113912959</v>
      </c>
      <c r="J217" s="51">
        <v>16306</v>
      </c>
      <c r="K217" s="50">
        <f>J217/H217</f>
        <v>7.4435547927070869E-2</v>
      </c>
      <c r="L217" s="50">
        <f>M217/J217</f>
        <v>0</v>
      </c>
      <c r="M217" s="26"/>
      <c r="N217" s="49"/>
      <c r="O217" s="48" t="e">
        <f>N217/M217</f>
        <v>#DIV/0!</v>
      </c>
      <c r="P217" s="26" t="e">
        <f>E217/M217</f>
        <v>#DIV/0!</v>
      </c>
      <c r="Q217" s="46" t="e">
        <f>E217/N217</f>
        <v>#DIV/0!</v>
      </c>
      <c r="R217" s="26">
        <f>N217*$T217</f>
        <v>0</v>
      </c>
      <c r="S217" s="25">
        <f>R217/E217</f>
        <v>0</v>
      </c>
      <c r="T217" s="2267">
        <v>600</v>
      </c>
      <c r="U217" s="47"/>
      <c r="V217" s="46"/>
      <c r="W217" s="45" t="e">
        <f>V217/U217</f>
        <v>#DIV/0!</v>
      </c>
      <c r="X217" s="44" t="e">
        <f>E217/U217</f>
        <v>#DIV/0!</v>
      </c>
      <c r="Y217" s="43" t="e">
        <f>E217/V217</f>
        <v>#DIV/0!</v>
      </c>
      <c r="Z217" s="42">
        <f>V217*AB217</f>
        <v>0</v>
      </c>
      <c r="AA217" s="41">
        <f>Z217/E217</f>
        <v>0</v>
      </c>
      <c r="AB217" s="40">
        <v>600</v>
      </c>
    </row>
    <row r="218" spans="2:28" ht="16.5">
      <c r="B218" s="2265"/>
      <c r="C218" s="37" t="s">
        <v>873</v>
      </c>
      <c r="D218" s="36" t="s">
        <v>1</v>
      </c>
      <c r="E218" s="35">
        <f>F218+G218</f>
        <v>145731.04</v>
      </c>
      <c r="F218" s="34">
        <v>140451.04</v>
      </c>
      <c r="G218" s="33">
        <v>5280</v>
      </c>
      <c r="H218" s="32">
        <v>17340</v>
      </c>
      <c r="I218" s="31">
        <f>E218/H218</f>
        <v>8.4043275663206458</v>
      </c>
      <c r="J218" s="39">
        <v>2170</v>
      </c>
      <c r="K218" s="29">
        <f>J218/H218</f>
        <v>0.12514417531718569</v>
      </c>
      <c r="L218" s="29">
        <f>M218/J218</f>
        <v>0</v>
      </c>
      <c r="M218" s="26"/>
      <c r="N218" s="28"/>
      <c r="O218" s="27" t="e">
        <f>N218/M218</f>
        <v>#DIV/0!</v>
      </c>
      <c r="P218" s="26" t="e">
        <f>E218/M218</f>
        <v>#DIV/0!</v>
      </c>
      <c r="Q218" s="23" t="e">
        <f>E218/N218</f>
        <v>#DIV/0!</v>
      </c>
      <c r="R218" s="26">
        <f>N218*$T217</f>
        <v>0</v>
      </c>
      <c r="S218" s="25">
        <f>R218/E218</f>
        <v>0</v>
      </c>
      <c r="T218" s="2267"/>
      <c r="U218" s="24"/>
      <c r="V218" s="23"/>
      <c r="W218" s="22" t="e">
        <f>V218/U218</f>
        <v>#DIV/0!</v>
      </c>
      <c r="X218" s="21" t="e">
        <f>E218/U218</f>
        <v>#DIV/0!</v>
      </c>
      <c r="Y218" s="20" t="e">
        <f>E218/V218</f>
        <v>#DIV/0!</v>
      </c>
      <c r="Z218" s="19">
        <f>V218*AB218</f>
        <v>0</v>
      </c>
      <c r="AA218" s="18">
        <f>Z218/E218</f>
        <v>0</v>
      </c>
      <c r="AB218" s="17">
        <v>500</v>
      </c>
    </row>
    <row r="219" spans="2:28" ht="16.5">
      <c r="B219" s="2265"/>
      <c r="C219" s="37" t="s">
        <v>874</v>
      </c>
      <c r="D219" s="36" t="s">
        <v>1</v>
      </c>
      <c r="E219" s="35">
        <f>F219+G219</f>
        <v>422151</v>
      </c>
      <c r="F219" s="34">
        <v>321401</v>
      </c>
      <c r="G219" s="33">
        <v>100750</v>
      </c>
      <c r="H219" s="32">
        <v>55989</v>
      </c>
      <c r="I219" s="31">
        <f>E219/H219</f>
        <v>7.5398917644537322</v>
      </c>
      <c r="J219" s="38">
        <v>9586</v>
      </c>
      <c r="K219" s="29">
        <f>J219/H219</f>
        <v>0.17121220239689938</v>
      </c>
      <c r="L219" s="29">
        <f>M219/J219</f>
        <v>0</v>
      </c>
      <c r="M219" s="26"/>
      <c r="N219" s="28"/>
      <c r="O219" s="27" t="e">
        <f>N219/M219</f>
        <v>#DIV/0!</v>
      </c>
      <c r="P219" s="26" t="e">
        <f>E219/M219</f>
        <v>#DIV/0!</v>
      </c>
      <c r="Q219" s="23" t="e">
        <f>E219/N219</f>
        <v>#DIV/0!</v>
      </c>
      <c r="R219" s="26">
        <f>N219*$T218</f>
        <v>0</v>
      </c>
      <c r="S219" s="25">
        <f>R219/E219</f>
        <v>0</v>
      </c>
      <c r="T219" s="2267"/>
      <c r="U219" s="24"/>
      <c r="V219" s="23"/>
      <c r="W219" s="22" t="e">
        <f>V219/U219</f>
        <v>#DIV/0!</v>
      </c>
      <c r="X219" s="21" t="e">
        <f>E219/U219</f>
        <v>#DIV/0!</v>
      </c>
      <c r="Y219" s="20" t="e">
        <f>E219/V219</f>
        <v>#DIV/0!</v>
      </c>
      <c r="Z219" s="19">
        <f>V219*AB219</f>
        <v>0</v>
      </c>
      <c r="AA219" s="18">
        <f>Z219/E219</f>
        <v>0</v>
      </c>
      <c r="AB219" s="17">
        <v>300</v>
      </c>
    </row>
    <row r="220" spans="2:28" ht="16.5">
      <c r="B220" s="2265"/>
      <c r="C220" s="37" t="s">
        <v>866</v>
      </c>
      <c r="D220" s="36" t="s">
        <v>1</v>
      </c>
      <c r="E220" s="35">
        <f>F220+G220</f>
        <v>434785</v>
      </c>
      <c r="F220" s="34">
        <v>86699</v>
      </c>
      <c r="G220" s="33">
        <v>348086</v>
      </c>
      <c r="H220" s="32">
        <v>227935</v>
      </c>
      <c r="I220" s="31">
        <f>E220/H220</f>
        <v>1.9074955579441508</v>
      </c>
      <c r="J220" s="30">
        <v>5270</v>
      </c>
      <c r="K220" s="29">
        <f>J220/H220</f>
        <v>2.3120626494395332E-2</v>
      </c>
      <c r="L220" s="29">
        <f>M220/J220</f>
        <v>0</v>
      </c>
      <c r="M220" s="26"/>
      <c r="N220" s="28"/>
      <c r="O220" s="27" t="e">
        <f>N220/M220</f>
        <v>#DIV/0!</v>
      </c>
      <c r="P220" s="26" t="e">
        <f>E220/M220</f>
        <v>#DIV/0!</v>
      </c>
      <c r="Q220" s="23" t="e">
        <f>E220/N220</f>
        <v>#DIV/0!</v>
      </c>
      <c r="R220" s="26">
        <f>N220*$T217</f>
        <v>0</v>
      </c>
      <c r="S220" s="25">
        <f>R220/E220</f>
        <v>0</v>
      </c>
      <c r="T220" s="2267"/>
      <c r="U220" s="24"/>
      <c r="V220" s="23"/>
      <c r="W220" s="22" t="e">
        <f>V220/U220</f>
        <v>#DIV/0!</v>
      </c>
      <c r="X220" s="21" t="e">
        <f>E220/U220</f>
        <v>#DIV/0!</v>
      </c>
      <c r="Y220" s="20" t="e">
        <f>E220/V220</f>
        <v>#DIV/0!</v>
      </c>
      <c r="Z220" s="19">
        <f>V220*AB220</f>
        <v>0</v>
      </c>
      <c r="AA220" s="18">
        <f>Z220/E220</f>
        <v>0</v>
      </c>
      <c r="AB220" s="17">
        <v>400</v>
      </c>
    </row>
    <row r="221" spans="2:28" ht="16.5">
      <c r="B221" s="2266"/>
      <c r="C221" s="16" t="s">
        <v>0</v>
      </c>
      <c r="D221" s="16"/>
      <c r="E221" s="15">
        <f>F221+G221</f>
        <v>1786537.32</v>
      </c>
      <c r="F221" s="14">
        <f>SUM(F217:F220)</f>
        <v>1138931.04</v>
      </c>
      <c r="G221" s="13">
        <f>SUM(G217:G220)</f>
        <v>647606.28</v>
      </c>
      <c r="H221" s="9">
        <v>512092</v>
      </c>
      <c r="I221" s="12">
        <f>E221/H221</f>
        <v>3.4887038266561476</v>
      </c>
      <c r="J221" s="9">
        <f>SUM(J217:J220)</f>
        <v>33332</v>
      </c>
      <c r="K221" s="11">
        <f>J221/H221</f>
        <v>6.5089866664583704E-2</v>
      </c>
      <c r="L221" s="11">
        <f>M221/J221</f>
        <v>0</v>
      </c>
      <c r="M221" s="9">
        <f>SUM(M217:M220)</f>
        <v>0</v>
      </c>
      <c r="N221" s="9">
        <f>SUM(N217:N220)</f>
        <v>0</v>
      </c>
      <c r="O221" s="11" t="e">
        <f>N221/M221</f>
        <v>#DIV/0!</v>
      </c>
      <c r="P221" s="10" t="e">
        <f>E221/M221</f>
        <v>#DIV/0!</v>
      </c>
      <c r="Q221" s="10" t="e">
        <f>E221/N221</f>
        <v>#DIV/0!</v>
      </c>
      <c r="R221" s="9">
        <f>N221*$T217</f>
        <v>0</v>
      </c>
      <c r="S221" s="8">
        <f>R221/E221</f>
        <v>0</v>
      </c>
      <c r="T221" s="7"/>
      <c r="U221" s="6">
        <f>SUM(U217:U220)</f>
        <v>0</v>
      </c>
      <c r="V221" s="3">
        <f>SUM(V217:V220)</f>
        <v>0</v>
      </c>
      <c r="W221" s="5" t="e">
        <f>V221/U221</f>
        <v>#DIV/0!</v>
      </c>
      <c r="X221" s="4" t="e">
        <f>E221/U221</f>
        <v>#DIV/0!</v>
      </c>
      <c r="Y221" s="4" t="e">
        <f>E221/V221</f>
        <v>#DIV/0!</v>
      </c>
      <c r="Z221" s="3">
        <f>V221*AB221</f>
        <v>0</v>
      </c>
      <c r="AA221" s="2">
        <f>Z221/E221</f>
        <v>0</v>
      </c>
      <c r="AB221" s="1">
        <v>600</v>
      </c>
    </row>
  </sheetData>
  <mergeCells count="161">
    <mergeCell ref="H13:J13"/>
    <mergeCell ref="K13:W13"/>
    <mergeCell ref="X13:AE13"/>
    <mergeCell ref="W15:W17"/>
    <mergeCell ref="B18:B19"/>
    <mergeCell ref="B24:B25"/>
    <mergeCell ref="C24:C25"/>
    <mergeCell ref="D24:D25"/>
    <mergeCell ref="E24:E25"/>
    <mergeCell ref="F24:F25"/>
    <mergeCell ref="B13:B14"/>
    <mergeCell ref="C13:C14"/>
    <mergeCell ref="D13:D14"/>
    <mergeCell ref="E13:E14"/>
    <mergeCell ref="F13:F14"/>
    <mergeCell ref="G13:G14"/>
    <mergeCell ref="G24:G25"/>
    <mergeCell ref="H24:J24"/>
    <mergeCell ref="K24:W24"/>
    <mergeCell ref="X24:AE24"/>
    <mergeCell ref="B26:B27"/>
    <mergeCell ref="B32:B33"/>
    <mergeCell ref="C32:C33"/>
    <mergeCell ref="D32:D33"/>
    <mergeCell ref="E32:G32"/>
    <mergeCell ref="H32:T32"/>
    <mergeCell ref="B49:B55"/>
    <mergeCell ref="D49:D53"/>
    <mergeCell ref="T49:T52"/>
    <mergeCell ref="U32:AB32"/>
    <mergeCell ref="B34:B40"/>
    <mergeCell ref="D34:D38"/>
    <mergeCell ref="T34:T37"/>
    <mergeCell ref="B47:B48"/>
    <mergeCell ref="C47:C48"/>
    <mergeCell ref="D47:D48"/>
    <mergeCell ref="E47:G47"/>
    <mergeCell ref="H47:T47"/>
    <mergeCell ref="U47:AB47"/>
    <mergeCell ref="B78:B84"/>
    <mergeCell ref="D78:D82"/>
    <mergeCell ref="T78:T81"/>
    <mergeCell ref="B91:B92"/>
    <mergeCell ref="C91:C92"/>
    <mergeCell ref="D91:D92"/>
    <mergeCell ref="E91:G91"/>
    <mergeCell ref="H91:T91"/>
    <mergeCell ref="U61:AB61"/>
    <mergeCell ref="B63:B69"/>
    <mergeCell ref="D63:D67"/>
    <mergeCell ref="T63:T66"/>
    <mergeCell ref="B76:B77"/>
    <mergeCell ref="C76:C77"/>
    <mergeCell ref="D76:D77"/>
    <mergeCell ref="E76:G76"/>
    <mergeCell ref="H76:T76"/>
    <mergeCell ref="U76:AB76"/>
    <mergeCell ref="B61:B62"/>
    <mergeCell ref="C61:C62"/>
    <mergeCell ref="D61:D62"/>
    <mergeCell ref="E61:G61"/>
    <mergeCell ref="H61:T61"/>
    <mergeCell ref="B106:B111"/>
    <mergeCell ref="D106:D109"/>
    <mergeCell ref="T106:T109"/>
    <mergeCell ref="B116:B117"/>
    <mergeCell ref="C116:C117"/>
    <mergeCell ref="D116:D117"/>
    <mergeCell ref="E116:G116"/>
    <mergeCell ref="H116:T116"/>
    <mergeCell ref="U91:AB91"/>
    <mergeCell ref="B93:B99"/>
    <mergeCell ref="D93:D97"/>
    <mergeCell ref="T93:T96"/>
    <mergeCell ref="B104:B105"/>
    <mergeCell ref="C104:C105"/>
    <mergeCell ref="D104:D105"/>
    <mergeCell ref="E104:G104"/>
    <mergeCell ref="H104:T104"/>
    <mergeCell ref="U104:AB104"/>
    <mergeCell ref="U116:AB116"/>
    <mergeCell ref="B118:B119"/>
    <mergeCell ref="D118:D119"/>
    <mergeCell ref="T118:T121"/>
    <mergeCell ref="B122:B123"/>
    <mergeCell ref="B128:B129"/>
    <mergeCell ref="C128:C129"/>
    <mergeCell ref="D128:D129"/>
    <mergeCell ref="E128:G128"/>
    <mergeCell ref="H128:T128"/>
    <mergeCell ref="B140:B141"/>
    <mergeCell ref="T140:T142"/>
    <mergeCell ref="B143:B144"/>
    <mergeCell ref="B149:B150"/>
    <mergeCell ref="C149:C150"/>
    <mergeCell ref="D149:D150"/>
    <mergeCell ref="E149:G149"/>
    <mergeCell ref="H149:T149"/>
    <mergeCell ref="U128:AB128"/>
    <mergeCell ref="B130:B133"/>
    <mergeCell ref="D130:D131"/>
    <mergeCell ref="T130:T131"/>
    <mergeCell ref="B138:B139"/>
    <mergeCell ref="C138:C139"/>
    <mergeCell ref="D138:D139"/>
    <mergeCell ref="E138:G138"/>
    <mergeCell ref="H138:T138"/>
    <mergeCell ref="U138:AB138"/>
    <mergeCell ref="AB162:AB163"/>
    <mergeCell ref="B168:B169"/>
    <mergeCell ref="C168:C169"/>
    <mergeCell ref="D168:D169"/>
    <mergeCell ref="E168:G168"/>
    <mergeCell ref="H168:T168"/>
    <mergeCell ref="U168:AB168"/>
    <mergeCell ref="U149:AB149"/>
    <mergeCell ref="B151:B152"/>
    <mergeCell ref="T151:T153"/>
    <mergeCell ref="B153:B155"/>
    <mergeCell ref="B160:B161"/>
    <mergeCell ref="C160:C161"/>
    <mergeCell ref="D160:D161"/>
    <mergeCell ref="E160:G160"/>
    <mergeCell ref="H160:T160"/>
    <mergeCell ref="U160:AB160"/>
    <mergeCell ref="B170:B175"/>
    <mergeCell ref="T170:T173"/>
    <mergeCell ref="B180:B181"/>
    <mergeCell ref="C180:C181"/>
    <mergeCell ref="D180:D181"/>
    <mergeCell ref="E180:G180"/>
    <mergeCell ref="H180:T180"/>
    <mergeCell ref="B162:B163"/>
    <mergeCell ref="T162:T163"/>
    <mergeCell ref="B194:B199"/>
    <mergeCell ref="T194:T197"/>
    <mergeCell ref="B204:B205"/>
    <mergeCell ref="C204:C205"/>
    <mergeCell ref="D204:D205"/>
    <mergeCell ref="E204:G204"/>
    <mergeCell ref="H204:T204"/>
    <mergeCell ref="U180:AB180"/>
    <mergeCell ref="B182:B187"/>
    <mergeCell ref="T182:T185"/>
    <mergeCell ref="B192:B193"/>
    <mergeCell ref="C192:C193"/>
    <mergeCell ref="D192:D193"/>
    <mergeCell ref="E192:G192"/>
    <mergeCell ref="H192:T192"/>
    <mergeCell ref="U192:AB192"/>
    <mergeCell ref="B217:B221"/>
    <mergeCell ref="T217:T220"/>
    <mergeCell ref="U204:AB204"/>
    <mergeCell ref="B206:B210"/>
    <mergeCell ref="T206:T209"/>
    <mergeCell ref="B215:B216"/>
    <mergeCell ref="C215:C216"/>
    <mergeCell ref="D215:D216"/>
    <mergeCell ref="E215:G215"/>
    <mergeCell ref="H215:T215"/>
    <mergeCell ref="U215:AB215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2E81-23AF-E34E-8215-E45878390874}">
  <dimension ref="A2:AE171"/>
  <sheetViews>
    <sheetView showGridLines="0" workbookViewId="0">
      <selection activeCell="D21" sqref="D21:D22"/>
    </sheetView>
  </sheetViews>
  <sheetFormatPr defaultColWidth="8.6640625" defaultRowHeight="14"/>
  <cols>
    <col min="2" max="2" width="22.33203125" customWidth="1"/>
    <col min="3" max="3" width="17.6640625" customWidth="1"/>
    <col min="4" max="4" width="23.33203125" customWidth="1"/>
    <col min="5" max="5" width="23.08203125" customWidth="1"/>
    <col min="6" max="6" width="17.08203125" customWidth="1"/>
    <col min="7" max="7" width="31.4140625" customWidth="1"/>
    <col min="8" max="8" width="17" customWidth="1"/>
    <col min="9" max="9" width="13.6640625" customWidth="1"/>
    <col min="10" max="10" width="14.08203125" customWidth="1"/>
    <col min="11" max="11" width="15.33203125" customWidth="1"/>
    <col min="12" max="12" width="12.6640625" customWidth="1"/>
    <col min="13" max="13" width="14.08203125" customWidth="1"/>
    <col min="14" max="14" width="12.33203125" customWidth="1"/>
    <col min="15" max="15" width="13.08203125" customWidth="1"/>
    <col min="16" max="16" width="12.6640625" customWidth="1"/>
    <col min="17" max="17" width="17" customWidth="1"/>
    <col min="18" max="18" width="14.08203125" customWidth="1"/>
    <col min="19" max="19" width="12.6640625" customWidth="1"/>
    <col min="20" max="20" width="13.08203125" customWidth="1"/>
    <col min="21" max="21" width="15.6640625" customWidth="1"/>
    <col min="22" max="22" width="17.08203125" customWidth="1"/>
    <col min="23" max="23" width="13.33203125" customWidth="1"/>
    <col min="24" max="25" width="12.08203125" customWidth="1"/>
    <col min="26" max="27" width="15.33203125" customWidth="1"/>
    <col min="28" max="28" width="14.08203125" customWidth="1"/>
    <col min="29" max="31" width="14.6640625" customWidth="1"/>
  </cols>
  <sheetData>
    <row r="2" spans="1:31" ht="14.5">
      <c r="B2" s="840" t="s">
        <v>236</v>
      </c>
    </row>
    <row r="3" spans="1:31" ht="14.5">
      <c r="B3" s="840" t="s">
        <v>182</v>
      </c>
    </row>
    <row r="4" spans="1:31" ht="14.5">
      <c r="B4" s="849" t="s">
        <v>237</v>
      </c>
    </row>
    <row r="5" spans="1:31" ht="14.5">
      <c r="B5" s="849" t="s">
        <v>183</v>
      </c>
    </row>
    <row r="7" spans="1:31" s="1750" customFormat="1" ht="22.5">
      <c r="A7" s="1762"/>
      <c r="B7" s="1763" t="s">
        <v>875</v>
      </c>
      <c r="C7" s="1764"/>
      <c r="D7" s="1764"/>
      <c r="E7" s="1765"/>
      <c r="F7" s="1765"/>
      <c r="G7" s="1765"/>
      <c r="H7" s="1765"/>
      <c r="I7" s="1765"/>
      <c r="J7" s="1765"/>
      <c r="K7" s="1765"/>
      <c r="L7" s="1765"/>
      <c r="M7" s="1765"/>
      <c r="N7" s="1765"/>
      <c r="O7" s="1765"/>
      <c r="P7" s="1765"/>
      <c r="Q7" s="1765"/>
      <c r="R7" s="1765"/>
      <c r="S7" s="1765"/>
      <c r="T7" s="1765"/>
      <c r="U7" s="1765"/>
      <c r="V7" s="1765"/>
      <c r="W7" s="1765"/>
      <c r="X7" s="1765"/>
      <c r="Y7" s="1765"/>
      <c r="Z7" s="1765"/>
      <c r="AA7" s="1765"/>
      <c r="AB7" s="1765"/>
    </row>
    <row r="8" spans="1:31" ht="16.5">
      <c r="A8" s="1766"/>
      <c r="B8" s="1767" t="s">
        <v>95</v>
      </c>
      <c r="C8" s="1768" t="s">
        <v>531</v>
      </c>
      <c r="D8" s="1769"/>
      <c r="E8" s="1767"/>
      <c r="F8" s="1767"/>
      <c r="G8" s="1767"/>
      <c r="H8" s="1767"/>
      <c r="I8" s="1767"/>
      <c r="J8" s="1767"/>
      <c r="K8" s="1767"/>
      <c r="L8" s="1767"/>
      <c r="M8" s="1767"/>
      <c r="N8" s="1767"/>
      <c r="O8" s="1767"/>
      <c r="P8" s="1767"/>
      <c r="Q8" s="1767"/>
      <c r="R8" s="1767"/>
      <c r="S8" s="1767"/>
      <c r="T8" s="1767"/>
      <c r="U8" s="1767"/>
      <c r="V8" s="1767"/>
      <c r="W8" s="1767"/>
      <c r="X8" s="1767"/>
      <c r="Y8" s="1767"/>
      <c r="Z8" s="1767"/>
      <c r="AA8" s="1767"/>
      <c r="AB8" s="1767"/>
    </row>
    <row r="9" spans="1:31" ht="16.5">
      <c r="A9" s="1766"/>
      <c r="B9" s="1767" t="s">
        <v>96</v>
      </c>
      <c r="C9" s="1350" t="s">
        <v>560</v>
      </c>
      <c r="D9" s="1769"/>
      <c r="E9" s="1767"/>
      <c r="F9" s="1767"/>
      <c r="G9" s="1767"/>
      <c r="H9" s="1767"/>
      <c r="I9" s="1767"/>
      <c r="J9" s="1767"/>
      <c r="K9" s="1767"/>
      <c r="L9" s="1767"/>
      <c r="M9" s="1767"/>
      <c r="N9" s="1767"/>
      <c r="O9" s="1767"/>
      <c r="P9" s="1767"/>
      <c r="Q9" s="1767"/>
      <c r="R9" s="1767"/>
      <c r="S9" s="1767"/>
      <c r="T9" s="1767"/>
      <c r="U9" s="1767"/>
      <c r="V9" s="1767"/>
      <c r="W9" s="1767"/>
      <c r="X9" s="1767"/>
      <c r="Y9" s="1767"/>
      <c r="Z9" s="1767"/>
      <c r="AA9" s="1767"/>
      <c r="AB9" s="1767"/>
    </row>
    <row r="10" spans="1:31" ht="16.5">
      <c r="A10" s="1766"/>
      <c r="B10" s="336" t="s">
        <v>561</v>
      </c>
      <c r="C10" s="706" t="s">
        <v>412</v>
      </c>
      <c r="D10" s="70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</row>
    <row r="11" spans="1:31" ht="16.5">
      <c r="A11" s="1766"/>
      <c r="B11" s="336"/>
      <c r="C11" s="706"/>
      <c r="D11" s="70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  <c r="AA11" s="336"/>
      <c r="AB11" s="336"/>
    </row>
    <row r="12" spans="1:31" ht="16.5">
      <c r="A12" s="1766"/>
      <c r="B12" s="66" t="s">
        <v>562</v>
      </c>
    </row>
    <row r="13" spans="1:31" ht="16.5">
      <c r="A13" s="1766"/>
      <c r="B13" s="2297" t="s">
        <v>32</v>
      </c>
      <c r="C13" s="2299" t="s">
        <v>31</v>
      </c>
      <c r="D13" s="2299" t="s">
        <v>437</v>
      </c>
      <c r="E13" s="2299" t="s">
        <v>439</v>
      </c>
      <c r="F13" s="2299" t="s">
        <v>441</v>
      </c>
      <c r="G13" s="2299" t="s">
        <v>30</v>
      </c>
      <c r="H13" s="2302" t="s">
        <v>29</v>
      </c>
      <c r="I13" s="2303"/>
      <c r="J13" s="2304"/>
      <c r="K13" s="2305" t="s">
        <v>28</v>
      </c>
      <c r="L13" s="2303"/>
      <c r="M13" s="2303"/>
      <c r="N13" s="2303"/>
      <c r="O13" s="2303"/>
      <c r="P13" s="2303"/>
      <c r="Q13" s="2303"/>
      <c r="R13" s="2303"/>
      <c r="S13" s="2303"/>
      <c r="T13" s="2303"/>
      <c r="U13" s="2303"/>
      <c r="V13" s="2303"/>
      <c r="W13" s="2304"/>
      <c r="X13" s="2305" t="s">
        <v>27</v>
      </c>
      <c r="Y13" s="2303"/>
      <c r="Z13" s="2303"/>
      <c r="AA13" s="2303"/>
      <c r="AB13" s="2303"/>
      <c r="AC13" s="2303"/>
      <c r="AD13" s="2303"/>
      <c r="AE13" s="2304"/>
    </row>
    <row r="14" spans="1:31" ht="49.5">
      <c r="A14" s="1766"/>
      <c r="B14" s="2298"/>
      <c r="C14" s="2300"/>
      <c r="D14" s="2301"/>
      <c r="E14" s="2301"/>
      <c r="F14" s="2301"/>
      <c r="G14" s="2301"/>
      <c r="H14" s="179" t="s">
        <v>26</v>
      </c>
      <c r="I14" s="178" t="s">
        <v>25</v>
      </c>
      <c r="J14" s="174" t="s">
        <v>24</v>
      </c>
      <c r="K14" s="177" t="s">
        <v>23</v>
      </c>
      <c r="L14" s="175" t="s">
        <v>44</v>
      </c>
      <c r="M14" s="178" t="s">
        <v>21</v>
      </c>
      <c r="N14" s="175" t="s">
        <v>20</v>
      </c>
      <c r="O14" s="175" t="s">
        <v>19</v>
      </c>
      <c r="P14" s="177" t="s">
        <v>18</v>
      </c>
      <c r="Q14" s="175" t="s">
        <v>17</v>
      </c>
      <c r="R14" s="58" t="s">
        <v>16</v>
      </c>
      <c r="S14" s="172" t="s">
        <v>15</v>
      </c>
      <c r="T14" s="175" t="s">
        <v>14</v>
      </c>
      <c r="U14" s="58" t="s">
        <v>13</v>
      </c>
      <c r="V14" s="175" t="s">
        <v>12</v>
      </c>
      <c r="W14" s="1457" t="s">
        <v>11</v>
      </c>
      <c r="X14" s="173" t="s">
        <v>10</v>
      </c>
      <c r="Y14" s="172" t="s">
        <v>9</v>
      </c>
      <c r="Z14" s="171" t="s">
        <v>8</v>
      </c>
      <c r="AA14" s="171" t="s">
        <v>7</v>
      </c>
      <c r="AB14" s="171" t="s">
        <v>6</v>
      </c>
      <c r="AC14" s="171" t="s">
        <v>5</v>
      </c>
      <c r="AD14" s="171" t="s">
        <v>4</v>
      </c>
      <c r="AE14" s="170" t="s">
        <v>3</v>
      </c>
    </row>
    <row r="15" spans="1:31" ht="16.5">
      <c r="A15" s="1766"/>
      <c r="B15" s="2288" t="s">
        <v>562</v>
      </c>
      <c r="C15" s="169" t="s">
        <v>876</v>
      </c>
      <c r="D15" s="169" t="s">
        <v>448</v>
      </c>
      <c r="E15" s="169" t="s">
        <v>445</v>
      </c>
      <c r="F15" s="169" t="s">
        <v>552</v>
      </c>
      <c r="G15" s="169" t="s">
        <v>563</v>
      </c>
      <c r="H15" s="221">
        <f>J15+I15</f>
        <v>303961.74000000005</v>
      </c>
      <c r="I15" s="195">
        <v>103534.74000000005</v>
      </c>
      <c r="J15" s="194">
        <v>200427</v>
      </c>
      <c r="K15" s="1351">
        <v>451046</v>
      </c>
      <c r="L15" s="1352">
        <f>H15/K15</f>
        <v>0.67390408073677643</v>
      </c>
      <c r="M15" s="186">
        <v>1993</v>
      </c>
      <c r="N15" s="1353">
        <f>M15/K15</f>
        <v>4.4186180566948823E-3</v>
      </c>
      <c r="O15" s="1354">
        <f>P15/M15</f>
        <v>8.9312594079277469E-2</v>
      </c>
      <c r="P15" s="188">
        <v>178</v>
      </c>
      <c r="Q15" s="186">
        <v>142</v>
      </c>
      <c r="R15" s="101">
        <f>Q15/P15</f>
        <v>0.797752808988764</v>
      </c>
      <c r="S15" s="198">
        <f>H15/P15</f>
        <v>1707.6502247191013</v>
      </c>
      <c r="T15" s="1455">
        <f>H15/Q15</f>
        <v>2140.5756338028173</v>
      </c>
      <c r="U15" s="198">
        <f>Q15*$W15</f>
        <v>25418</v>
      </c>
      <c r="V15" s="1456">
        <f>IFERROR(U15/H15,"-")</f>
        <v>8.3622366420194841E-2</v>
      </c>
      <c r="W15" s="1458">
        <v>179</v>
      </c>
      <c r="X15" s="187">
        <v>38</v>
      </c>
      <c r="Y15" s="186">
        <v>15</v>
      </c>
      <c r="Z15" s="45">
        <f>Y15/X15</f>
        <v>0.39473684210526316</v>
      </c>
      <c r="AA15" s="44">
        <f>H15/X15</f>
        <v>7998.993157894738</v>
      </c>
      <c r="AB15" s="99">
        <f>H15/Y15</f>
        <v>20264.116000000002</v>
      </c>
      <c r="AC15" s="42">
        <f>Y15*AE15</f>
        <v>2220</v>
      </c>
      <c r="AD15" s="1770">
        <f>IFERROR(AC15/H15,"-")</f>
        <v>7.3035507692514184E-3</v>
      </c>
      <c r="AE15" s="40">
        <v>148</v>
      </c>
    </row>
    <row r="16" spans="1:31" ht="16.5">
      <c r="A16" s="1766"/>
      <c r="B16" s="2289"/>
      <c r="C16" s="153" t="s">
        <v>0</v>
      </c>
      <c r="D16" s="153"/>
      <c r="E16" s="153"/>
      <c r="F16" s="153"/>
      <c r="G16" s="153"/>
      <c r="H16" s="82">
        <f>SUM(H15)</f>
        <v>303961.74000000005</v>
      </c>
      <c r="I16" s="81">
        <f>SUM(I15)</f>
        <v>103534.74000000005</v>
      </c>
      <c r="J16" s="80">
        <f>SUM(J15)</f>
        <v>200427</v>
      </c>
      <c r="K16" s="76">
        <f>SUM(K15:K15)</f>
        <v>451046</v>
      </c>
      <c r="L16" s="79">
        <f>H16/K16</f>
        <v>0.67390408073677643</v>
      </c>
      <c r="M16" s="76">
        <f>SUM(M15)</f>
        <v>1993</v>
      </c>
      <c r="N16" s="78">
        <f>M16/K16</f>
        <v>4.4186180566948823E-3</v>
      </c>
      <c r="O16" s="78">
        <f>P16/M16</f>
        <v>8.9312594079277469E-2</v>
      </c>
      <c r="P16" s="76">
        <f>SUM(P15)</f>
        <v>178</v>
      </c>
      <c r="Q16" s="76">
        <f>SUM(Q15)</f>
        <v>142</v>
      </c>
      <c r="R16" s="78">
        <f>Q16/P16</f>
        <v>0.797752808988764</v>
      </c>
      <c r="S16" s="76">
        <f>H16/P16</f>
        <v>1707.6502247191013</v>
      </c>
      <c r="T16" s="76">
        <f>H16/Q16</f>
        <v>2140.5756338028173</v>
      </c>
      <c r="U16" s="76">
        <f>Q16*$W15</f>
        <v>25418</v>
      </c>
      <c r="V16" s="118">
        <f>U16/H16</f>
        <v>8.3622366420194841E-2</v>
      </c>
      <c r="W16" s="74"/>
      <c r="X16" s="73">
        <f>SUM(X15)</f>
        <v>38</v>
      </c>
      <c r="Y16" s="70">
        <f>SUM(Y15)</f>
        <v>15</v>
      </c>
      <c r="Z16" s="72">
        <f>Y16/X16</f>
        <v>0.39473684210526316</v>
      </c>
      <c r="AA16" s="71">
        <f>H16/X16</f>
        <v>7998.993157894738</v>
      </c>
      <c r="AB16" s="71">
        <f>H16/Y16</f>
        <v>20264.116000000002</v>
      </c>
      <c r="AC16" s="70">
        <f>Y16*AE16</f>
        <v>2220</v>
      </c>
      <c r="AD16" s="1771">
        <f>AC16/H16</f>
        <v>7.3035507692514184E-3</v>
      </c>
      <c r="AE16" s="68">
        <v>148</v>
      </c>
    </row>
    <row r="17" spans="1:28" ht="16.5">
      <c r="A17" s="1766"/>
      <c r="B17" s="1772"/>
      <c r="C17" s="706"/>
      <c r="D17" s="70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</row>
    <row r="18" spans="1:28" ht="16.5">
      <c r="A18" s="1766"/>
      <c r="B18" s="1772"/>
      <c r="C18" s="706"/>
      <c r="D18" s="70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</row>
    <row r="19" spans="1:28" ht="16.5">
      <c r="A19" s="1766"/>
      <c r="B19" s="66" t="s">
        <v>128</v>
      </c>
      <c r="C19" s="706"/>
      <c r="D19" s="70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</row>
    <row r="20" spans="1:28" ht="16.5">
      <c r="A20" s="1766"/>
      <c r="B20" s="248" t="s">
        <v>517</v>
      </c>
      <c r="C20" s="706"/>
      <c r="D20" s="70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</row>
    <row r="21" spans="1:28" ht="16.5">
      <c r="B21" s="2329" t="s">
        <v>32</v>
      </c>
      <c r="C21" s="2331" t="s">
        <v>100</v>
      </c>
      <c r="D21" s="2336" t="s">
        <v>30</v>
      </c>
      <c r="E21" s="2333" t="s">
        <v>29</v>
      </c>
      <c r="F21" s="2334"/>
      <c r="G21" s="2335"/>
      <c r="H21" s="2324" t="s">
        <v>28</v>
      </c>
      <c r="I21" s="2325"/>
      <c r="J21" s="2325"/>
      <c r="K21" s="2325"/>
      <c r="L21" s="2325"/>
      <c r="M21" s="2325"/>
      <c r="N21" s="2325"/>
      <c r="O21" s="2325"/>
      <c r="P21" s="2325"/>
      <c r="Q21" s="2325"/>
      <c r="R21" s="2325"/>
      <c r="S21" s="2325"/>
      <c r="T21" s="2353"/>
      <c r="U21" s="2324" t="s">
        <v>27</v>
      </c>
      <c r="V21" s="2325"/>
      <c r="W21" s="2325"/>
      <c r="X21" s="2325"/>
      <c r="Y21" s="2325"/>
      <c r="Z21" s="2325"/>
      <c r="AA21" s="2325"/>
      <c r="AB21" s="2326"/>
    </row>
    <row r="22" spans="1:28" ht="66">
      <c r="B22" s="2330"/>
      <c r="C22" s="2332"/>
      <c r="D22" s="2337"/>
      <c r="E22" s="1773" t="s">
        <v>26</v>
      </c>
      <c r="F22" s="1774" t="s">
        <v>138</v>
      </c>
      <c r="G22" s="1775" t="s">
        <v>24</v>
      </c>
      <c r="H22" s="1776" t="s">
        <v>23</v>
      </c>
      <c r="I22" s="1777" t="s">
        <v>22</v>
      </c>
      <c r="J22" s="1774" t="s">
        <v>21</v>
      </c>
      <c r="K22" s="1777" t="s">
        <v>20</v>
      </c>
      <c r="L22" s="1777" t="s">
        <v>19</v>
      </c>
      <c r="M22" s="1776" t="s">
        <v>18</v>
      </c>
      <c r="N22" s="1777" t="s">
        <v>17</v>
      </c>
      <c r="O22" s="1777" t="s">
        <v>16</v>
      </c>
      <c r="P22" s="1778" t="s">
        <v>15</v>
      </c>
      <c r="Q22" s="1777" t="s">
        <v>14</v>
      </c>
      <c r="R22" s="1777" t="s">
        <v>13</v>
      </c>
      <c r="S22" s="1779" t="s">
        <v>12</v>
      </c>
      <c r="T22" s="1775" t="s">
        <v>11</v>
      </c>
      <c r="U22" s="1780" t="s">
        <v>10</v>
      </c>
      <c r="V22" s="1778" t="s">
        <v>9</v>
      </c>
      <c r="W22" s="1781" t="s">
        <v>8</v>
      </c>
      <c r="X22" s="1781" t="s">
        <v>7</v>
      </c>
      <c r="Y22" s="1781" t="s">
        <v>6</v>
      </c>
      <c r="Z22" s="1781" t="s">
        <v>5</v>
      </c>
      <c r="AA22" s="1781" t="s">
        <v>4</v>
      </c>
      <c r="AB22" s="1782" t="s">
        <v>3</v>
      </c>
    </row>
    <row r="23" spans="1:28" ht="16.5">
      <c r="B23" s="2352" t="s">
        <v>564</v>
      </c>
      <c r="C23" s="1783" t="s">
        <v>877</v>
      </c>
      <c r="D23" s="1783" t="s">
        <v>184</v>
      </c>
      <c r="E23" s="1784">
        <f>F23+G23</f>
        <v>1066017.97</v>
      </c>
      <c r="F23" s="229">
        <v>751041.97</v>
      </c>
      <c r="G23" s="1785">
        <v>314976</v>
      </c>
      <c r="H23" s="1786">
        <v>931363</v>
      </c>
      <c r="I23" s="1787">
        <f>E23/H23</f>
        <v>1.1445783974669381</v>
      </c>
      <c r="J23" s="1788">
        <v>52389</v>
      </c>
      <c r="K23" s="1789">
        <f>J23/H23</f>
        <v>5.6249818813931839E-2</v>
      </c>
      <c r="L23" s="1789">
        <f>M23/J23</f>
        <v>0.12911107293515814</v>
      </c>
      <c r="M23" s="1790">
        <v>6764</v>
      </c>
      <c r="N23" s="1788">
        <v>5589</v>
      </c>
      <c r="O23" s="1791">
        <f>N23/M23</f>
        <v>0.82628622117090478</v>
      </c>
      <c r="P23" s="1792">
        <f>E23/M23</f>
        <v>157.6017105263158</v>
      </c>
      <c r="Q23" s="1793">
        <f>E23/N23</f>
        <v>190.73500984075864</v>
      </c>
      <c r="R23" s="1790">
        <f>N23*T23</f>
        <v>1341360</v>
      </c>
      <c r="S23" s="1794">
        <f>R23/E23</f>
        <v>1.2582902331374395</v>
      </c>
      <c r="T23" s="1795">
        <v>240</v>
      </c>
      <c r="U23" s="1796">
        <v>1757</v>
      </c>
      <c r="V23" s="1788">
        <v>1413</v>
      </c>
      <c r="W23" s="1797">
        <f>V23/U23</f>
        <v>0.80421172453044965</v>
      </c>
      <c r="X23" s="1798">
        <f>E23/U23</f>
        <v>606.72622083096189</v>
      </c>
      <c r="Y23" s="1799">
        <f>E23/V23</f>
        <v>754.43593064401978</v>
      </c>
      <c r="Z23" s="1790">
        <f>V23*AB23</f>
        <v>348657.75</v>
      </c>
      <c r="AA23" s="1800">
        <f>Z23/E23</f>
        <v>0.32706554655921982</v>
      </c>
      <c r="AB23" s="1801">
        <v>246.75</v>
      </c>
    </row>
    <row r="24" spans="1:28" ht="16.5">
      <c r="B24" s="2328"/>
      <c r="C24" s="1802" t="s">
        <v>565</v>
      </c>
      <c r="D24" s="1802"/>
      <c r="E24" s="1803">
        <f>F24+G24</f>
        <v>1066017.97</v>
      </c>
      <c r="F24" s="1804">
        <f>SUM(F23:F23)</f>
        <v>751041.97</v>
      </c>
      <c r="G24" s="1805">
        <f>SUM(G23:G23)</f>
        <v>314976</v>
      </c>
      <c r="H24" s="1806">
        <f>SUM(H23:H23)</f>
        <v>931363</v>
      </c>
      <c r="I24" s="1807">
        <f>E24/H24</f>
        <v>1.1445783974669381</v>
      </c>
      <c r="J24" s="1808">
        <f>SUM(J23:J23)</f>
        <v>52389</v>
      </c>
      <c r="K24" s="1809">
        <f>J24/H24</f>
        <v>5.6249818813931839E-2</v>
      </c>
      <c r="L24" s="1809">
        <f>M24/J24</f>
        <v>0.12911107293515814</v>
      </c>
      <c r="M24" s="1808">
        <f>SUM(M23:M23)</f>
        <v>6764</v>
      </c>
      <c r="N24" s="1808">
        <f>SUM(N23:N23)</f>
        <v>5589</v>
      </c>
      <c r="O24" s="1809">
        <f>N24/M24</f>
        <v>0.82628622117090478</v>
      </c>
      <c r="P24" s="1810">
        <f>E24/M24</f>
        <v>157.6017105263158</v>
      </c>
      <c r="Q24" s="1810">
        <f>E24/N24</f>
        <v>190.73500984075864</v>
      </c>
      <c r="R24" s="1808">
        <f>N24*T23</f>
        <v>1341360</v>
      </c>
      <c r="S24" s="1811">
        <f>R24/E24</f>
        <v>1.2582902331374395</v>
      </c>
      <c r="T24" s="1808"/>
      <c r="U24" s="1806">
        <f>SUM(U23:U23)</f>
        <v>1757</v>
      </c>
      <c r="V24" s="1808">
        <f>SUM(V23:V23)</f>
        <v>1413</v>
      </c>
      <c r="W24" s="1812">
        <f>V24/U24</f>
        <v>0.80421172453044965</v>
      </c>
      <c r="X24" s="1813">
        <f>E24/U24</f>
        <v>606.72622083096189</v>
      </c>
      <c r="Y24" s="1813">
        <f>E24/V24</f>
        <v>754.43593064401978</v>
      </c>
      <c r="Z24" s="1808">
        <f>V24*AB24</f>
        <v>349011</v>
      </c>
      <c r="AA24" s="1814">
        <f>Z24/E24</f>
        <v>0.32739691995998904</v>
      </c>
      <c r="AB24" s="1815">
        <v>247</v>
      </c>
    </row>
    <row r="25" spans="1:28" ht="16.5">
      <c r="A25" s="1766"/>
      <c r="B25" s="233"/>
      <c r="C25" s="232" t="s">
        <v>461</v>
      </c>
      <c r="D25" s="231" t="s">
        <v>462</v>
      </c>
      <c r="E25" s="230">
        <f>SUM(F25,G25)</f>
        <v>1066017.97</v>
      </c>
      <c r="F25" s="229">
        <v>751041.97</v>
      </c>
      <c r="G25" s="228">
        <v>314976</v>
      </c>
      <c r="H25" s="1816"/>
      <c r="I25" s="336"/>
      <c r="J25" s="1817"/>
      <c r="K25" s="1818"/>
      <c r="L25" s="1818"/>
      <c r="M25" s="1817"/>
      <c r="N25" s="1817"/>
      <c r="O25" s="1819"/>
      <c r="P25" s="1819"/>
      <c r="Q25" s="1820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</row>
    <row r="26" spans="1:28" ht="16.5">
      <c r="A26" s="1766"/>
      <c r="B26" s="227"/>
      <c r="C26" s="226" t="s">
        <v>463</v>
      </c>
      <c r="D26" s="225" t="s">
        <v>69</v>
      </c>
      <c r="E26" s="224">
        <f>E24/E25</f>
        <v>1</v>
      </c>
      <c r="F26" s="223">
        <f>F24/F25</f>
        <v>1</v>
      </c>
      <c r="G26" s="222">
        <f>G24/G25</f>
        <v>1</v>
      </c>
      <c r="H26" s="1816"/>
      <c r="I26" s="336"/>
      <c r="J26" s="1817"/>
      <c r="K26" s="1818"/>
      <c r="L26" s="1818"/>
      <c r="M26" s="1817"/>
      <c r="N26" s="1817"/>
      <c r="O26" s="1819"/>
      <c r="P26" s="1819"/>
      <c r="Q26" s="1821"/>
      <c r="R26" s="336"/>
      <c r="S26" s="336"/>
      <c r="T26" s="336"/>
      <c r="U26" s="336"/>
      <c r="V26" s="336"/>
      <c r="W26" s="336"/>
      <c r="X26" s="336"/>
      <c r="Y26" s="336"/>
      <c r="Z26" s="336"/>
      <c r="AA26" s="336"/>
      <c r="AB26" s="336"/>
    </row>
    <row r="27" spans="1:28" ht="16.5">
      <c r="A27" s="1766"/>
      <c r="B27" s="1822"/>
      <c r="C27" s="1823"/>
      <c r="D27" s="1824"/>
      <c r="E27" s="1825"/>
      <c r="F27" s="1824"/>
      <c r="H27" s="1816"/>
      <c r="I27" s="336"/>
      <c r="J27" s="1817"/>
      <c r="K27" s="1818"/>
      <c r="L27" s="1818"/>
      <c r="M27" s="1817"/>
      <c r="N27" s="1817"/>
      <c r="O27" s="1819"/>
      <c r="P27" s="1819"/>
      <c r="Q27" s="1818"/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</row>
    <row r="28" spans="1:28" ht="16.5">
      <c r="A28" s="1766"/>
      <c r="B28" s="1822"/>
      <c r="C28" s="1823"/>
      <c r="D28" s="1824"/>
      <c r="E28" s="1825"/>
      <c r="F28" s="1824"/>
      <c r="H28" s="1816"/>
      <c r="I28" s="336"/>
      <c r="J28" s="1817"/>
      <c r="K28" s="1818"/>
      <c r="L28" s="1818"/>
      <c r="M28" s="1817"/>
      <c r="N28" s="1817"/>
      <c r="O28" s="1819"/>
      <c r="P28" s="1819"/>
      <c r="Q28" s="1820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</row>
    <row r="29" spans="1:28" ht="16.5">
      <c r="A29" s="1766"/>
      <c r="B29" s="336"/>
      <c r="C29" s="706"/>
      <c r="D29" s="706"/>
      <c r="E29" s="336"/>
      <c r="F29" s="336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</row>
    <row r="30" spans="1:28" ht="16.5">
      <c r="A30" s="1766"/>
      <c r="B30" s="248" t="s">
        <v>518</v>
      </c>
      <c r="C30" s="706"/>
      <c r="D30" s="70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336"/>
    </row>
    <row r="31" spans="1:28" ht="31.5" customHeight="1">
      <c r="B31" s="2329" t="s">
        <v>32</v>
      </c>
      <c r="C31" s="2331" t="s">
        <v>100</v>
      </c>
      <c r="D31" s="2336" t="s">
        <v>30</v>
      </c>
      <c r="E31" s="2333" t="s">
        <v>29</v>
      </c>
      <c r="F31" s="2334"/>
      <c r="G31" s="2335"/>
      <c r="H31" s="2324" t="s">
        <v>28</v>
      </c>
      <c r="I31" s="2325"/>
      <c r="J31" s="2325"/>
      <c r="K31" s="2325"/>
      <c r="L31" s="2325"/>
      <c r="M31" s="2325"/>
      <c r="N31" s="2325"/>
      <c r="O31" s="2325"/>
      <c r="P31" s="2325"/>
      <c r="Q31" s="2325"/>
      <c r="R31" s="2325"/>
      <c r="S31" s="2325"/>
      <c r="T31" s="2353"/>
      <c r="U31" s="2324" t="s">
        <v>27</v>
      </c>
      <c r="V31" s="2325"/>
      <c r="W31" s="2325"/>
      <c r="X31" s="2325"/>
      <c r="Y31" s="2325"/>
      <c r="Z31" s="2325"/>
      <c r="AA31" s="2325"/>
      <c r="AB31" s="2326"/>
    </row>
    <row r="32" spans="1:28" ht="66">
      <c r="B32" s="2330"/>
      <c r="C32" s="2332"/>
      <c r="D32" s="2337"/>
      <c r="E32" s="1773" t="s">
        <v>26</v>
      </c>
      <c r="F32" s="1774" t="s">
        <v>138</v>
      </c>
      <c r="G32" s="1775" t="s">
        <v>24</v>
      </c>
      <c r="H32" s="1776" t="s">
        <v>23</v>
      </c>
      <c r="I32" s="1777" t="s">
        <v>22</v>
      </c>
      <c r="J32" s="1774" t="s">
        <v>21</v>
      </c>
      <c r="K32" s="1777" t="s">
        <v>20</v>
      </c>
      <c r="L32" s="1777" t="s">
        <v>19</v>
      </c>
      <c r="M32" s="1776" t="s">
        <v>18</v>
      </c>
      <c r="N32" s="1777" t="s">
        <v>17</v>
      </c>
      <c r="O32" s="1777" t="s">
        <v>16</v>
      </c>
      <c r="P32" s="1778" t="s">
        <v>15</v>
      </c>
      <c r="Q32" s="1777" t="s">
        <v>14</v>
      </c>
      <c r="R32" s="1777" t="s">
        <v>13</v>
      </c>
      <c r="S32" s="1779" t="s">
        <v>12</v>
      </c>
      <c r="T32" s="1775" t="s">
        <v>11</v>
      </c>
      <c r="U32" s="1780" t="s">
        <v>10</v>
      </c>
      <c r="V32" s="1778" t="s">
        <v>9</v>
      </c>
      <c r="W32" s="1781" t="s">
        <v>8</v>
      </c>
      <c r="X32" s="1781" t="s">
        <v>7</v>
      </c>
      <c r="Y32" s="1781" t="s">
        <v>6</v>
      </c>
      <c r="Z32" s="1781" t="s">
        <v>5</v>
      </c>
      <c r="AA32" s="1781" t="s">
        <v>4</v>
      </c>
      <c r="AB32" s="1782" t="s">
        <v>3</v>
      </c>
    </row>
    <row r="33" spans="1:28" ht="16.5">
      <c r="B33" s="2352" t="s">
        <v>566</v>
      </c>
      <c r="C33" s="1783" t="s">
        <v>877</v>
      </c>
      <c r="D33" s="1783" t="s">
        <v>184</v>
      </c>
      <c r="E33" s="1784">
        <f>F33+G33</f>
        <v>734089.36666666658</v>
      </c>
      <c r="F33" s="229">
        <v>419113.36666666658</v>
      </c>
      <c r="G33" s="1785">
        <v>314976</v>
      </c>
      <c r="H33" s="1786">
        <v>808742</v>
      </c>
      <c r="I33" s="1787">
        <f>E33/H33</f>
        <v>0.90769289423161725</v>
      </c>
      <c r="J33" s="1788">
        <v>39007</v>
      </c>
      <c r="K33" s="1789">
        <f>J33/H33</f>
        <v>4.8231698118806739E-2</v>
      </c>
      <c r="L33" s="1789">
        <f>M33/J33</f>
        <v>0.13195067551977849</v>
      </c>
      <c r="M33" s="1790">
        <v>5147</v>
      </c>
      <c r="N33" s="1788">
        <v>4277</v>
      </c>
      <c r="O33" s="1791">
        <f>N33/M33</f>
        <v>0.83096949679424903</v>
      </c>
      <c r="P33" s="1792">
        <f>E33/M33</f>
        <v>142.62470694903178</v>
      </c>
      <c r="Q33" s="1793">
        <f>E33/N33</f>
        <v>171.63651313225779</v>
      </c>
      <c r="R33" s="1790">
        <f>N33*T33</f>
        <v>1026480</v>
      </c>
      <c r="S33" s="1794">
        <f>R33/E33</f>
        <v>1.3983038668180321</v>
      </c>
      <c r="T33" s="1795">
        <v>240</v>
      </c>
      <c r="U33" s="1796">
        <v>1176</v>
      </c>
      <c r="V33" s="1788">
        <v>941</v>
      </c>
      <c r="W33" s="1797">
        <f>V33/U33</f>
        <v>0.80017006802721091</v>
      </c>
      <c r="X33" s="1798">
        <f>E33/U33</f>
        <v>624.22565192743753</v>
      </c>
      <c r="Y33" s="1799">
        <f>E33/V33</f>
        <v>780.11622387530986</v>
      </c>
      <c r="Z33" s="1790">
        <f>V33*AB33</f>
        <v>232191.75</v>
      </c>
      <c r="AA33" s="1800">
        <f>Z33/E33</f>
        <v>0.31629902372013657</v>
      </c>
      <c r="AB33" s="1801">
        <v>246.75</v>
      </c>
    </row>
    <row r="34" spans="1:28" ht="16.5">
      <c r="B34" s="2328"/>
      <c r="C34" s="1802" t="s">
        <v>565</v>
      </c>
      <c r="D34" s="1802"/>
      <c r="E34" s="1803">
        <f>F34+G34</f>
        <v>734089.36666666658</v>
      </c>
      <c r="F34" s="1804">
        <f>SUM(F33:F33)</f>
        <v>419113.36666666658</v>
      </c>
      <c r="G34" s="1805">
        <f>SUM(G33:G33)</f>
        <v>314976</v>
      </c>
      <c r="H34" s="1806">
        <f>SUM(H33:H33)</f>
        <v>808742</v>
      </c>
      <c r="I34" s="1807">
        <f>E34/H34</f>
        <v>0.90769289423161725</v>
      </c>
      <c r="J34" s="1808">
        <f>SUM(J33:J33)</f>
        <v>39007</v>
      </c>
      <c r="K34" s="1809">
        <f>J34/H34</f>
        <v>4.8231698118806739E-2</v>
      </c>
      <c r="L34" s="1809">
        <f>M34/J34</f>
        <v>0.13195067551977849</v>
      </c>
      <c r="M34" s="1808">
        <f>SUM(M33:M33)</f>
        <v>5147</v>
      </c>
      <c r="N34" s="1808">
        <f>SUM(N33:N33)</f>
        <v>4277</v>
      </c>
      <c r="O34" s="1809">
        <f>N34/M34</f>
        <v>0.83096949679424903</v>
      </c>
      <c r="P34" s="1810">
        <f>E34/M34</f>
        <v>142.62470694903178</v>
      </c>
      <c r="Q34" s="1810">
        <f>E34/N34</f>
        <v>171.63651313225779</v>
      </c>
      <c r="R34" s="1808">
        <f>N34*T33</f>
        <v>1026480</v>
      </c>
      <c r="S34" s="1811">
        <f>R34/E34</f>
        <v>1.3983038668180321</v>
      </c>
      <c r="T34" s="1808"/>
      <c r="U34" s="1806">
        <f>SUM(U33:U33)</f>
        <v>1176</v>
      </c>
      <c r="V34" s="1808">
        <f>SUM(V33:V33)</f>
        <v>941</v>
      </c>
      <c r="W34" s="1812">
        <f>V34/U34</f>
        <v>0.80017006802721091</v>
      </c>
      <c r="X34" s="1813">
        <f>E34/U34</f>
        <v>624.22565192743753</v>
      </c>
      <c r="Y34" s="1813">
        <f>E34/V34</f>
        <v>780.11622387530986</v>
      </c>
      <c r="Z34" s="1808">
        <f>V34*AB34</f>
        <v>232427</v>
      </c>
      <c r="AA34" s="1814">
        <f>Z34/E34</f>
        <v>0.31661948878976182</v>
      </c>
      <c r="AB34" s="1815">
        <v>247</v>
      </c>
    </row>
    <row r="35" spans="1:28" ht="16.5">
      <c r="A35" s="1766"/>
      <c r="B35" s="233"/>
      <c r="C35" s="232" t="s">
        <v>461</v>
      </c>
      <c r="D35" s="231" t="s">
        <v>462</v>
      </c>
      <c r="E35" s="230">
        <f>SUM(F35,G35)</f>
        <v>1066017.97</v>
      </c>
      <c r="F35" s="229">
        <v>751041.97</v>
      </c>
      <c r="G35" s="228">
        <v>314976</v>
      </c>
      <c r="H35" s="1816"/>
      <c r="I35" s="336"/>
      <c r="J35" s="1817"/>
      <c r="K35" s="1818"/>
      <c r="L35" s="1818"/>
      <c r="M35" s="1817"/>
      <c r="N35" s="1817"/>
      <c r="O35" s="1819"/>
      <c r="P35" s="1819"/>
      <c r="Q35" s="1820"/>
      <c r="R35" s="336"/>
      <c r="S35" s="336"/>
      <c r="T35" s="336"/>
      <c r="U35" s="336"/>
      <c r="V35" s="336"/>
      <c r="W35" s="336"/>
      <c r="X35" s="336"/>
      <c r="Y35" s="336"/>
      <c r="Z35" s="336"/>
      <c r="AA35" s="336"/>
      <c r="AB35" s="336"/>
    </row>
    <row r="36" spans="1:28" ht="16.5">
      <c r="A36" s="1766"/>
      <c r="B36" s="227"/>
      <c r="C36" s="226" t="s">
        <v>463</v>
      </c>
      <c r="D36" s="225" t="s">
        <v>69</v>
      </c>
      <c r="E36" s="224">
        <f>E34/E35</f>
        <v>0.68862757226003102</v>
      </c>
      <c r="F36" s="223">
        <f>F34/F35</f>
        <v>0.55804253744523302</v>
      </c>
      <c r="G36" s="222">
        <f>G34/G35</f>
        <v>1</v>
      </c>
      <c r="H36" s="1816"/>
      <c r="I36" s="336"/>
      <c r="J36" s="1817"/>
      <c r="K36" s="1818"/>
      <c r="L36" s="1818"/>
      <c r="M36" s="1817"/>
      <c r="N36" s="1817"/>
      <c r="O36" s="1819"/>
      <c r="P36" s="1819"/>
      <c r="Q36" s="1821"/>
      <c r="R36" s="336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</row>
    <row r="37" spans="1:28" ht="16.5">
      <c r="A37" s="1766"/>
      <c r="B37" s="1822"/>
      <c r="C37" s="1823"/>
      <c r="D37" s="1824"/>
      <c r="E37" s="1825"/>
      <c r="F37" s="1824"/>
      <c r="H37" s="1816"/>
      <c r="I37" s="336"/>
      <c r="J37" s="1817"/>
      <c r="K37" s="1818"/>
      <c r="L37" s="1818"/>
      <c r="M37" s="1817"/>
      <c r="N37" s="1817"/>
      <c r="O37" s="1819"/>
      <c r="P37" s="1819"/>
      <c r="Q37" s="1818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</row>
    <row r="38" spans="1:28" ht="16.5">
      <c r="A38" s="1766"/>
      <c r="B38" s="1822"/>
      <c r="C38" s="1823"/>
      <c r="D38" s="1824"/>
      <c r="E38" s="1825"/>
      <c r="F38" s="1824"/>
      <c r="H38" s="1816"/>
      <c r="I38" s="336"/>
      <c r="J38" s="1817"/>
      <c r="K38" s="1818"/>
      <c r="L38" s="1818"/>
      <c r="M38" s="1817"/>
      <c r="N38" s="1817"/>
      <c r="O38" s="1819"/>
      <c r="P38" s="1819"/>
      <c r="Q38" s="1820"/>
      <c r="R38" s="336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</row>
    <row r="39" spans="1:28" ht="16.5">
      <c r="A39" s="1766"/>
      <c r="B39" s="336"/>
      <c r="C39" s="706"/>
      <c r="D39" s="706"/>
      <c r="E39" s="336"/>
      <c r="F39" s="336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  <c r="AA39" s="336"/>
      <c r="AB39" s="336"/>
    </row>
    <row r="40" spans="1:28" ht="16.5">
      <c r="A40" s="1766"/>
      <c r="B40" s="248" t="s">
        <v>519</v>
      </c>
      <c r="C40" s="706"/>
      <c r="D40" s="706"/>
      <c r="E40" s="336"/>
      <c r="F40" s="336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</row>
    <row r="41" spans="1:28" ht="31.5" customHeight="1">
      <c r="B41" s="2329" t="s">
        <v>32</v>
      </c>
      <c r="C41" s="2331" t="s">
        <v>100</v>
      </c>
      <c r="D41" s="2336" t="s">
        <v>30</v>
      </c>
      <c r="E41" s="2333" t="s">
        <v>29</v>
      </c>
      <c r="F41" s="2334"/>
      <c r="G41" s="2335"/>
      <c r="H41" s="2324" t="s">
        <v>28</v>
      </c>
      <c r="I41" s="2325"/>
      <c r="J41" s="2325"/>
      <c r="K41" s="2325"/>
      <c r="L41" s="2325"/>
      <c r="M41" s="2325"/>
      <c r="N41" s="2325"/>
      <c r="O41" s="2325"/>
      <c r="P41" s="2325"/>
      <c r="Q41" s="2325"/>
      <c r="R41" s="2325"/>
      <c r="S41" s="2325"/>
      <c r="T41" s="2353"/>
      <c r="U41" s="2324" t="s">
        <v>27</v>
      </c>
      <c r="V41" s="2325"/>
      <c r="W41" s="2325"/>
      <c r="X41" s="2325"/>
      <c r="Y41" s="2325"/>
      <c r="Z41" s="2325"/>
      <c r="AA41" s="2325"/>
      <c r="AB41" s="2326"/>
    </row>
    <row r="42" spans="1:28" ht="66">
      <c r="B42" s="2330"/>
      <c r="C42" s="2332"/>
      <c r="D42" s="2337"/>
      <c r="E42" s="1773" t="s">
        <v>26</v>
      </c>
      <c r="F42" s="1774" t="s">
        <v>138</v>
      </c>
      <c r="G42" s="1775" t="s">
        <v>24</v>
      </c>
      <c r="H42" s="1776" t="s">
        <v>23</v>
      </c>
      <c r="I42" s="1777" t="s">
        <v>22</v>
      </c>
      <c r="J42" s="1774" t="s">
        <v>21</v>
      </c>
      <c r="K42" s="1777" t="s">
        <v>20</v>
      </c>
      <c r="L42" s="1777" t="s">
        <v>19</v>
      </c>
      <c r="M42" s="1776" t="s">
        <v>18</v>
      </c>
      <c r="N42" s="1777" t="s">
        <v>17</v>
      </c>
      <c r="O42" s="1777" t="s">
        <v>16</v>
      </c>
      <c r="P42" s="1778" t="s">
        <v>15</v>
      </c>
      <c r="Q42" s="1777" t="s">
        <v>14</v>
      </c>
      <c r="R42" s="1777" t="s">
        <v>13</v>
      </c>
      <c r="S42" s="1779" t="s">
        <v>12</v>
      </c>
      <c r="T42" s="1775" t="s">
        <v>11</v>
      </c>
      <c r="U42" s="1780" t="s">
        <v>10</v>
      </c>
      <c r="V42" s="1778" t="s">
        <v>9</v>
      </c>
      <c r="W42" s="1781" t="s">
        <v>8</v>
      </c>
      <c r="X42" s="1781" t="s">
        <v>7</v>
      </c>
      <c r="Y42" s="1781" t="s">
        <v>6</v>
      </c>
      <c r="Z42" s="1781" t="s">
        <v>5</v>
      </c>
      <c r="AA42" s="1781" t="s">
        <v>4</v>
      </c>
      <c r="AB42" s="1782" t="s">
        <v>3</v>
      </c>
    </row>
    <row r="43" spans="1:28" ht="16.5">
      <c r="B43" s="2352" t="s">
        <v>567</v>
      </c>
      <c r="C43" s="1783" t="s">
        <v>877</v>
      </c>
      <c r="D43" s="1783" t="s">
        <v>184</v>
      </c>
      <c r="E43" s="1784">
        <f>F43+G43</f>
        <v>512516.27333333332</v>
      </c>
      <c r="F43" s="229">
        <v>208831.27333333329</v>
      </c>
      <c r="G43" s="1785">
        <v>303685</v>
      </c>
      <c r="H43" s="1786">
        <v>637742</v>
      </c>
      <c r="I43" s="1787">
        <f>E43/H43</f>
        <v>0.80364202660846129</v>
      </c>
      <c r="J43" s="1788">
        <v>24854</v>
      </c>
      <c r="K43" s="1789">
        <f>J43/H43</f>
        <v>3.8971872638151481E-2</v>
      </c>
      <c r="L43" s="1789">
        <f>M43/J43</f>
        <v>0.15265148467047557</v>
      </c>
      <c r="M43" s="1790">
        <v>3794</v>
      </c>
      <c r="N43" s="1788">
        <v>3176</v>
      </c>
      <c r="O43" s="1791">
        <f>N43/M43</f>
        <v>0.83711122825513973</v>
      </c>
      <c r="P43" s="1792">
        <f>E43/M43</f>
        <v>135.0859971885433</v>
      </c>
      <c r="Q43" s="1793">
        <f>E43/N43</f>
        <v>161.37162258606213</v>
      </c>
      <c r="R43" s="1790">
        <f>N43*T43</f>
        <v>762240</v>
      </c>
      <c r="S43" s="1794">
        <f>R43/E43</f>
        <v>1.4872503365454113</v>
      </c>
      <c r="T43" s="1795">
        <v>240</v>
      </c>
      <c r="U43" s="1796">
        <v>818</v>
      </c>
      <c r="V43" s="1788">
        <v>644</v>
      </c>
      <c r="W43" s="1797">
        <f>V43/U43</f>
        <v>0.78728606356968212</v>
      </c>
      <c r="X43" s="1798">
        <f>E43/U43</f>
        <v>626.54801140994289</v>
      </c>
      <c r="Y43" s="1799">
        <f>E43/V43</f>
        <v>795.83272256728776</v>
      </c>
      <c r="Z43" s="1790">
        <f>V43*AB43</f>
        <v>158907</v>
      </c>
      <c r="AA43" s="1800">
        <f>Z43/E43</f>
        <v>0.31005259397226814</v>
      </c>
      <c r="AB43" s="1801">
        <v>246.75</v>
      </c>
    </row>
    <row r="44" spans="1:28" ht="16.5">
      <c r="B44" s="2328"/>
      <c r="C44" s="1802" t="s">
        <v>565</v>
      </c>
      <c r="D44" s="1802"/>
      <c r="E44" s="1803">
        <f>F44+G44</f>
        <v>512516.27333333332</v>
      </c>
      <c r="F44" s="1804">
        <f>SUM(F43:F43)</f>
        <v>208831.27333333329</v>
      </c>
      <c r="G44" s="1805">
        <f>SUM(G43:G43)</f>
        <v>303685</v>
      </c>
      <c r="H44" s="1806">
        <f>SUM(H43:H43)</f>
        <v>637742</v>
      </c>
      <c r="I44" s="1807">
        <f>E44/H44</f>
        <v>0.80364202660846129</v>
      </c>
      <c r="J44" s="1808">
        <f>SUM(J43:J43)</f>
        <v>24854</v>
      </c>
      <c r="K44" s="1809">
        <f>J44/H44</f>
        <v>3.8971872638151481E-2</v>
      </c>
      <c r="L44" s="1809">
        <f>M44/J44</f>
        <v>0.15265148467047557</v>
      </c>
      <c r="M44" s="1808">
        <f>SUM(M43:M43)</f>
        <v>3794</v>
      </c>
      <c r="N44" s="1808">
        <f>SUM(N43:N43)</f>
        <v>3176</v>
      </c>
      <c r="O44" s="1809">
        <f>N44/M44</f>
        <v>0.83711122825513973</v>
      </c>
      <c r="P44" s="1810">
        <f>E44/M44</f>
        <v>135.0859971885433</v>
      </c>
      <c r="Q44" s="1810">
        <f>E44/N44</f>
        <v>161.37162258606213</v>
      </c>
      <c r="R44" s="1808">
        <f>N44*T43</f>
        <v>762240</v>
      </c>
      <c r="S44" s="1811">
        <f>R44/E44</f>
        <v>1.4872503365454113</v>
      </c>
      <c r="T44" s="1808"/>
      <c r="U44" s="1806">
        <f>SUM(U43:U43)</f>
        <v>818</v>
      </c>
      <c r="V44" s="1808">
        <f>SUM(V43:V43)</f>
        <v>644</v>
      </c>
      <c r="W44" s="1812">
        <f>V44/U44</f>
        <v>0.78728606356968212</v>
      </c>
      <c r="X44" s="1813">
        <f>E44/U44</f>
        <v>626.54801140994289</v>
      </c>
      <c r="Y44" s="1813">
        <f>E44/V44</f>
        <v>795.83272256728776</v>
      </c>
      <c r="Z44" s="1808">
        <f>V44*AB44</f>
        <v>159068</v>
      </c>
      <c r="AA44" s="1814">
        <f>Z44/E44</f>
        <v>0.31036673033900802</v>
      </c>
      <c r="AB44" s="1815">
        <v>247</v>
      </c>
    </row>
    <row r="45" spans="1:28" ht="16.5">
      <c r="A45" s="1766"/>
      <c r="B45" s="233"/>
      <c r="C45" s="232" t="s">
        <v>461</v>
      </c>
      <c r="D45" s="231" t="s">
        <v>462</v>
      </c>
      <c r="E45" s="230">
        <f>SUM(F45,G45)</f>
        <v>1066017.97</v>
      </c>
      <c r="F45" s="229">
        <v>751041.97</v>
      </c>
      <c r="G45" s="228">
        <v>314976</v>
      </c>
      <c r="H45" s="1816"/>
      <c r="I45" s="336"/>
      <c r="J45" s="1817"/>
      <c r="K45" s="1818"/>
      <c r="L45" s="1818"/>
      <c r="M45" s="1817"/>
      <c r="N45" s="1817"/>
      <c r="O45" s="1819"/>
      <c r="P45" s="1819"/>
      <c r="Q45" s="1820"/>
      <c r="R45" s="336"/>
      <c r="S45" s="336"/>
      <c r="T45" s="336"/>
      <c r="U45" s="336"/>
      <c r="V45" s="336"/>
      <c r="W45" s="336"/>
      <c r="X45" s="336"/>
      <c r="Y45" s="336"/>
      <c r="Z45" s="336"/>
      <c r="AA45" s="336"/>
      <c r="AB45" s="336"/>
    </row>
    <row r="46" spans="1:28" ht="16.5">
      <c r="A46" s="1766"/>
      <c r="B46" s="227"/>
      <c r="C46" s="226" t="s">
        <v>463</v>
      </c>
      <c r="D46" s="225" t="s">
        <v>69</v>
      </c>
      <c r="E46" s="224">
        <f>E44/E45</f>
        <v>0.48077639191516941</v>
      </c>
      <c r="F46" s="223">
        <f>F44/F45</f>
        <v>0.27805539726805589</v>
      </c>
      <c r="G46" s="222">
        <f>G44/G45</f>
        <v>0.96415282434217209</v>
      </c>
      <c r="H46" s="1816"/>
      <c r="I46" s="336"/>
      <c r="J46" s="1817"/>
      <c r="K46" s="1818"/>
      <c r="L46" s="1818"/>
      <c r="M46" s="1817"/>
      <c r="N46" s="1817"/>
      <c r="O46" s="1819"/>
      <c r="P46" s="1819"/>
      <c r="Q46" s="1821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</row>
    <row r="47" spans="1:28" ht="16.5">
      <c r="A47" s="1766"/>
      <c r="B47" s="1822"/>
      <c r="C47" s="1823"/>
      <c r="D47" s="1824"/>
      <c r="E47" s="1825"/>
      <c r="F47" s="1824"/>
      <c r="H47" s="1816"/>
      <c r="I47" s="336"/>
      <c r="J47" s="1817"/>
      <c r="K47" s="1818"/>
      <c r="L47" s="1818"/>
      <c r="M47" s="1817"/>
      <c r="N47" s="1817"/>
      <c r="O47" s="1819"/>
      <c r="P47" s="1819"/>
      <c r="Q47" s="1818"/>
      <c r="R47" s="336"/>
      <c r="S47" s="336"/>
      <c r="T47" s="336"/>
      <c r="U47" s="336"/>
      <c r="V47" s="336"/>
      <c r="W47" s="336"/>
      <c r="X47" s="336"/>
      <c r="Y47" s="336"/>
      <c r="Z47" s="336"/>
      <c r="AA47" s="336"/>
      <c r="AB47" s="336"/>
    </row>
    <row r="48" spans="1:28" ht="16.5">
      <c r="A48" s="1766"/>
      <c r="B48" s="1822"/>
      <c r="C48" s="1823"/>
      <c r="D48" s="1824"/>
      <c r="E48" s="1825"/>
      <c r="F48" s="1824"/>
      <c r="H48" s="1816"/>
      <c r="I48" s="336"/>
      <c r="J48" s="1817"/>
      <c r="K48" s="1818"/>
      <c r="L48" s="1818"/>
      <c r="M48" s="1817"/>
      <c r="N48" s="1817"/>
      <c r="O48" s="1819"/>
      <c r="P48" s="1819"/>
      <c r="Q48" s="1820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</row>
    <row r="49" spans="1:28" ht="16.5">
      <c r="A49" s="1766"/>
      <c r="B49" s="336"/>
      <c r="C49" s="706"/>
      <c r="D49" s="70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</row>
    <row r="50" spans="1:28" ht="16.5">
      <c r="A50" s="1766"/>
      <c r="B50" s="248" t="s">
        <v>520</v>
      </c>
      <c r="C50" s="706"/>
      <c r="D50" s="70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  <c r="AB50" s="336"/>
    </row>
    <row r="51" spans="1:28" ht="31.5" customHeight="1">
      <c r="B51" s="2329" t="s">
        <v>32</v>
      </c>
      <c r="C51" s="2331" t="s">
        <v>100</v>
      </c>
      <c r="D51" s="2336" t="s">
        <v>30</v>
      </c>
      <c r="E51" s="2333" t="s">
        <v>29</v>
      </c>
      <c r="F51" s="2334"/>
      <c r="G51" s="2335"/>
      <c r="H51" s="2324" t="s">
        <v>28</v>
      </c>
      <c r="I51" s="2325"/>
      <c r="J51" s="2325"/>
      <c r="K51" s="2325"/>
      <c r="L51" s="2325"/>
      <c r="M51" s="2325"/>
      <c r="N51" s="2325"/>
      <c r="O51" s="2325"/>
      <c r="P51" s="2325"/>
      <c r="Q51" s="2325"/>
      <c r="R51" s="2325"/>
      <c r="S51" s="2325"/>
      <c r="T51" s="2353"/>
      <c r="U51" s="2324" t="s">
        <v>27</v>
      </c>
      <c r="V51" s="2325"/>
      <c r="W51" s="2325"/>
      <c r="X51" s="2325"/>
      <c r="Y51" s="2325"/>
      <c r="Z51" s="2325"/>
      <c r="AA51" s="2325"/>
      <c r="AB51" s="2326"/>
    </row>
    <row r="52" spans="1:28" ht="66">
      <c r="B52" s="2330"/>
      <c r="C52" s="2332"/>
      <c r="D52" s="2337"/>
      <c r="E52" s="1773" t="s">
        <v>26</v>
      </c>
      <c r="F52" s="1774" t="s">
        <v>138</v>
      </c>
      <c r="G52" s="1775" t="s">
        <v>24</v>
      </c>
      <c r="H52" s="1776" t="s">
        <v>23</v>
      </c>
      <c r="I52" s="1777" t="s">
        <v>22</v>
      </c>
      <c r="J52" s="1774" t="s">
        <v>21</v>
      </c>
      <c r="K52" s="1777" t="s">
        <v>20</v>
      </c>
      <c r="L52" s="1777" t="s">
        <v>19</v>
      </c>
      <c r="M52" s="1776" t="s">
        <v>18</v>
      </c>
      <c r="N52" s="1777" t="s">
        <v>17</v>
      </c>
      <c r="O52" s="1777" t="s">
        <v>16</v>
      </c>
      <c r="P52" s="1778" t="s">
        <v>15</v>
      </c>
      <c r="Q52" s="1777" t="s">
        <v>14</v>
      </c>
      <c r="R52" s="1777" t="s">
        <v>13</v>
      </c>
      <c r="S52" s="1779" t="s">
        <v>12</v>
      </c>
      <c r="T52" s="1775" t="s">
        <v>11</v>
      </c>
      <c r="U52" s="1780" t="s">
        <v>10</v>
      </c>
      <c r="V52" s="1778" t="s">
        <v>9</v>
      </c>
      <c r="W52" s="1781" t="s">
        <v>8</v>
      </c>
      <c r="X52" s="1781" t="s">
        <v>7</v>
      </c>
      <c r="Y52" s="1781" t="s">
        <v>6</v>
      </c>
      <c r="Z52" s="1781" t="s">
        <v>5</v>
      </c>
      <c r="AA52" s="1781" t="s">
        <v>4</v>
      </c>
      <c r="AB52" s="1782" t="s">
        <v>3</v>
      </c>
    </row>
    <row r="53" spans="1:28" ht="16.5">
      <c r="B53" s="2352" t="s">
        <v>568</v>
      </c>
      <c r="C53" s="1783" t="s">
        <v>877</v>
      </c>
      <c r="D53" s="1783" t="s">
        <v>184</v>
      </c>
      <c r="E53" s="1784">
        <f>F53+G53</f>
        <v>356411.07333333336</v>
      </c>
      <c r="F53" s="229">
        <v>132387.07333333333</v>
      </c>
      <c r="G53" s="1785">
        <v>224024</v>
      </c>
      <c r="H53" s="1786">
        <v>462089</v>
      </c>
      <c r="I53" s="1787">
        <f>E53/H53</f>
        <v>0.77130395515438233</v>
      </c>
      <c r="J53" s="1788">
        <v>12136</v>
      </c>
      <c r="K53" s="1789">
        <f>J53/H53</f>
        <v>2.6263338880605253E-2</v>
      </c>
      <c r="L53" s="1789">
        <f>M53/J53</f>
        <v>0.10860250494396836</v>
      </c>
      <c r="M53" s="1790">
        <v>1318</v>
      </c>
      <c r="N53" s="1788">
        <v>1057</v>
      </c>
      <c r="O53" s="1791">
        <f>N53/M53</f>
        <v>0.80197268588770865</v>
      </c>
      <c r="P53" s="1792">
        <f>E53/M53</f>
        <v>270.41811330298435</v>
      </c>
      <c r="Q53" s="1793">
        <f>E53/N53</f>
        <v>337.1911762850836</v>
      </c>
      <c r="R53" s="1790">
        <f>N53*T53</f>
        <v>253680</v>
      </c>
      <c r="S53" s="1794">
        <f>R53/E53</f>
        <v>0.71176239735611646</v>
      </c>
      <c r="T53" s="1795">
        <v>240</v>
      </c>
      <c r="U53" s="1796">
        <v>497</v>
      </c>
      <c r="V53" s="1788">
        <v>391</v>
      </c>
      <c r="W53" s="1797">
        <f>V53/U53</f>
        <v>0.78672032193158958</v>
      </c>
      <c r="X53" s="1798">
        <f>E53/U53</f>
        <v>717.12489604292432</v>
      </c>
      <c r="Y53" s="1799">
        <f>E53/V53</f>
        <v>911.53727195225929</v>
      </c>
      <c r="Z53" s="1790">
        <f>V53*AB53</f>
        <v>96479.25</v>
      </c>
      <c r="AA53" s="1800">
        <f>Z53/E53</f>
        <v>0.27069655579911739</v>
      </c>
      <c r="AB53" s="1801">
        <v>246.75</v>
      </c>
    </row>
    <row r="54" spans="1:28" ht="16.5">
      <c r="B54" s="2328"/>
      <c r="C54" s="1802" t="s">
        <v>565</v>
      </c>
      <c r="D54" s="1802"/>
      <c r="E54" s="1803">
        <f>F54+G54</f>
        <v>356411.07333333336</v>
      </c>
      <c r="F54" s="1804">
        <f>SUM(F53:F53)</f>
        <v>132387.07333333333</v>
      </c>
      <c r="G54" s="1805">
        <f>SUM(G53:G53)</f>
        <v>224024</v>
      </c>
      <c r="H54" s="1806">
        <f>SUM(H53:H53)</f>
        <v>462089</v>
      </c>
      <c r="I54" s="1807">
        <f>E54/H54</f>
        <v>0.77130395515438233</v>
      </c>
      <c r="J54" s="1808">
        <f>SUM(J53:J53)</f>
        <v>12136</v>
      </c>
      <c r="K54" s="1809">
        <f>J54/H54</f>
        <v>2.6263338880605253E-2</v>
      </c>
      <c r="L54" s="1809">
        <f>M54/J54</f>
        <v>0.10860250494396836</v>
      </c>
      <c r="M54" s="1808">
        <f>SUM(M53:M53)</f>
        <v>1318</v>
      </c>
      <c r="N54" s="1808">
        <f>SUM(N53:N53)</f>
        <v>1057</v>
      </c>
      <c r="O54" s="1809">
        <f>N54/M54</f>
        <v>0.80197268588770865</v>
      </c>
      <c r="P54" s="1810">
        <f>E54/M54</f>
        <v>270.41811330298435</v>
      </c>
      <c r="Q54" s="1810">
        <f>E54/N54</f>
        <v>337.1911762850836</v>
      </c>
      <c r="R54" s="1808">
        <f>N54*T53</f>
        <v>253680</v>
      </c>
      <c r="S54" s="1811">
        <f>R54/E54</f>
        <v>0.71176239735611646</v>
      </c>
      <c r="T54" s="1808"/>
      <c r="U54" s="1806">
        <f>SUM(U53:U53)</f>
        <v>497</v>
      </c>
      <c r="V54" s="1808">
        <f>SUM(V53:V53)</f>
        <v>391</v>
      </c>
      <c r="W54" s="1812">
        <f>V54/U54</f>
        <v>0.78672032193158958</v>
      </c>
      <c r="X54" s="1813">
        <f>E54/U54</f>
        <v>717.12489604292432</v>
      </c>
      <c r="Y54" s="1813">
        <f>E54/V54</f>
        <v>911.53727195225929</v>
      </c>
      <c r="Z54" s="1808">
        <f>V54*AB54</f>
        <v>96577</v>
      </c>
      <c r="AA54" s="1814">
        <f>Z54/E54</f>
        <v>0.27097081776041337</v>
      </c>
      <c r="AB54" s="1815">
        <v>247</v>
      </c>
    </row>
    <row r="55" spans="1:28" ht="16.5">
      <c r="A55" s="1766"/>
      <c r="B55" s="233"/>
      <c r="C55" s="232" t="s">
        <v>461</v>
      </c>
      <c r="D55" s="231" t="s">
        <v>462</v>
      </c>
      <c r="E55" s="230">
        <f>SUM(F55,G55)</f>
        <v>1066017.97</v>
      </c>
      <c r="F55" s="229">
        <v>751041.97</v>
      </c>
      <c r="G55" s="228">
        <v>314976</v>
      </c>
      <c r="H55" s="1816"/>
      <c r="I55" s="336"/>
      <c r="J55" s="1817"/>
      <c r="K55" s="1818"/>
      <c r="L55" s="1818"/>
      <c r="M55" s="1817"/>
      <c r="N55" s="1817"/>
      <c r="O55" s="1819"/>
      <c r="P55" s="1819"/>
      <c r="Q55" s="1820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</row>
    <row r="56" spans="1:28" ht="16.5">
      <c r="A56" s="1766"/>
      <c r="B56" s="227"/>
      <c r="C56" s="226" t="s">
        <v>463</v>
      </c>
      <c r="D56" s="225" t="s">
        <v>69</v>
      </c>
      <c r="E56" s="224">
        <f>E54/E55</f>
        <v>0.33433871038152702</v>
      </c>
      <c r="F56" s="223">
        <f>F54/F55</f>
        <v>0.17627120536730237</v>
      </c>
      <c r="G56" s="222">
        <f>G54/G55</f>
        <v>0.71124149141521897</v>
      </c>
      <c r="H56" s="1816"/>
      <c r="I56" s="336"/>
      <c r="J56" s="1817"/>
      <c r="K56" s="1818"/>
      <c r="L56" s="1818"/>
      <c r="M56" s="1817"/>
      <c r="N56" s="1817"/>
      <c r="O56" s="1819"/>
      <c r="P56" s="1819"/>
      <c r="Q56" s="1821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</row>
    <row r="57" spans="1:28" ht="16.5">
      <c r="A57" s="1766"/>
      <c r="B57" s="1822"/>
      <c r="C57" s="1823"/>
      <c r="D57" s="1824"/>
      <c r="E57" s="1825"/>
      <c r="F57" s="1824"/>
      <c r="H57" s="1816"/>
      <c r="I57" s="336"/>
      <c r="J57" s="1817"/>
      <c r="K57" s="1818"/>
      <c r="L57" s="1818"/>
      <c r="M57" s="1817"/>
      <c r="N57" s="1817"/>
      <c r="O57" s="1819"/>
      <c r="P57" s="1819"/>
      <c r="Q57" s="1820"/>
      <c r="R57" s="336"/>
      <c r="S57" s="336"/>
      <c r="T57" s="336"/>
      <c r="U57" s="336"/>
      <c r="V57" s="336"/>
      <c r="W57" s="336"/>
      <c r="X57" s="336"/>
      <c r="Y57" s="336"/>
      <c r="Z57" s="336"/>
      <c r="AA57" s="336"/>
      <c r="AB57" s="336"/>
    </row>
    <row r="58" spans="1:28" ht="16.5">
      <c r="A58" s="1766"/>
      <c r="B58" s="336"/>
      <c r="C58" s="706"/>
      <c r="D58" s="70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  <c r="AA58" s="336"/>
      <c r="AB58" s="336"/>
    </row>
    <row r="59" spans="1:28" ht="16.5">
      <c r="A59" s="1766"/>
      <c r="B59" s="336"/>
      <c r="C59" s="706"/>
      <c r="D59" s="70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  <c r="AA59" s="336"/>
      <c r="AB59" s="336"/>
    </row>
    <row r="60" spans="1:28" ht="16.5">
      <c r="A60" s="1766"/>
      <c r="B60" s="248" t="s">
        <v>521</v>
      </c>
      <c r="C60" s="706"/>
      <c r="D60" s="70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  <c r="AA60" s="336"/>
      <c r="AB60" s="336"/>
    </row>
    <row r="61" spans="1:28" ht="16.5">
      <c r="B61" s="2329" t="s">
        <v>32</v>
      </c>
      <c r="C61" s="2331" t="s">
        <v>100</v>
      </c>
      <c r="D61" s="2336" t="s">
        <v>30</v>
      </c>
      <c r="E61" s="2333" t="s">
        <v>29</v>
      </c>
      <c r="F61" s="2334"/>
      <c r="G61" s="2335"/>
      <c r="H61" s="2324" t="s">
        <v>28</v>
      </c>
      <c r="I61" s="2325"/>
      <c r="J61" s="2325"/>
      <c r="K61" s="2325"/>
      <c r="L61" s="2325"/>
      <c r="M61" s="2325"/>
      <c r="N61" s="2325"/>
      <c r="O61" s="2325"/>
      <c r="P61" s="2325"/>
      <c r="Q61" s="2325"/>
      <c r="R61" s="2325"/>
      <c r="S61" s="2325"/>
      <c r="T61" s="2353"/>
      <c r="U61" s="2324" t="s">
        <v>27</v>
      </c>
      <c r="V61" s="2325"/>
      <c r="W61" s="2325"/>
      <c r="X61" s="2325"/>
      <c r="Y61" s="2325"/>
      <c r="Z61" s="2325"/>
      <c r="AA61" s="2325"/>
      <c r="AB61" s="2326"/>
    </row>
    <row r="62" spans="1:28" ht="66">
      <c r="B62" s="2330"/>
      <c r="C62" s="2332"/>
      <c r="D62" s="2337"/>
      <c r="E62" s="1773" t="s">
        <v>26</v>
      </c>
      <c r="F62" s="1774" t="s">
        <v>138</v>
      </c>
      <c r="G62" s="1775" t="s">
        <v>24</v>
      </c>
      <c r="H62" s="1776" t="s">
        <v>23</v>
      </c>
      <c r="I62" s="1777" t="s">
        <v>22</v>
      </c>
      <c r="J62" s="1774" t="s">
        <v>21</v>
      </c>
      <c r="K62" s="1777" t="s">
        <v>20</v>
      </c>
      <c r="L62" s="1777" t="s">
        <v>19</v>
      </c>
      <c r="M62" s="1776" t="s">
        <v>18</v>
      </c>
      <c r="N62" s="1777" t="s">
        <v>17</v>
      </c>
      <c r="O62" s="1777" t="s">
        <v>16</v>
      </c>
      <c r="P62" s="1778" t="s">
        <v>15</v>
      </c>
      <c r="Q62" s="1777" t="s">
        <v>14</v>
      </c>
      <c r="R62" s="1777" t="s">
        <v>13</v>
      </c>
      <c r="S62" s="1779" t="s">
        <v>12</v>
      </c>
      <c r="T62" s="1775" t="s">
        <v>11</v>
      </c>
      <c r="U62" s="1780" t="s">
        <v>10</v>
      </c>
      <c r="V62" s="1778" t="s">
        <v>9</v>
      </c>
      <c r="W62" s="1781" t="s">
        <v>8</v>
      </c>
      <c r="X62" s="1781" t="s">
        <v>7</v>
      </c>
      <c r="Y62" s="1781" t="s">
        <v>6</v>
      </c>
      <c r="Z62" s="1781" t="s">
        <v>5</v>
      </c>
      <c r="AA62" s="1781" t="s">
        <v>4</v>
      </c>
      <c r="AB62" s="1782" t="s">
        <v>3</v>
      </c>
    </row>
    <row r="63" spans="1:28" ht="16.5">
      <c r="B63" s="2352" t="s">
        <v>569</v>
      </c>
      <c r="C63" s="1783" t="s">
        <v>877</v>
      </c>
      <c r="D63" s="1783" t="s">
        <v>184</v>
      </c>
      <c r="E63" s="1784">
        <f>F63+G63</f>
        <v>197918.74</v>
      </c>
      <c r="F63" s="229">
        <v>95936.320000000007</v>
      </c>
      <c r="G63" s="1785">
        <v>101982.42</v>
      </c>
      <c r="H63" s="1786">
        <v>334689</v>
      </c>
      <c r="I63" s="1787">
        <f>E63/H63</f>
        <v>0.59135119469119091</v>
      </c>
      <c r="J63" s="1788">
        <v>7118</v>
      </c>
      <c r="K63" s="1789">
        <f>J63/H63</f>
        <v>2.126750505693345E-2</v>
      </c>
      <c r="L63" s="1789">
        <f>M63/J63</f>
        <v>0.11787018825512785</v>
      </c>
      <c r="M63" s="1790">
        <v>839</v>
      </c>
      <c r="N63" s="1788">
        <v>673</v>
      </c>
      <c r="O63" s="1791">
        <f>N63/M63</f>
        <v>0.80214541120381411</v>
      </c>
      <c r="P63" s="1792">
        <f>E63/M63</f>
        <v>235.898379022646</v>
      </c>
      <c r="Q63" s="1793">
        <f>E63/N63</f>
        <v>294.08430906389299</v>
      </c>
      <c r="R63" s="1790">
        <f>N63*T63</f>
        <v>161520</v>
      </c>
      <c r="S63" s="1794">
        <f>R63/E63</f>
        <v>0.81609250341832207</v>
      </c>
      <c r="T63" s="1795">
        <v>240</v>
      </c>
      <c r="U63" s="1796">
        <v>236</v>
      </c>
      <c r="V63" s="1788">
        <v>166</v>
      </c>
      <c r="W63" s="1797">
        <f>V63/U63</f>
        <v>0.70338983050847459</v>
      </c>
      <c r="X63" s="1798">
        <f>E63/U63</f>
        <v>838.63872881355928</v>
      </c>
      <c r="Y63" s="1799">
        <f>E63/V63</f>
        <v>1192.2815662650603</v>
      </c>
      <c r="Z63" s="1790">
        <f>V63*AB63</f>
        <v>40960.5</v>
      </c>
      <c r="AA63" s="1800">
        <f>Z63/E63</f>
        <v>0.20695614776043947</v>
      </c>
      <c r="AB63" s="1801">
        <v>246.75</v>
      </c>
    </row>
    <row r="64" spans="1:28" ht="16.5">
      <c r="B64" s="2328"/>
      <c r="C64" s="1802" t="s">
        <v>565</v>
      </c>
      <c r="D64" s="1802"/>
      <c r="E64" s="1803">
        <f>F64+G64</f>
        <v>197918.74</v>
      </c>
      <c r="F64" s="1804">
        <f>SUM(F63:F63)</f>
        <v>95936.320000000007</v>
      </c>
      <c r="G64" s="1805">
        <f>SUM(G63:G63)</f>
        <v>101982.42</v>
      </c>
      <c r="H64" s="1806">
        <f>SUM(H63:H63)</f>
        <v>334689</v>
      </c>
      <c r="I64" s="1807">
        <f>E64/H64</f>
        <v>0.59135119469119091</v>
      </c>
      <c r="J64" s="1808">
        <f>SUM(J63:J63)</f>
        <v>7118</v>
      </c>
      <c r="K64" s="1809">
        <f>J64/H64</f>
        <v>2.126750505693345E-2</v>
      </c>
      <c r="L64" s="1809">
        <f>M64/J64</f>
        <v>0.11787018825512785</v>
      </c>
      <c r="M64" s="1808">
        <f>SUM(M63:M63)</f>
        <v>839</v>
      </c>
      <c r="N64" s="1808">
        <f>SUM(N63:N63)</f>
        <v>673</v>
      </c>
      <c r="O64" s="1809">
        <f>N64/M64</f>
        <v>0.80214541120381411</v>
      </c>
      <c r="P64" s="1810">
        <f>E64/M64</f>
        <v>235.898379022646</v>
      </c>
      <c r="Q64" s="1810">
        <f>E64/N64</f>
        <v>294.08430906389299</v>
      </c>
      <c r="R64" s="1808">
        <f>N64*T63</f>
        <v>161520</v>
      </c>
      <c r="S64" s="1811">
        <f>R64/E64</f>
        <v>0.81609250341832207</v>
      </c>
      <c r="T64" s="1808"/>
      <c r="U64" s="1806">
        <f>SUM(U63:U63)</f>
        <v>236</v>
      </c>
      <c r="V64" s="1808">
        <f>SUM(V63:V63)</f>
        <v>166</v>
      </c>
      <c r="W64" s="1812">
        <f>V64/U64</f>
        <v>0.70338983050847459</v>
      </c>
      <c r="X64" s="1813">
        <f>E64/U64</f>
        <v>838.63872881355928</v>
      </c>
      <c r="Y64" s="1813">
        <f>E64/V64</f>
        <v>1192.2815662650603</v>
      </c>
      <c r="Z64" s="1808">
        <f>V64*AB64</f>
        <v>41002</v>
      </c>
      <c r="AA64" s="1814">
        <f>Z64/E64</f>
        <v>0.20716582977438117</v>
      </c>
      <c r="AB64" s="1815">
        <v>247</v>
      </c>
    </row>
    <row r="65" spans="1:28" ht="16.5">
      <c r="A65" s="1766"/>
      <c r="B65" s="233"/>
      <c r="C65" s="232" t="s">
        <v>461</v>
      </c>
      <c r="D65" s="231" t="s">
        <v>462</v>
      </c>
      <c r="E65" s="230">
        <f>SUM(F65,G65)</f>
        <v>1066017.97</v>
      </c>
      <c r="F65" s="229">
        <v>751041.97</v>
      </c>
      <c r="G65" s="228">
        <v>314976</v>
      </c>
      <c r="H65" s="1816"/>
      <c r="I65" s="336"/>
      <c r="J65" s="1817"/>
      <c r="K65" s="1818"/>
      <c r="L65" s="1818"/>
      <c r="M65" s="1817"/>
      <c r="N65" s="1817"/>
      <c r="O65" s="1819"/>
      <c r="P65" s="1819"/>
      <c r="Q65" s="1820"/>
      <c r="R65" s="336"/>
      <c r="S65" s="336"/>
      <c r="T65" s="336"/>
      <c r="U65" s="336"/>
      <c r="V65" s="336"/>
      <c r="W65" s="336"/>
      <c r="X65" s="336"/>
      <c r="Y65" s="336"/>
      <c r="Z65" s="336"/>
      <c r="AA65" s="336"/>
      <c r="AB65" s="336"/>
    </row>
    <row r="66" spans="1:28" ht="16.5">
      <c r="A66" s="1766"/>
      <c r="B66" s="227"/>
      <c r="C66" s="226" t="s">
        <v>463</v>
      </c>
      <c r="D66" s="225" t="s">
        <v>69</v>
      </c>
      <c r="E66" s="224">
        <f>E64/E65</f>
        <v>0.18566172951099502</v>
      </c>
      <c r="F66" s="223">
        <f>F63/F65</f>
        <v>0.12773762829792323</v>
      </c>
      <c r="G66" s="222">
        <f>G63/G65</f>
        <v>0.32377838311490398</v>
      </c>
      <c r="H66" s="1816"/>
      <c r="I66" s="336"/>
      <c r="J66" s="1817"/>
      <c r="K66" s="1818"/>
      <c r="L66" s="1818"/>
      <c r="M66" s="1817"/>
      <c r="N66" s="1817"/>
      <c r="O66" s="1819"/>
      <c r="P66" s="1819"/>
      <c r="Q66" s="1820"/>
      <c r="R66" s="336"/>
      <c r="S66" s="336"/>
      <c r="T66" s="336"/>
      <c r="U66" s="336"/>
      <c r="V66" s="336"/>
      <c r="W66" s="336"/>
      <c r="X66" s="336"/>
      <c r="Y66" s="336"/>
      <c r="Z66" s="336"/>
      <c r="AA66" s="336"/>
      <c r="AB66" s="336"/>
    </row>
    <row r="67" spans="1:28" ht="16.5">
      <c r="A67" s="1766"/>
      <c r="B67" s="336"/>
      <c r="C67" s="706"/>
      <c r="D67" s="706"/>
      <c r="E67" s="336"/>
      <c r="F67" s="336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  <c r="AA67" s="336"/>
      <c r="AB67" s="336"/>
    </row>
    <row r="68" spans="1:28" ht="16.5">
      <c r="A68" s="1766"/>
      <c r="B68" s="336"/>
      <c r="C68" s="706"/>
      <c r="D68" s="70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6"/>
      <c r="AB68" s="336"/>
    </row>
    <row r="69" spans="1:28" ht="16.5">
      <c r="A69" s="1766"/>
      <c r="B69" s="336"/>
      <c r="C69" s="706"/>
      <c r="D69" s="706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  <c r="AA69" s="336"/>
      <c r="AB69" s="336"/>
    </row>
    <row r="70" spans="1:28" ht="16.5">
      <c r="A70" s="1766"/>
      <c r="B70" s="248" t="s">
        <v>570</v>
      </c>
      <c r="C70" s="706"/>
      <c r="D70" s="70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  <c r="AB70" s="336"/>
    </row>
    <row r="71" spans="1:28" ht="31.5" customHeight="1">
      <c r="B71" s="2329" t="s">
        <v>32</v>
      </c>
      <c r="C71" s="2331" t="s">
        <v>100</v>
      </c>
      <c r="D71" s="2336" t="s">
        <v>30</v>
      </c>
      <c r="E71" s="2333" t="s">
        <v>29</v>
      </c>
      <c r="F71" s="2334"/>
      <c r="G71" s="2335"/>
      <c r="H71" s="2324" t="s">
        <v>28</v>
      </c>
      <c r="I71" s="2325"/>
      <c r="J71" s="2325"/>
      <c r="K71" s="2325"/>
      <c r="L71" s="2325"/>
      <c r="M71" s="2325"/>
      <c r="N71" s="2325"/>
      <c r="O71" s="2325"/>
      <c r="P71" s="2325"/>
      <c r="Q71" s="2325"/>
      <c r="R71" s="2325"/>
      <c r="S71" s="2325"/>
      <c r="T71" s="2353"/>
      <c r="U71" s="2324" t="s">
        <v>27</v>
      </c>
      <c r="V71" s="2325"/>
      <c r="W71" s="2325"/>
      <c r="X71" s="2325"/>
      <c r="Y71" s="2325"/>
      <c r="Z71" s="2325"/>
      <c r="AA71" s="2325"/>
      <c r="AB71" s="2326"/>
    </row>
    <row r="72" spans="1:28" ht="66">
      <c r="B72" s="2330"/>
      <c r="C72" s="2332"/>
      <c r="D72" s="2337"/>
      <c r="E72" s="1773" t="s">
        <v>26</v>
      </c>
      <c r="F72" s="1774" t="s">
        <v>138</v>
      </c>
      <c r="G72" s="1775" t="s">
        <v>24</v>
      </c>
      <c r="H72" s="1776" t="s">
        <v>23</v>
      </c>
      <c r="I72" s="1777" t="s">
        <v>22</v>
      </c>
      <c r="J72" s="1774" t="s">
        <v>21</v>
      </c>
      <c r="K72" s="1777" t="s">
        <v>20</v>
      </c>
      <c r="L72" s="1777" t="s">
        <v>19</v>
      </c>
      <c r="M72" s="1776" t="s">
        <v>18</v>
      </c>
      <c r="N72" s="1777" t="s">
        <v>17</v>
      </c>
      <c r="O72" s="1777" t="s">
        <v>16</v>
      </c>
      <c r="P72" s="1778" t="s">
        <v>15</v>
      </c>
      <c r="Q72" s="1777" t="s">
        <v>14</v>
      </c>
      <c r="R72" s="1777" t="s">
        <v>13</v>
      </c>
      <c r="S72" s="1779" t="s">
        <v>12</v>
      </c>
      <c r="T72" s="1775" t="s">
        <v>11</v>
      </c>
      <c r="U72" s="1780" t="s">
        <v>10</v>
      </c>
      <c r="V72" s="1778" t="s">
        <v>9</v>
      </c>
      <c r="W72" s="1781" t="s">
        <v>8</v>
      </c>
      <c r="X72" s="1781" t="s">
        <v>7</v>
      </c>
      <c r="Y72" s="1781" t="s">
        <v>6</v>
      </c>
      <c r="Z72" s="1781" t="s">
        <v>5</v>
      </c>
      <c r="AA72" s="1781" t="s">
        <v>4</v>
      </c>
      <c r="AB72" s="1782" t="s">
        <v>3</v>
      </c>
    </row>
    <row r="73" spans="1:28" ht="16.5">
      <c r="B73" s="2352" t="s">
        <v>571</v>
      </c>
      <c r="C73" s="1783" t="s">
        <v>877</v>
      </c>
      <c r="D73" s="1783" t="s">
        <v>572</v>
      </c>
      <c r="E73" s="1784">
        <f>F73+G73</f>
        <v>912845.13</v>
      </c>
      <c r="F73" s="229">
        <v>310663.23</v>
      </c>
      <c r="G73" s="1785">
        <v>602181.9</v>
      </c>
      <c r="H73" s="1786">
        <v>1005364</v>
      </c>
      <c r="I73" s="1787">
        <f>E73/H73</f>
        <v>0.907974753422641</v>
      </c>
      <c r="J73" s="1788">
        <v>15390</v>
      </c>
      <c r="K73" s="1789">
        <f>J73/H73</f>
        <v>1.5307888486160236E-2</v>
      </c>
      <c r="L73" s="1789">
        <f>M73/J73</f>
        <v>0.12501624431448993</v>
      </c>
      <c r="M73" s="1790">
        <v>1924</v>
      </c>
      <c r="N73" s="1788">
        <v>1623</v>
      </c>
      <c r="O73" s="1791">
        <f>N73/M73</f>
        <v>0.8435550935550935</v>
      </c>
      <c r="P73" s="1792">
        <f>E73/M73</f>
        <v>474.45173076923078</v>
      </c>
      <c r="Q73" s="1793">
        <f>E73/N73</f>
        <v>562.44308687615523</v>
      </c>
      <c r="R73" s="1790">
        <f>N73*T73</f>
        <v>389520</v>
      </c>
      <c r="S73" s="1794">
        <f>R73/E73</f>
        <v>0.42670984069334961</v>
      </c>
      <c r="T73" s="1795">
        <v>240</v>
      </c>
      <c r="U73" s="1796">
        <v>246</v>
      </c>
      <c r="V73" s="1788">
        <v>181</v>
      </c>
      <c r="W73" s="1797">
        <f>V73/U73</f>
        <v>0.73577235772357719</v>
      </c>
      <c r="X73" s="1798">
        <f>E73/U73</f>
        <v>3710.7525609756099</v>
      </c>
      <c r="Y73" s="1799">
        <f>E73/V73</f>
        <v>5043.3432596685079</v>
      </c>
      <c r="Z73" s="1790">
        <f>V73*AB73</f>
        <v>44661.75</v>
      </c>
      <c r="AA73" s="1800">
        <f>Z73/E73</f>
        <v>4.8925878587970338E-2</v>
      </c>
      <c r="AB73" s="1801">
        <v>246.75</v>
      </c>
    </row>
    <row r="74" spans="1:28" ht="16.5">
      <c r="B74" s="2328"/>
      <c r="C74" s="1802" t="s">
        <v>565</v>
      </c>
      <c r="D74" s="1802"/>
      <c r="E74" s="1803">
        <f>F74+G74</f>
        <v>912845.13</v>
      </c>
      <c r="F74" s="1804">
        <f>SUM(F73:F73)</f>
        <v>310663.23</v>
      </c>
      <c r="G74" s="1805">
        <f>SUM(G73:G73)</f>
        <v>602181.9</v>
      </c>
      <c r="H74" s="1806">
        <f>SUM(H73:H73)</f>
        <v>1005364</v>
      </c>
      <c r="I74" s="1807">
        <f>E74/H74</f>
        <v>0.907974753422641</v>
      </c>
      <c r="J74" s="1808">
        <f>SUM(J73:J73)</f>
        <v>15390</v>
      </c>
      <c r="K74" s="1809">
        <f>J74/H74</f>
        <v>1.5307888486160236E-2</v>
      </c>
      <c r="L74" s="1809">
        <f>M74/J74</f>
        <v>0.12501624431448993</v>
      </c>
      <c r="M74" s="1808">
        <f>SUM(M73:M73)</f>
        <v>1924</v>
      </c>
      <c r="N74" s="1808">
        <f>SUM(N73:N73)</f>
        <v>1623</v>
      </c>
      <c r="O74" s="1809">
        <f>N74/M74</f>
        <v>0.8435550935550935</v>
      </c>
      <c r="P74" s="1810">
        <f>E74/M74</f>
        <v>474.45173076923078</v>
      </c>
      <c r="Q74" s="1810">
        <f>E74/N74</f>
        <v>562.44308687615523</v>
      </c>
      <c r="R74" s="1808">
        <f>N74*T73</f>
        <v>389520</v>
      </c>
      <c r="S74" s="1811">
        <f>R74/E74</f>
        <v>0.42670984069334961</v>
      </c>
      <c r="T74" s="1808"/>
      <c r="U74" s="1806">
        <f>SUM(U73:U73)</f>
        <v>246</v>
      </c>
      <c r="V74" s="1808">
        <f>SUM(V73:V73)</f>
        <v>181</v>
      </c>
      <c r="W74" s="1812">
        <f>V74/U74</f>
        <v>0.73577235772357719</v>
      </c>
      <c r="X74" s="1813">
        <f>E74/U74</f>
        <v>3710.7525609756099</v>
      </c>
      <c r="Y74" s="1813">
        <f>E74/V74</f>
        <v>5043.3432596685079</v>
      </c>
      <c r="Z74" s="1808">
        <f>V74*AB74</f>
        <v>44707</v>
      </c>
      <c r="AA74" s="1814">
        <f>Z74/E74</f>
        <v>4.8975448880359367E-2</v>
      </c>
      <c r="AB74" s="1815">
        <v>247</v>
      </c>
    </row>
    <row r="75" spans="1:28" ht="16.5">
      <c r="A75" s="1766"/>
      <c r="B75" s="1822"/>
      <c r="C75" s="1823"/>
      <c r="D75" s="1824"/>
      <c r="E75" s="1825"/>
      <c r="F75" s="1824"/>
      <c r="H75" s="1816"/>
      <c r="I75" s="336"/>
      <c r="J75" s="1817"/>
      <c r="K75" s="1818"/>
      <c r="L75" s="1818"/>
      <c r="M75" s="1817"/>
      <c r="N75" s="1817"/>
      <c r="O75" s="1819"/>
      <c r="P75" s="1819"/>
      <c r="Q75" s="1820"/>
      <c r="R75" s="336"/>
      <c r="S75" s="336"/>
      <c r="T75" s="336"/>
      <c r="U75" s="336"/>
      <c r="V75" s="336"/>
      <c r="W75" s="336"/>
      <c r="X75" s="336"/>
      <c r="Y75" s="336"/>
      <c r="Z75" s="336"/>
      <c r="AA75" s="336"/>
      <c r="AB75" s="336"/>
    </row>
    <row r="76" spans="1:28" ht="16.5">
      <c r="A76" s="1766"/>
      <c r="B76" s="336"/>
      <c r="C76" s="706"/>
      <c r="D76" s="70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  <c r="AA76" s="336"/>
      <c r="AB76" s="336"/>
    </row>
    <row r="77" spans="1:28" ht="16.5">
      <c r="A77" s="1766"/>
      <c r="B77" s="336"/>
      <c r="C77" s="706"/>
      <c r="D77" s="706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  <c r="AA77" s="336"/>
      <c r="AB77" s="336"/>
    </row>
    <row r="78" spans="1:28" ht="16.5">
      <c r="A78" s="1766"/>
      <c r="B78" s="248" t="s">
        <v>573</v>
      </c>
      <c r="C78" s="706"/>
      <c r="D78" s="70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  <c r="AA78" s="336"/>
      <c r="AB78" s="336"/>
    </row>
    <row r="79" spans="1:28" ht="16.5">
      <c r="B79" s="2329" t="s">
        <v>32</v>
      </c>
      <c r="C79" s="2331" t="s">
        <v>100</v>
      </c>
      <c r="D79" s="2336" t="s">
        <v>30</v>
      </c>
      <c r="E79" s="2333" t="s">
        <v>29</v>
      </c>
      <c r="F79" s="2334"/>
      <c r="G79" s="2335"/>
      <c r="H79" s="2324" t="s">
        <v>28</v>
      </c>
      <c r="I79" s="2325"/>
      <c r="J79" s="2325"/>
      <c r="K79" s="2325"/>
      <c r="L79" s="2325"/>
      <c r="M79" s="2325"/>
      <c r="N79" s="2325"/>
      <c r="O79" s="2325"/>
      <c r="P79" s="2325"/>
      <c r="Q79" s="2325"/>
      <c r="R79" s="2325"/>
      <c r="S79" s="2325"/>
      <c r="T79" s="2353"/>
      <c r="U79" s="2324" t="s">
        <v>27</v>
      </c>
      <c r="V79" s="2325"/>
      <c r="W79" s="2325"/>
      <c r="X79" s="2325"/>
      <c r="Y79" s="2325"/>
      <c r="Z79" s="2325"/>
      <c r="AA79" s="2325"/>
      <c r="AB79" s="2326"/>
    </row>
    <row r="80" spans="1:28" ht="66">
      <c r="B80" s="2330"/>
      <c r="C80" s="2332"/>
      <c r="D80" s="2337"/>
      <c r="E80" s="1773" t="s">
        <v>26</v>
      </c>
      <c r="F80" s="1774" t="s">
        <v>138</v>
      </c>
      <c r="G80" s="1775" t="s">
        <v>24</v>
      </c>
      <c r="H80" s="1776" t="s">
        <v>23</v>
      </c>
      <c r="I80" s="1777" t="s">
        <v>22</v>
      </c>
      <c r="J80" s="1774" t="s">
        <v>21</v>
      </c>
      <c r="K80" s="1777" t="s">
        <v>20</v>
      </c>
      <c r="L80" s="1777" t="s">
        <v>19</v>
      </c>
      <c r="M80" s="1776" t="s">
        <v>18</v>
      </c>
      <c r="N80" s="1777" t="s">
        <v>17</v>
      </c>
      <c r="O80" s="1777" t="s">
        <v>16</v>
      </c>
      <c r="P80" s="1778" t="s">
        <v>15</v>
      </c>
      <c r="Q80" s="1777" t="s">
        <v>14</v>
      </c>
      <c r="R80" s="1777" t="s">
        <v>13</v>
      </c>
      <c r="S80" s="1779" t="s">
        <v>12</v>
      </c>
      <c r="T80" s="1775" t="s">
        <v>11</v>
      </c>
      <c r="U80" s="1780" t="s">
        <v>10</v>
      </c>
      <c r="V80" s="1778" t="s">
        <v>9</v>
      </c>
      <c r="W80" s="1781" t="s">
        <v>8</v>
      </c>
      <c r="X80" s="1781" t="s">
        <v>7</v>
      </c>
      <c r="Y80" s="1781" t="s">
        <v>6</v>
      </c>
      <c r="Z80" s="1781" t="s">
        <v>5</v>
      </c>
      <c r="AA80" s="1781" t="s">
        <v>4</v>
      </c>
      <c r="AB80" s="1782" t="s">
        <v>3</v>
      </c>
    </row>
    <row r="81" spans="1:28" ht="16.5">
      <c r="B81" s="2352" t="s">
        <v>574</v>
      </c>
      <c r="C81" s="1783" t="s">
        <v>877</v>
      </c>
      <c r="D81" s="1783" t="s">
        <v>572</v>
      </c>
      <c r="E81" s="1784">
        <f>F81+G81</f>
        <v>874834.08000000007</v>
      </c>
      <c r="F81" s="229">
        <v>272652.18</v>
      </c>
      <c r="G81" s="1785">
        <v>602181.9</v>
      </c>
      <c r="H81" s="1826">
        <v>863562</v>
      </c>
      <c r="I81" s="1787">
        <f>E81/H81</f>
        <v>1.0130530060377831</v>
      </c>
      <c r="J81" s="1788">
        <v>12337</v>
      </c>
      <c r="K81" s="1789">
        <f>J81/H81</f>
        <v>1.428617748349279E-2</v>
      </c>
      <c r="L81" s="1789">
        <f>M81/J81</f>
        <v>0.12069384777498582</v>
      </c>
      <c r="M81" s="1790">
        <v>1489</v>
      </c>
      <c r="N81" s="1788">
        <v>1260</v>
      </c>
      <c r="O81" s="1791">
        <f>N81/M81</f>
        <v>0.8462055070517126</v>
      </c>
      <c r="P81" s="1792">
        <f>E81/M81</f>
        <v>587.53128274009407</v>
      </c>
      <c r="Q81" s="1793">
        <f>E81/N81</f>
        <v>694.31276190476194</v>
      </c>
      <c r="R81" s="1790">
        <f>N81*T81</f>
        <v>302400</v>
      </c>
      <c r="S81" s="1794">
        <f>R81/E81</f>
        <v>0.34566554608846511</v>
      </c>
      <c r="T81" s="1795">
        <v>240</v>
      </c>
      <c r="U81" s="1796">
        <v>172</v>
      </c>
      <c r="V81" s="1788">
        <v>121</v>
      </c>
      <c r="W81" s="1797">
        <f>V81/U81</f>
        <v>0.70348837209302328</v>
      </c>
      <c r="X81" s="1798">
        <f>E81/U81</f>
        <v>5086.2446511627913</v>
      </c>
      <c r="Y81" s="1799">
        <f>E81/V81</f>
        <v>7230.0337190082655</v>
      </c>
      <c r="Z81" s="1790">
        <f>V81*AB81</f>
        <v>29856.75</v>
      </c>
      <c r="AA81" s="1800">
        <f>Z81/E81</f>
        <v>3.4128471538283002E-2</v>
      </c>
      <c r="AB81" s="1801">
        <v>246.75</v>
      </c>
    </row>
    <row r="82" spans="1:28" ht="16.5">
      <c r="B82" s="2328"/>
      <c r="C82" s="1802" t="s">
        <v>565</v>
      </c>
      <c r="D82" s="1802"/>
      <c r="E82" s="1803">
        <f>F82+G82</f>
        <v>874834.08000000007</v>
      </c>
      <c r="F82" s="1804">
        <f>SUM(F81:F81)</f>
        <v>272652.18</v>
      </c>
      <c r="G82" s="1805">
        <f>SUM(G81:G81)</f>
        <v>602181.9</v>
      </c>
      <c r="H82" s="1806">
        <f>SUM(H81:H81)</f>
        <v>863562</v>
      </c>
      <c r="I82" s="1807">
        <f>E82/H82</f>
        <v>1.0130530060377831</v>
      </c>
      <c r="J82" s="1808">
        <f>SUM(J81:J81)</f>
        <v>12337</v>
      </c>
      <c r="K82" s="1809">
        <f>J82/H82</f>
        <v>1.428617748349279E-2</v>
      </c>
      <c r="L82" s="1809">
        <f>M82/J82</f>
        <v>0.12069384777498582</v>
      </c>
      <c r="M82" s="1808">
        <f>SUM(M81:M81)</f>
        <v>1489</v>
      </c>
      <c r="N82" s="1808">
        <f>SUM(N81:N81)</f>
        <v>1260</v>
      </c>
      <c r="O82" s="1809">
        <f>N82/M82</f>
        <v>0.8462055070517126</v>
      </c>
      <c r="P82" s="1810">
        <f>E82/M82</f>
        <v>587.53128274009407</v>
      </c>
      <c r="Q82" s="1810">
        <f>E82/N82</f>
        <v>694.31276190476194</v>
      </c>
      <c r="R82" s="1808">
        <f>N82*T81</f>
        <v>302400</v>
      </c>
      <c r="S82" s="1811">
        <f>R82/E82</f>
        <v>0.34566554608846511</v>
      </c>
      <c r="T82" s="1808"/>
      <c r="U82" s="1806">
        <f>SUM(U81:U81)</f>
        <v>172</v>
      </c>
      <c r="V82" s="1808">
        <f>SUM(V81:V81)</f>
        <v>121</v>
      </c>
      <c r="W82" s="1812">
        <f>V82/U82</f>
        <v>0.70348837209302328</v>
      </c>
      <c r="X82" s="1813">
        <f>E82/U82</f>
        <v>5086.2446511627913</v>
      </c>
      <c r="Y82" s="1813">
        <f>E82/V82</f>
        <v>7230.0337190082655</v>
      </c>
      <c r="Z82" s="1808">
        <f>V82*AB82</f>
        <v>29887</v>
      </c>
      <c r="AA82" s="1814">
        <f>Z82/E82</f>
        <v>3.4163049523630806E-2</v>
      </c>
      <c r="AB82" s="1815">
        <v>247</v>
      </c>
    </row>
    <row r="83" spans="1:28" ht="16.5">
      <c r="A83" s="1766"/>
      <c r="B83" s="1822"/>
      <c r="C83" s="1823"/>
      <c r="D83" s="1824"/>
      <c r="E83" s="1825"/>
      <c r="F83" s="1824"/>
      <c r="H83" s="1816"/>
      <c r="I83" s="336"/>
      <c r="J83" s="1817"/>
      <c r="K83" s="1818"/>
      <c r="L83" s="1818"/>
      <c r="M83" s="1817"/>
      <c r="N83" s="1817"/>
      <c r="O83" s="1819"/>
      <c r="P83" s="1819"/>
      <c r="Q83" s="1820"/>
      <c r="R83" s="336"/>
      <c r="S83" s="336"/>
      <c r="T83" s="336"/>
      <c r="U83" s="336"/>
      <c r="V83" s="336"/>
      <c r="W83" s="336"/>
      <c r="X83" s="336"/>
      <c r="Y83" s="336"/>
      <c r="Z83" s="336"/>
      <c r="AA83" s="336"/>
      <c r="AB83" s="336"/>
    </row>
    <row r="84" spans="1:28" ht="16.5">
      <c r="A84" s="1766"/>
      <c r="B84" s="1827"/>
      <c r="C84" s="1823"/>
      <c r="D84" s="1823"/>
      <c r="E84" s="1766"/>
      <c r="F84" s="1766"/>
      <c r="G84" s="1766"/>
      <c r="H84" s="1766"/>
      <c r="I84" s="1766"/>
      <c r="J84" s="1766"/>
      <c r="K84" s="1766"/>
      <c r="L84" s="1766"/>
      <c r="M84" s="1766"/>
      <c r="N84" s="1766"/>
      <c r="O84" s="1766"/>
      <c r="P84" s="1766"/>
      <c r="Q84" s="1766"/>
      <c r="R84" s="1766"/>
      <c r="S84" s="1766"/>
      <c r="T84" s="1766"/>
      <c r="U84" s="1766"/>
      <c r="V84" s="1766"/>
      <c r="W84" s="1766"/>
      <c r="X84" s="1766"/>
      <c r="Y84" s="1766"/>
      <c r="Z84" s="1766"/>
      <c r="AA84" s="1766"/>
      <c r="AB84" s="1766"/>
    </row>
    <row r="85" spans="1:28" ht="16.5">
      <c r="A85" s="1766"/>
      <c r="B85" s="1827"/>
      <c r="C85" s="1823"/>
      <c r="D85" s="1823"/>
      <c r="E85" s="1766"/>
      <c r="F85" s="1766"/>
      <c r="G85" s="1766"/>
      <c r="H85" s="1766"/>
      <c r="I85" s="1766"/>
      <c r="J85" s="1766"/>
      <c r="K85" s="1766"/>
      <c r="L85" s="1766"/>
      <c r="M85" s="1766"/>
      <c r="N85" s="1766"/>
      <c r="O85" s="1766"/>
      <c r="P85" s="1766"/>
      <c r="Q85" s="1766"/>
      <c r="R85" s="1766"/>
      <c r="S85" s="1766"/>
      <c r="T85" s="1766"/>
      <c r="U85" s="1766"/>
      <c r="V85" s="1766"/>
      <c r="W85" s="1766"/>
      <c r="X85" s="1766"/>
      <c r="Y85" s="1766"/>
      <c r="Z85" s="1766"/>
      <c r="AA85" s="1766"/>
      <c r="AB85" s="1766"/>
    </row>
    <row r="86" spans="1:28" ht="16.5">
      <c r="A86" s="1766"/>
      <c r="B86" s="248" t="s">
        <v>575</v>
      </c>
      <c r="C86" s="1823"/>
      <c r="D86" s="1823"/>
      <c r="E86" s="1766"/>
      <c r="F86" s="1766"/>
      <c r="G86" s="1766"/>
      <c r="H86" s="1766"/>
      <c r="I86" s="1766"/>
      <c r="J86" s="1766"/>
      <c r="K86" s="1766"/>
      <c r="L86" s="1766"/>
      <c r="M86" s="1766"/>
      <c r="N86" s="1766"/>
      <c r="O86" s="1766"/>
      <c r="P86" s="1766"/>
      <c r="Q86" s="1766"/>
      <c r="R86" s="1766"/>
      <c r="S86" s="1766"/>
      <c r="T86" s="1766"/>
      <c r="U86" s="1766"/>
      <c r="V86" s="1766"/>
      <c r="W86" s="1766"/>
      <c r="X86" s="1766"/>
      <c r="Y86" s="1766"/>
      <c r="Z86" s="1766"/>
      <c r="AA86" s="1766"/>
      <c r="AB86" s="1766"/>
    </row>
    <row r="87" spans="1:28" ht="16.5">
      <c r="A87" s="1766"/>
      <c r="B87" s="2329" t="s">
        <v>32</v>
      </c>
      <c r="C87" s="2331" t="s">
        <v>100</v>
      </c>
      <c r="D87" s="2336" t="s">
        <v>30</v>
      </c>
      <c r="E87" s="2333" t="s">
        <v>29</v>
      </c>
      <c r="F87" s="2334"/>
      <c r="G87" s="2335"/>
      <c r="H87" s="2324" t="s">
        <v>28</v>
      </c>
      <c r="I87" s="2325"/>
      <c r="J87" s="2325"/>
      <c r="K87" s="2325"/>
      <c r="L87" s="2325"/>
      <c r="M87" s="2325"/>
      <c r="N87" s="2325"/>
      <c r="O87" s="2325"/>
      <c r="P87" s="2325"/>
      <c r="Q87" s="2325"/>
      <c r="R87" s="2325"/>
      <c r="S87" s="2325"/>
      <c r="T87" s="2353"/>
      <c r="U87" s="2324" t="s">
        <v>27</v>
      </c>
      <c r="V87" s="2325"/>
      <c r="W87" s="2325"/>
      <c r="X87" s="2325"/>
      <c r="Y87" s="2325"/>
      <c r="Z87" s="2325"/>
      <c r="AA87" s="2325"/>
      <c r="AB87" s="2326"/>
    </row>
    <row r="88" spans="1:28" ht="66">
      <c r="A88" s="1766"/>
      <c r="B88" s="2330"/>
      <c r="C88" s="2332"/>
      <c r="D88" s="2337"/>
      <c r="E88" s="1773" t="s">
        <v>26</v>
      </c>
      <c r="F88" s="1774" t="s">
        <v>138</v>
      </c>
      <c r="G88" s="1775" t="s">
        <v>24</v>
      </c>
      <c r="H88" s="1776" t="s">
        <v>23</v>
      </c>
      <c r="I88" s="1777" t="s">
        <v>22</v>
      </c>
      <c r="J88" s="1774" t="s">
        <v>21</v>
      </c>
      <c r="K88" s="1777" t="s">
        <v>20</v>
      </c>
      <c r="L88" s="1777" t="s">
        <v>19</v>
      </c>
      <c r="M88" s="1776" t="s">
        <v>18</v>
      </c>
      <c r="N88" s="1777" t="s">
        <v>17</v>
      </c>
      <c r="O88" s="1777" t="s">
        <v>16</v>
      </c>
      <c r="P88" s="1778" t="s">
        <v>15</v>
      </c>
      <c r="Q88" s="1777" t="s">
        <v>14</v>
      </c>
      <c r="R88" s="1777" t="s">
        <v>13</v>
      </c>
      <c r="S88" s="1779" t="s">
        <v>12</v>
      </c>
      <c r="T88" s="1775" t="s">
        <v>11</v>
      </c>
      <c r="U88" s="1780" t="s">
        <v>10</v>
      </c>
      <c r="V88" s="1778" t="s">
        <v>9</v>
      </c>
      <c r="W88" s="1781" t="s">
        <v>8</v>
      </c>
      <c r="X88" s="1781" t="s">
        <v>7</v>
      </c>
      <c r="Y88" s="1781" t="s">
        <v>6</v>
      </c>
      <c r="Z88" s="1781" t="s">
        <v>5</v>
      </c>
      <c r="AA88" s="1781" t="s">
        <v>4</v>
      </c>
      <c r="AB88" s="1782" t="s">
        <v>3</v>
      </c>
    </row>
    <row r="89" spans="1:28" ht="16.5">
      <c r="A89" s="1766"/>
      <c r="B89" s="2352" t="s">
        <v>576</v>
      </c>
      <c r="C89" s="1828" t="s">
        <v>877</v>
      </c>
      <c r="D89" s="1783" t="s">
        <v>572</v>
      </c>
      <c r="E89" s="1784">
        <f>F89+G89</f>
        <v>802109.57000000007</v>
      </c>
      <c r="F89" s="229">
        <v>263230.57</v>
      </c>
      <c r="G89" s="1785">
        <v>538879</v>
      </c>
      <c r="H89" s="1826">
        <v>693512</v>
      </c>
      <c r="I89" s="1787">
        <f>E89/H89</f>
        <v>1.1565907583430424</v>
      </c>
      <c r="J89" s="1788">
        <v>11868</v>
      </c>
      <c r="K89" s="1789">
        <f>J89/H89</f>
        <v>1.7112897830174532E-2</v>
      </c>
      <c r="L89" s="1789">
        <f>M89/J89</f>
        <v>0.12032355915065723</v>
      </c>
      <c r="M89" s="1790">
        <v>1428</v>
      </c>
      <c r="N89" s="1788">
        <v>1216</v>
      </c>
      <c r="O89" s="1791">
        <f>N89/M89</f>
        <v>0.85154061624649857</v>
      </c>
      <c r="P89" s="1792">
        <f>E89/M89</f>
        <v>561.70137955182076</v>
      </c>
      <c r="Q89" s="1793">
        <f>E89/N89</f>
        <v>659.6295805921053</v>
      </c>
      <c r="R89" s="1790">
        <f>N89*T89</f>
        <v>291840</v>
      </c>
      <c r="S89" s="1794">
        <f>R89/E89</f>
        <v>0.36384056607129123</v>
      </c>
      <c r="T89" s="1795">
        <v>240</v>
      </c>
      <c r="U89" s="1796">
        <v>168</v>
      </c>
      <c r="V89" s="1788">
        <v>109</v>
      </c>
      <c r="W89" s="1797">
        <f>V89/U89</f>
        <v>0.64880952380952384</v>
      </c>
      <c r="X89" s="1798">
        <f>E89/U89</f>
        <v>4774.4617261904768</v>
      </c>
      <c r="Y89" s="1799">
        <f>E89/V89</f>
        <v>7358.8033944954132</v>
      </c>
      <c r="Z89" s="1790">
        <f>V89*AB89</f>
        <v>26895.75</v>
      </c>
      <c r="AA89" s="1800">
        <f>Z89/E89</f>
        <v>3.3531266806852832E-2</v>
      </c>
      <c r="AB89" s="1801">
        <v>246.75</v>
      </c>
    </row>
    <row r="90" spans="1:28" ht="16.5">
      <c r="A90" s="1766"/>
      <c r="B90" s="2328"/>
      <c r="C90" s="1829" t="s">
        <v>565</v>
      </c>
      <c r="D90" s="1802"/>
      <c r="E90" s="1803">
        <f>F90+G90</f>
        <v>802109.57000000007</v>
      </c>
      <c r="F90" s="1804">
        <f>SUM(F89:F89)</f>
        <v>263230.57</v>
      </c>
      <c r="G90" s="1805">
        <f>SUM(G89:G89)</f>
        <v>538879</v>
      </c>
      <c r="H90" s="1806">
        <f>SUM(H89:H89)</f>
        <v>693512</v>
      </c>
      <c r="I90" s="1807">
        <f>E90/H90</f>
        <v>1.1565907583430424</v>
      </c>
      <c r="J90" s="1808">
        <f>SUM(J89:J89)</f>
        <v>11868</v>
      </c>
      <c r="K90" s="1809">
        <f>J90/H90</f>
        <v>1.7112897830174532E-2</v>
      </c>
      <c r="L90" s="1809">
        <f>M90/J90</f>
        <v>0.12032355915065723</v>
      </c>
      <c r="M90" s="1808">
        <f>SUM(M89:M89)</f>
        <v>1428</v>
      </c>
      <c r="N90" s="1808">
        <f>SUM(N89:N89)</f>
        <v>1216</v>
      </c>
      <c r="O90" s="1809">
        <f>N90/M90</f>
        <v>0.85154061624649857</v>
      </c>
      <c r="P90" s="1810">
        <f>E90/M90</f>
        <v>561.70137955182076</v>
      </c>
      <c r="Q90" s="1810">
        <f>E90/N90</f>
        <v>659.6295805921053</v>
      </c>
      <c r="R90" s="1808">
        <f>N90*T89</f>
        <v>291840</v>
      </c>
      <c r="S90" s="1811">
        <f>R90/E90</f>
        <v>0.36384056607129123</v>
      </c>
      <c r="T90" s="1808"/>
      <c r="U90" s="1806">
        <f>SUM(U89:U89)</f>
        <v>168</v>
      </c>
      <c r="V90" s="1808">
        <f>SUM(V89:V89)</f>
        <v>109</v>
      </c>
      <c r="W90" s="1812">
        <f>V90/U90</f>
        <v>0.64880952380952384</v>
      </c>
      <c r="X90" s="1813">
        <f>E90/U90</f>
        <v>4774.4617261904768</v>
      </c>
      <c r="Y90" s="1813">
        <f>E90/V90</f>
        <v>7358.8033944954132</v>
      </c>
      <c r="Z90" s="1808">
        <f>V90*AB90</f>
        <v>26923</v>
      </c>
      <c r="AA90" s="1814">
        <f>Z90/E90</f>
        <v>3.356523972155076E-2</v>
      </c>
      <c r="AB90" s="1815">
        <v>247</v>
      </c>
    </row>
    <row r="91" spans="1:28" ht="16.5">
      <c r="A91" s="1766"/>
      <c r="B91" s="1827"/>
      <c r="C91" s="1823"/>
      <c r="D91" s="1823"/>
      <c r="E91" s="1766"/>
      <c r="F91" s="1766"/>
      <c r="G91" s="1766"/>
      <c r="H91" s="1766"/>
      <c r="I91" s="1766"/>
      <c r="J91" s="1766"/>
      <c r="K91" s="1766"/>
      <c r="L91" s="1766"/>
      <c r="M91" s="1766"/>
      <c r="N91" s="1766"/>
      <c r="O91" s="1766"/>
      <c r="P91" s="1766"/>
      <c r="Q91" s="1766"/>
      <c r="R91" s="1766"/>
      <c r="S91" s="1766"/>
      <c r="T91" s="1766"/>
      <c r="U91" s="1766"/>
      <c r="V91" s="1766"/>
      <c r="W91" s="1766"/>
      <c r="X91" s="1766"/>
      <c r="Y91" s="1766"/>
      <c r="Z91" s="1766"/>
      <c r="AA91" s="1766"/>
      <c r="AB91" s="1766"/>
    </row>
    <row r="92" spans="1:28" ht="16.5">
      <c r="A92" s="1766"/>
      <c r="B92" s="1827"/>
      <c r="C92" s="1823"/>
      <c r="D92" s="1823"/>
      <c r="E92" s="1766"/>
      <c r="F92" s="1766"/>
      <c r="G92" s="1766"/>
      <c r="H92" s="1766"/>
      <c r="I92" s="1766"/>
      <c r="J92" s="1766"/>
      <c r="K92" s="1766"/>
      <c r="L92" s="1766"/>
      <c r="M92" s="1766"/>
      <c r="N92" s="1766"/>
      <c r="O92" s="1766"/>
      <c r="P92" s="1766"/>
      <c r="Q92" s="1766"/>
      <c r="R92" s="1766"/>
      <c r="S92" s="1766"/>
      <c r="T92" s="1766"/>
      <c r="U92" s="1766"/>
      <c r="V92" s="1766"/>
      <c r="W92" s="1766"/>
      <c r="X92" s="1766"/>
      <c r="Y92" s="1766"/>
      <c r="Z92" s="1766"/>
      <c r="AA92" s="1766"/>
      <c r="AB92" s="1766"/>
    </row>
    <row r="93" spans="1:28" ht="16.5">
      <c r="A93" s="1766"/>
      <c r="B93" s="1827"/>
      <c r="C93" s="1823"/>
      <c r="D93" s="1823"/>
      <c r="E93" s="1766"/>
      <c r="F93" s="1766"/>
      <c r="G93" s="1766"/>
      <c r="H93" s="1766"/>
      <c r="I93" s="1766"/>
      <c r="J93" s="1766"/>
      <c r="K93" s="1766"/>
      <c r="L93" s="1766"/>
      <c r="M93" s="1766"/>
      <c r="N93" s="1766"/>
      <c r="O93" s="1766"/>
      <c r="P93" s="1766"/>
      <c r="Q93" s="1766"/>
      <c r="R93" s="1766"/>
      <c r="S93" s="1766"/>
      <c r="T93" s="1766"/>
      <c r="U93" s="1766"/>
      <c r="V93" s="1766"/>
      <c r="W93" s="1766"/>
      <c r="X93" s="1766"/>
      <c r="Y93" s="1766"/>
      <c r="Z93" s="1766"/>
      <c r="AA93" s="1766"/>
      <c r="AB93" s="1766"/>
    </row>
    <row r="94" spans="1:28" ht="16.5">
      <c r="A94" s="1766"/>
      <c r="B94" s="248" t="s">
        <v>577</v>
      </c>
      <c r="C94" s="1830"/>
      <c r="D94" s="1831"/>
      <c r="E94" s="336"/>
      <c r="F94" s="336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6"/>
      <c r="AB94" s="336"/>
    </row>
    <row r="95" spans="1:28" ht="16.5">
      <c r="B95" s="2297" t="s">
        <v>32</v>
      </c>
      <c r="C95" s="2299" t="s">
        <v>149</v>
      </c>
      <c r="D95" s="2299" t="s">
        <v>30</v>
      </c>
      <c r="E95" s="2302" t="s">
        <v>29</v>
      </c>
      <c r="F95" s="2303"/>
      <c r="G95" s="2304"/>
      <c r="H95" s="2305" t="s">
        <v>28</v>
      </c>
      <c r="I95" s="2303"/>
      <c r="J95" s="2303"/>
      <c r="K95" s="2303"/>
      <c r="L95" s="2303"/>
      <c r="M95" s="2303"/>
      <c r="N95" s="2303"/>
      <c r="O95" s="2303"/>
      <c r="P95" s="2303"/>
      <c r="Q95" s="2303"/>
      <c r="R95" s="2303"/>
      <c r="S95" s="2303"/>
      <c r="T95" s="2304"/>
      <c r="U95" s="2305" t="s">
        <v>27</v>
      </c>
      <c r="V95" s="2303"/>
      <c r="W95" s="2303"/>
      <c r="X95" s="2303"/>
      <c r="Y95" s="2303"/>
      <c r="Z95" s="2303"/>
      <c r="AA95" s="2303"/>
      <c r="AB95" s="2304"/>
    </row>
    <row r="96" spans="1:28" ht="66">
      <c r="B96" s="2298"/>
      <c r="C96" s="2300"/>
      <c r="D96" s="2301"/>
      <c r="E96" s="179" t="s">
        <v>26</v>
      </c>
      <c r="F96" s="178" t="s">
        <v>155</v>
      </c>
      <c r="G96" s="174" t="s">
        <v>24</v>
      </c>
      <c r="H96" s="177" t="s">
        <v>23</v>
      </c>
      <c r="I96" s="175" t="s">
        <v>44</v>
      </c>
      <c r="J96" s="178" t="s">
        <v>21</v>
      </c>
      <c r="K96" s="175" t="s">
        <v>20</v>
      </c>
      <c r="L96" s="175" t="s">
        <v>19</v>
      </c>
      <c r="M96" s="177" t="s">
        <v>18</v>
      </c>
      <c r="N96" s="175" t="s">
        <v>17</v>
      </c>
      <c r="O96" s="175" t="s">
        <v>16</v>
      </c>
      <c r="P96" s="176" t="s">
        <v>15</v>
      </c>
      <c r="Q96" s="175" t="s">
        <v>14</v>
      </c>
      <c r="R96" s="175" t="s">
        <v>13</v>
      </c>
      <c r="S96" s="175" t="s">
        <v>12</v>
      </c>
      <c r="T96" s="174" t="s">
        <v>11</v>
      </c>
      <c r="U96" s="173" t="s">
        <v>10</v>
      </c>
      <c r="V96" s="172" t="s">
        <v>9</v>
      </c>
      <c r="W96" s="171" t="s">
        <v>8</v>
      </c>
      <c r="X96" s="171" t="s">
        <v>7</v>
      </c>
      <c r="Y96" s="171" t="s">
        <v>6</v>
      </c>
      <c r="Z96" s="171" t="s">
        <v>5</v>
      </c>
      <c r="AA96" s="171" t="s">
        <v>4</v>
      </c>
      <c r="AB96" s="170" t="s">
        <v>3</v>
      </c>
    </row>
    <row r="97" spans="1:28" ht="16.5">
      <c r="B97" s="1460" t="s">
        <v>577</v>
      </c>
      <c r="C97" s="169" t="s">
        <v>878</v>
      </c>
      <c r="D97" s="184" t="s">
        <v>578</v>
      </c>
      <c r="E97" s="35">
        <f>F97+G97</f>
        <v>1225579.1254</v>
      </c>
      <c r="F97" s="168">
        <v>611451.12540000002</v>
      </c>
      <c r="G97" s="167">
        <v>614128</v>
      </c>
      <c r="H97" s="188">
        <v>1290690</v>
      </c>
      <c r="I97" s="166">
        <f>E97/H97</f>
        <v>0.94955343684385873</v>
      </c>
      <c r="J97" s="186">
        <v>29875</v>
      </c>
      <c r="K97" s="158">
        <f>J97/H97</f>
        <v>2.3146534024436543E-2</v>
      </c>
      <c r="L97" s="165">
        <f>M97/J97</f>
        <v>0.10768200836820084</v>
      </c>
      <c r="M97" s="188">
        <v>3217</v>
      </c>
      <c r="N97" s="186">
        <v>2577</v>
      </c>
      <c r="O97" s="164">
        <f>N97/M97</f>
        <v>0.80105688529686048</v>
      </c>
      <c r="P97" s="540">
        <f>E97/M97</f>
        <v>380.96957581597763</v>
      </c>
      <c r="Q97" s="541">
        <f>E97/N97</f>
        <v>475.5836730306558</v>
      </c>
      <c r="R97" s="188">
        <f>N97*T97</f>
        <v>618480</v>
      </c>
      <c r="S97" s="161">
        <f>R97/E97</f>
        <v>0.50464305990699931</v>
      </c>
      <c r="T97" s="2339">
        <v>240</v>
      </c>
      <c r="U97" s="187">
        <v>1309</v>
      </c>
      <c r="V97" s="186">
        <v>1224</v>
      </c>
      <c r="W97" s="158">
        <f>V97/U97</f>
        <v>0.93506493506493504</v>
      </c>
      <c r="X97" s="188">
        <f>E97/U97</f>
        <v>936.27129518716583</v>
      </c>
      <c r="Y97" s="186">
        <f>E97/V97</f>
        <v>1001.290135130719</v>
      </c>
      <c r="Z97" s="188">
        <f>V97*AB97</f>
        <v>201960</v>
      </c>
      <c r="AA97" s="154">
        <f>Z97/E97</f>
        <v>0.16478740198360103</v>
      </c>
      <c r="AB97" s="1832">
        <v>165</v>
      </c>
    </row>
    <row r="98" spans="1:28" ht="16.5">
      <c r="B98" s="1833" t="s">
        <v>579</v>
      </c>
      <c r="C98" s="1834" t="s">
        <v>877</v>
      </c>
      <c r="D98" s="184" t="s">
        <v>580</v>
      </c>
      <c r="E98" s="35">
        <f>F98+G98</f>
        <v>2081793.18</v>
      </c>
      <c r="F98" s="1835">
        <v>1200291.71</v>
      </c>
      <c r="G98" s="1836">
        <v>881501.47</v>
      </c>
      <c r="H98" s="1837">
        <v>2104444</v>
      </c>
      <c r="I98" s="166">
        <f>E98/H98</f>
        <v>0.9892366724892655</v>
      </c>
      <c r="J98" s="1838">
        <v>21210</v>
      </c>
      <c r="K98" s="158">
        <f>J98/H98</f>
        <v>1.0078671611123888E-2</v>
      </c>
      <c r="L98" s="165">
        <f>M98/J98</f>
        <v>0.13059877416313059</v>
      </c>
      <c r="M98" s="1837">
        <v>2770</v>
      </c>
      <c r="N98" s="1838">
        <v>2014</v>
      </c>
      <c r="O98" s="164">
        <f>N98/M98</f>
        <v>0.72707581227436824</v>
      </c>
      <c r="P98" s="540">
        <f>E98/M98</f>
        <v>751.54988447653432</v>
      </c>
      <c r="Q98" s="541">
        <f>E98/N98</f>
        <v>1033.6609632571997</v>
      </c>
      <c r="R98" s="188">
        <f>N98*T97</f>
        <v>483360</v>
      </c>
      <c r="S98" s="1839">
        <f>R98/E98</f>
        <v>0.23218444783261324</v>
      </c>
      <c r="T98" s="2339"/>
      <c r="U98" s="1840">
        <v>444</v>
      </c>
      <c r="V98" s="1841">
        <v>316</v>
      </c>
      <c r="W98" s="158">
        <f>V98/U98</f>
        <v>0.71171171171171166</v>
      </c>
      <c r="X98" s="188">
        <f>E98/U98</f>
        <v>4688.7233783783786</v>
      </c>
      <c r="Y98" s="186">
        <f>E98/V98</f>
        <v>6587.9531012658226</v>
      </c>
      <c r="Z98" s="188">
        <f>V98*AB98</f>
        <v>78052</v>
      </c>
      <c r="AA98" s="154">
        <f>Z98/E98</f>
        <v>3.7492677346555627E-2</v>
      </c>
      <c r="AB98" s="656">
        <v>247</v>
      </c>
    </row>
    <row r="99" spans="1:28" s="1359" customFormat="1" ht="16.5">
      <c r="A99" s="348"/>
      <c r="B99" s="2341" t="s">
        <v>577</v>
      </c>
      <c r="C99" s="424" t="s">
        <v>37</v>
      </c>
      <c r="D99" s="425"/>
      <c r="E99" s="469">
        <f>F99+G99</f>
        <v>3307372.3054</v>
      </c>
      <c r="F99" s="470">
        <f>F97+F98</f>
        <v>1811742.8354</v>
      </c>
      <c r="G99" s="471">
        <f>G97+G98</f>
        <v>1495629.47</v>
      </c>
      <c r="H99" s="429">
        <f>SUM(H97:H98)</f>
        <v>3395134</v>
      </c>
      <c r="I99" s="430">
        <f>E99/H99</f>
        <v>0.9741507420325678</v>
      </c>
      <c r="J99" s="1364">
        <f>SUM(J97:J98)</f>
        <v>51085</v>
      </c>
      <c r="K99" s="432">
        <f>J99/H99</f>
        <v>1.5046534245776455E-2</v>
      </c>
      <c r="L99" s="1365">
        <f>M99/J99</f>
        <v>0.11719682881472056</v>
      </c>
      <c r="M99" s="431">
        <f>SUM(M97:M98)</f>
        <v>5987</v>
      </c>
      <c r="N99" s="431">
        <f>SUM(N97:N98)</f>
        <v>4591</v>
      </c>
      <c r="O99" s="1366">
        <f>N99/M99</f>
        <v>0.76682812760982133</v>
      </c>
      <c r="P99" s="1368">
        <f>E99/M99</f>
        <v>552.42563978620342</v>
      </c>
      <c r="Q99" s="1368">
        <f>E99/N99</f>
        <v>720.40346447397076</v>
      </c>
      <c r="R99" s="431">
        <f>N99*T97</f>
        <v>1101840</v>
      </c>
      <c r="S99" s="434">
        <f>R99/E99</f>
        <v>0.33314664883690537</v>
      </c>
      <c r="T99" s="2339"/>
      <c r="U99" s="1367">
        <f>SUM(U97:U98)</f>
        <v>1753</v>
      </c>
      <c r="V99" s="1364">
        <f>SUM(V97:V98)</f>
        <v>1540</v>
      </c>
      <c r="W99" s="432">
        <f>V99/U99</f>
        <v>0.8784940102681118</v>
      </c>
      <c r="X99" s="431">
        <f>E99/U99</f>
        <v>1886.6927013120364</v>
      </c>
      <c r="Y99" s="431">
        <f>E99/V99</f>
        <v>2147.6443541558442</v>
      </c>
      <c r="Z99" s="431">
        <f>V99*AB99</f>
        <v>369600</v>
      </c>
      <c r="AA99" s="1369">
        <f>Z99/E99</f>
        <v>0.11175034615744593</v>
      </c>
      <c r="AB99" s="476">
        <v>240</v>
      </c>
    </row>
    <row r="100" spans="1:28" ht="16.5">
      <c r="B100" s="2289"/>
      <c r="C100" s="153" t="s">
        <v>36</v>
      </c>
      <c r="D100" s="153"/>
      <c r="E100" s="152">
        <f>F100+G100</f>
        <v>3307372.3054</v>
      </c>
      <c r="F100" s="151">
        <f>F97+F98</f>
        <v>1811742.8354</v>
      </c>
      <c r="G100" s="150">
        <f>G97+G98</f>
        <v>1495629.47</v>
      </c>
      <c r="H100" s="570">
        <v>3256772</v>
      </c>
      <c r="I100" s="149">
        <f>E100/H100</f>
        <v>1.01553695051419</v>
      </c>
      <c r="J100" s="570">
        <v>49247</v>
      </c>
      <c r="K100" s="148">
        <f>J100/H100</f>
        <v>1.5121414701428285E-2</v>
      </c>
      <c r="L100" s="148">
        <f>M100/J100</f>
        <v>0.11815948179584543</v>
      </c>
      <c r="M100" s="570">
        <v>5819</v>
      </c>
      <c r="N100" s="570">
        <v>4462</v>
      </c>
      <c r="O100" s="148">
        <f>N100/M100</f>
        <v>0.76679841897233203</v>
      </c>
      <c r="P100" s="1842">
        <f>E100/M100</f>
        <v>568.3746873002234</v>
      </c>
      <c r="Q100" s="1842">
        <f>E100/N100</f>
        <v>741.23090663379651</v>
      </c>
      <c r="R100" s="570">
        <f>N100*T97</f>
        <v>1070880</v>
      </c>
      <c r="S100" s="145">
        <f>R100/E100</f>
        <v>0.32378574321722325</v>
      </c>
      <c r="T100" s="2340"/>
      <c r="U100" s="574"/>
      <c r="V100" s="567"/>
      <c r="W100" s="143"/>
      <c r="X100" s="576"/>
      <c r="Y100" s="576"/>
      <c r="Z100" s="567"/>
      <c r="AA100" s="140"/>
      <c r="AB100" s="479"/>
    </row>
    <row r="101" spans="1:28" ht="16.5">
      <c r="A101" s="1766"/>
      <c r="B101" s="336"/>
      <c r="C101" s="1830"/>
      <c r="D101" s="706"/>
      <c r="E101" s="336"/>
      <c r="F101" s="336"/>
      <c r="G101" s="336"/>
      <c r="H101" s="1824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  <c r="AA101" s="336"/>
      <c r="AB101" s="336"/>
    </row>
    <row r="102" spans="1:28" ht="16.5">
      <c r="A102" s="1766"/>
      <c r="B102" s="1827"/>
      <c r="C102" s="1823"/>
      <c r="D102" s="1823"/>
      <c r="E102" s="1766"/>
      <c r="F102" s="1766"/>
      <c r="G102" s="1766"/>
      <c r="H102" s="1766"/>
      <c r="I102" s="1766"/>
      <c r="J102" s="1766"/>
      <c r="K102" s="1766"/>
      <c r="L102" s="1766"/>
      <c r="M102" s="1766"/>
      <c r="N102" s="1766"/>
      <c r="O102" s="1766"/>
      <c r="P102" s="1766"/>
      <c r="Q102" s="1766"/>
      <c r="R102" s="1766"/>
      <c r="S102" s="1766"/>
      <c r="T102" s="1766"/>
      <c r="U102" s="1766"/>
      <c r="V102" s="1766"/>
      <c r="W102" s="1766"/>
      <c r="X102" s="1766"/>
      <c r="Y102" s="1766"/>
      <c r="Z102" s="1766"/>
      <c r="AA102" s="1766"/>
      <c r="AB102" s="1766"/>
    </row>
    <row r="104" spans="1:28" ht="14.5">
      <c r="B104" s="248" t="s">
        <v>581</v>
      </c>
    </row>
    <row r="105" spans="1:28" ht="16.5">
      <c r="B105" s="2297" t="s">
        <v>32</v>
      </c>
      <c r="C105" s="2299" t="s">
        <v>149</v>
      </c>
      <c r="D105" s="2299" t="s">
        <v>30</v>
      </c>
      <c r="E105" s="2302" t="s">
        <v>29</v>
      </c>
      <c r="F105" s="2303"/>
      <c r="G105" s="2304"/>
      <c r="H105" s="2305" t="s">
        <v>28</v>
      </c>
      <c r="I105" s="2303"/>
      <c r="J105" s="2303"/>
      <c r="K105" s="2303"/>
      <c r="L105" s="2303"/>
      <c r="M105" s="2303"/>
      <c r="N105" s="2303"/>
      <c r="O105" s="2303"/>
      <c r="P105" s="2303"/>
      <c r="Q105" s="2303"/>
      <c r="R105" s="2303"/>
      <c r="S105" s="2303"/>
      <c r="T105" s="2304"/>
      <c r="U105" s="2305" t="s">
        <v>27</v>
      </c>
      <c r="V105" s="2303"/>
      <c r="W105" s="2303"/>
      <c r="X105" s="2303"/>
      <c r="Y105" s="2303"/>
      <c r="Z105" s="2303"/>
      <c r="AA105" s="2303"/>
      <c r="AB105" s="2304"/>
    </row>
    <row r="106" spans="1:28" ht="66">
      <c r="B106" s="2298"/>
      <c r="C106" s="2300"/>
      <c r="D106" s="2301"/>
      <c r="E106" s="179" t="s">
        <v>26</v>
      </c>
      <c r="F106" s="178" t="s">
        <v>155</v>
      </c>
      <c r="G106" s="174" t="s">
        <v>24</v>
      </c>
      <c r="H106" s="177" t="s">
        <v>23</v>
      </c>
      <c r="I106" s="175" t="s">
        <v>44</v>
      </c>
      <c r="J106" s="178" t="s">
        <v>21</v>
      </c>
      <c r="K106" s="175" t="s">
        <v>20</v>
      </c>
      <c r="L106" s="175" t="s">
        <v>19</v>
      </c>
      <c r="M106" s="177" t="s">
        <v>18</v>
      </c>
      <c r="N106" s="175" t="s">
        <v>17</v>
      </c>
      <c r="O106" s="175" t="s">
        <v>16</v>
      </c>
      <c r="P106" s="176" t="s">
        <v>15</v>
      </c>
      <c r="Q106" s="175" t="s">
        <v>14</v>
      </c>
      <c r="R106" s="175" t="s">
        <v>13</v>
      </c>
      <c r="S106" s="175" t="s">
        <v>12</v>
      </c>
      <c r="T106" s="174" t="s">
        <v>11</v>
      </c>
      <c r="U106" s="173" t="s">
        <v>10</v>
      </c>
      <c r="V106" s="172" t="s">
        <v>9</v>
      </c>
      <c r="W106" s="171" t="s">
        <v>8</v>
      </c>
      <c r="X106" s="171" t="s">
        <v>7</v>
      </c>
      <c r="Y106" s="171" t="s">
        <v>6</v>
      </c>
      <c r="Z106" s="171" t="s">
        <v>5</v>
      </c>
      <c r="AA106" s="171" t="s">
        <v>4</v>
      </c>
      <c r="AB106" s="170" t="s">
        <v>3</v>
      </c>
    </row>
    <row r="107" spans="1:28" ht="16.5">
      <c r="B107" s="1460" t="s">
        <v>581</v>
      </c>
      <c r="C107" s="169" t="s">
        <v>878</v>
      </c>
      <c r="D107" s="184" t="s">
        <v>578</v>
      </c>
      <c r="E107" s="35">
        <f>F107+G107</f>
        <v>1139811.7703</v>
      </c>
      <c r="F107" s="168">
        <v>535726.77029999997</v>
      </c>
      <c r="G107" s="167">
        <v>604085</v>
      </c>
      <c r="H107" s="188">
        <v>1163433</v>
      </c>
      <c r="I107" s="166">
        <f>E107/H107</f>
        <v>0.97969695745264229</v>
      </c>
      <c r="J107" s="186">
        <v>23314</v>
      </c>
      <c r="K107" s="158">
        <f>J107/H107</f>
        <v>2.0038970873269023E-2</v>
      </c>
      <c r="L107" s="165">
        <f>M107/J107</f>
        <v>9.5607789311143512E-2</v>
      </c>
      <c r="M107" s="188">
        <v>2229</v>
      </c>
      <c r="N107" s="186">
        <v>1784</v>
      </c>
      <c r="O107" s="164">
        <f>N107/M107</f>
        <v>0.8003589053387169</v>
      </c>
      <c r="P107" s="1843">
        <f>E107/M107</f>
        <v>511.35566186630774</v>
      </c>
      <c r="Q107" s="1844">
        <f>E107/N107</f>
        <v>638.90794299327354</v>
      </c>
      <c r="R107" s="188">
        <f>N107*T107</f>
        <v>428160</v>
      </c>
      <c r="S107" s="161">
        <f>R107/E107</f>
        <v>0.37564097086601211</v>
      </c>
      <c r="T107" s="2339">
        <v>240</v>
      </c>
      <c r="U107" s="187">
        <v>976</v>
      </c>
      <c r="V107" s="186">
        <v>907</v>
      </c>
      <c r="W107" s="158">
        <f>V107/U107</f>
        <v>0.92930327868852458</v>
      </c>
      <c r="X107" s="540">
        <f>E107/U107</f>
        <v>1167.8399285860655</v>
      </c>
      <c r="Y107" s="541">
        <f>E107/V107</f>
        <v>1256.6833189636163</v>
      </c>
      <c r="Z107" s="188">
        <f>V107*AB107</f>
        <v>149655</v>
      </c>
      <c r="AA107" s="154">
        <f>Z107/E107</f>
        <v>0.13129799489665789</v>
      </c>
      <c r="AB107" s="1832">
        <v>165</v>
      </c>
    </row>
    <row r="108" spans="1:28" ht="16.5">
      <c r="B108" s="1833" t="s">
        <v>582</v>
      </c>
      <c r="C108" s="1834" t="s">
        <v>877</v>
      </c>
      <c r="D108" s="184" t="s">
        <v>580</v>
      </c>
      <c r="E108" s="35">
        <f>F108+G108</f>
        <v>1735323.89592</v>
      </c>
      <c r="F108" s="1835">
        <v>898421.42592000007</v>
      </c>
      <c r="G108" s="1836">
        <v>836902.47</v>
      </c>
      <c r="H108" s="1837">
        <v>1989285</v>
      </c>
      <c r="I108" s="166">
        <f>E108/H108</f>
        <v>0.87233548532261596</v>
      </c>
      <c r="J108" s="1838">
        <v>14275</v>
      </c>
      <c r="K108" s="158">
        <f>J108/H108</f>
        <v>7.1759451260126122E-3</v>
      </c>
      <c r="L108" s="165">
        <f>M108/J108</f>
        <v>8.8476357267950959E-2</v>
      </c>
      <c r="M108" s="1837">
        <v>1263</v>
      </c>
      <c r="N108" s="1838">
        <v>898</v>
      </c>
      <c r="O108" s="164">
        <f>N108/M108</f>
        <v>0.71100554235946156</v>
      </c>
      <c r="P108" s="1843">
        <f>E108/M108</f>
        <v>1373.9698304988124</v>
      </c>
      <c r="Q108" s="1844">
        <f>E108/N108</f>
        <v>1932.4319553674834</v>
      </c>
      <c r="R108" s="188">
        <f>N108*T107</f>
        <v>215520</v>
      </c>
      <c r="S108" s="1839">
        <f>R108/E108</f>
        <v>0.12419583485637407</v>
      </c>
      <c r="T108" s="2339"/>
      <c r="U108" s="1840">
        <v>244</v>
      </c>
      <c r="V108" s="1841">
        <v>155</v>
      </c>
      <c r="W108" s="158">
        <f>V108/U108</f>
        <v>0.63524590163934425</v>
      </c>
      <c r="X108" s="540">
        <f>E108/U108</f>
        <v>7111.9831800000002</v>
      </c>
      <c r="Y108" s="541">
        <f>E108/V108</f>
        <v>11195.638038193549</v>
      </c>
      <c r="Z108" s="188">
        <f>V108*AB108</f>
        <v>38285</v>
      </c>
      <c r="AA108" s="154">
        <f>Z108/E108</f>
        <v>2.2062163778193585E-2</v>
      </c>
      <c r="AB108" s="656">
        <v>247</v>
      </c>
    </row>
    <row r="109" spans="1:28" s="1359" customFormat="1" ht="16.5">
      <c r="A109" s="348"/>
      <c r="B109" s="2341" t="s">
        <v>581</v>
      </c>
      <c r="C109" s="424" t="s">
        <v>37</v>
      </c>
      <c r="D109" s="425"/>
      <c r="E109" s="469">
        <f>F109+G109</f>
        <v>2875135.66622</v>
      </c>
      <c r="F109" s="470">
        <f>F107+F108</f>
        <v>1434148.19622</v>
      </c>
      <c r="G109" s="471">
        <f>G107+G108</f>
        <v>1440987.47</v>
      </c>
      <c r="H109" s="429">
        <f>SUM(H107:H108)</f>
        <v>3152718</v>
      </c>
      <c r="I109" s="430">
        <f>E109/H109</f>
        <v>0.91195459480359486</v>
      </c>
      <c r="J109" s="1364">
        <f>SUM(J107:J108)</f>
        <v>37589</v>
      </c>
      <c r="K109" s="432">
        <f>J109/H109</f>
        <v>1.1922728261772857E-2</v>
      </c>
      <c r="L109" s="1365">
        <f>M109/J109</f>
        <v>9.2899518476149939E-2</v>
      </c>
      <c r="M109" s="431">
        <f>SUM(M107:M108)</f>
        <v>3492</v>
      </c>
      <c r="N109" s="431">
        <f>SUM(N107:N108)</f>
        <v>2682</v>
      </c>
      <c r="O109" s="1366">
        <f>N109/M109</f>
        <v>0.76804123711340211</v>
      </c>
      <c r="P109" s="475">
        <f>E109/M109</f>
        <v>823.34927440435285</v>
      </c>
      <c r="Q109" s="431">
        <f>E109/N109</f>
        <v>1072.0118069425803</v>
      </c>
      <c r="R109" s="431">
        <f>N109*T107</f>
        <v>643680</v>
      </c>
      <c r="S109" s="434">
        <f>R109/E109</f>
        <v>0.22387813123485034</v>
      </c>
      <c r="T109" s="2339"/>
      <c r="U109" s="1367">
        <f>SUM(U107:U108)</f>
        <v>1220</v>
      </c>
      <c r="V109" s="1364">
        <f>SUM(V107:V108)</f>
        <v>1062</v>
      </c>
      <c r="W109" s="432">
        <f>V109/U109</f>
        <v>0.87049180327868847</v>
      </c>
      <c r="X109" s="1368">
        <f>E109/U109</f>
        <v>2356.6685788688524</v>
      </c>
      <c r="Y109" s="1368">
        <f>E109/V109</f>
        <v>2707.2840548210925</v>
      </c>
      <c r="Z109" s="431">
        <f>V109*AB109</f>
        <v>254880</v>
      </c>
      <c r="AA109" s="1369">
        <f>Z109/E109</f>
        <v>8.8649729817826636E-2</v>
      </c>
      <c r="AB109" s="476">
        <v>240</v>
      </c>
    </row>
    <row r="110" spans="1:28" ht="16.5">
      <c r="B110" s="2289"/>
      <c r="C110" s="153" t="s">
        <v>36</v>
      </c>
      <c r="D110" s="153"/>
      <c r="E110" s="152">
        <f>F110+G110</f>
        <v>2875135.66622</v>
      </c>
      <c r="F110" s="151">
        <f>F107+F108</f>
        <v>1434148.19622</v>
      </c>
      <c r="G110" s="150">
        <f>G107+G108</f>
        <v>1440987.47</v>
      </c>
      <c r="H110" s="570">
        <v>3051837</v>
      </c>
      <c r="I110" s="149">
        <f>E110/H110</f>
        <v>0.94210000934519111</v>
      </c>
      <c r="J110" s="570">
        <v>36085</v>
      </c>
      <c r="K110" s="148">
        <f>J110/H110</f>
        <v>1.1824025988281812E-2</v>
      </c>
      <c r="L110" s="148">
        <f>M110/J110</f>
        <v>9.3640016627407507E-2</v>
      </c>
      <c r="M110" s="570">
        <v>3379</v>
      </c>
      <c r="N110" s="570">
        <v>2595</v>
      </c>
      <c r="O110" s="148">
        <f>N110/M110</f>
        <v>0.76797869192068657</v>
      </c>
      <c r="P110" s="571">
        <f>E110/M110</f>
        <v>850.88359461970992</v>
      </c>
      <c r="Q110" s="571">
        <f>E110/N110</f>
        <v>1107.9520871753373</v>
      </c>
      <c r="R110" s="570">
        <f>N110*T107</f>
        <v>622800</v>
      </c>
      <c r="S110" s="145">
        <f>R110/E110</f>
        <v>0.21661586523282497</v>
      </c>
      <c r="T110" s="2340"/>
      <c r="U110" s="574"/>
      <c r="V110" s="567"/>
      <c r="W110" s="143"/>
      <c r="X110" s="576"/>
      <c r="Y110" s="576"/>
      <c r="Z110" s="567"/>
      <c r="AA110" s="140"/>
      <c r="AB110" s="479"/>
    </row>
    <row r="111" spans="1:28" ht="16.5">
      <c r="A111" s="1766"/>
      <c r="B111" s="336"/>
      <c r="C111" s="1830"/>
      <c r="D111" s="706"/>
      <c r="E111" s="336"/>
      <c r="F111" s="336"/>
      <c r="G111" s="336"/>
      <c r="H111" s="1824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6"/>
      <c r="AB111" s="336"/>
    </row>
    <row r="114" spans="1:28" ht="14.5">
      <c r="B114" s="248" t="s">
        <v>583</v>
      </c>
    </row>
    <row r="115" spans="1:28" ht="16.5">
      <c r="A115" s="348"/>
      <c r="B115" s="2297" t="s">
        <v>456</v>
      </c>
      <c r="C115" s="2299" t="s">
        <v>457</v>
      </c>
      <c r="D115" s="2342" t="s">
        <v>150</v>
      </c>
      <c r="E115" s="2302" t="s">
        <v>151</v>
      </c>
      <c r="F115" s="2344"/>
      <c r="G115" s="2345"/>
      <c r="H115" s="2346" t="s">
        <v>152</v>
      </c>
      <c r="I115" s="2347"/>
      <c r="J115" s="2347"/>
      <c r="K115" s="2347"/>
      <c r="L115" s="2347"/>
      <c r="M115" s="2347"/>
      <c r="N115" s="2347"/>
      <c r="O115" s="2347"/>
      <c r="P115" s="2347"/>
      <c r="Q115" s="2347"/>
      <c r="R115" s="2347"/>
      <c r="S115" s="2347"/>
      <c r="T115" s="2348"/>
      <c r="U115" s="2349" t="s">
        <v>27</v>
      </c>
      <c r="V115" s="2350"/>
      <c r="W115" s="2350"/>
      <c r="X115" s="2350"/>
      <c r="Y115" s="2350"/>
      <c r="Z115" s="2350"/>
      <c r="AA115" s="2350"/>
      <c r="AB115" s="2351"/>
    </row>
    <row r="116" spans="1:28" ht="66">
      <c r="A116" s="349"/>
      <c r="B116" s="2298"/>
      <c r="C116" s="2301"/>
      <c r="D116" s="2343"/>
      <c r="E116" s="179" t="s">
        <v>154</v>
      </c>
      <c r="F116" s="178" t="s">
        <v>458</v>
      </c>
      <c r="G116" s="174" t="s">
        <v>156</v>
      </c>
      <c r="H116" s="406" t="s">
        <v>223</v>
      </c>
      <c r="I116" s="354" t="s">
        <v>44</v>
      </c>
      <c r="J116" s="351" t="s">
        <v>21</v>
      </c>
      <c r="K116" s="354" t="s">
        <v>20</v>
      </c>
      <c r="L116" s="354" t="s">
        <v>19</v>
      </c>
      <c r="M116" s="355" t="s">
        <v>18</v>
      </c>
      <c r="N116" s="354" t="s">
        <v>17</v>
      </c>
      <c r="O116" s="175" t="s">
        <v>16</v>
      </c>
      <c r="P116" s="357" t="s">
        <v>15</v>
      </c>
      <c r="Q116" s="354" t="s">
        <v>14</v>
      </c>
      <c r="R116" s="354" t="s">
        <v>13</v>
      </c>
      <c r="S116" s="354" t="s">
        <v>12</v>
      </c>
      <c r="T116" s="358" t="s">
        <v>11</v>
      </c>
      <c r="U116" s="407" t="s">
        <v>10</v>
      </c>
      <c r="V116" s="408" t="s">
        <v>9</v>
      </c>
      <c r="W116" s="409" t="s">
        <v>8</v>
      </c>
      <c r="X116" s="409" t="s">
        <v>7</v>
      </c>
      <c r="Y116" s="409" t="s">
        <v>6</v>
      </c>
      <c r="Z116" s="409" t="s">
        <v>5</v>
      </c>
      <c r="AA116" s="409" t="s">
        <v>4</v>
      </c>
      <c r="AB116" s="410" t="s">
        <v>3</v>
      </c>
    </row>
    <row r="117" spans="1:28" ht="16.5">
      <c r="A117" s="349"/>
      <c r="B117" s="2338" t="s">
        <v>583</v>
      </c>
      <c r="C117" s="169" t="s">
        <v>878</v>
      </c>
      <c r="D117" s="184" t="s">
        <v>578</v>
      </c>
      <c r="E117" s="464">
        <f>F117+G117</f>
        <v>785568.72</v>
      </c>
      <c r="F117" s="168">
        <v>197852.23</v>
      </c>
      <c r="G117" s="167">
        <v>587716.49</v>
      </c>
      <c r="H117" s="414">
        <v>550006</v>
      </c>
      <c r="I117" s="415">
        <f>E117/H117</f>
        <v>1.4282911822780116</v>
      </c>
      <c r="J117" s="416">
        <v>8541</v>
      </c>
      <c r="K117" s="417">
        <f>J117/H117</f>
        <v>1.5528921502674516E-2</v>
      </c>
      <c r="L117" s="1845">
        <f>M117/J117</f>
        <v>0.106544901065449</v>
      </c>
      <c r="M117" s="155">
        <v>910</v>
      </c>
      <c r="N117" s="159">
        <v>729</v>
      </c>
      <c r="O117" s="1362">
        <f>N117/M117</f>
        <v>0.80109890109890114</v>
      </c>
      <c r="P117" s="163">
        <f>E117/M117</f>
        <v>863.26232967032968</v>
      </c>
      <c r="Q117" s="159">
        <f>E117/N117</f>
        <v>1077.597695473251</v>
      </c>
      <c r="R117" s="155">
        <f>N117*T117</f>
        <v>174960</v>
      </c>
      <c r="S117" s="421">
        <f>R117/E117</f>
        <v>0.22271762551849061</v>
      </c>
      <c r="T117" s="1349">
        <v>240</v>
      </c>
      <c r="U117" s="422">
        <v>420</v>
      </c>
      <c r="V117" s="416">
        <v>372</v>
      </c>
      <c r="W117" s="417">
        <f>V117/U117</f>
        <v>0.88571428571428568</v>
      </c>
      <c r="X117" s="157">
        <f>E117/U117</f>
        <v>1870.4017142857142</v>
      </c>
      <c r="Y117" s="156">
        <f>E117/V117</f>
        <v>2111.7438709677417</v>
      </c>
      <c r="Z117" s="155">
        <f>V117*AB117</f>
        <v>61380</v>
      </c>
      <c r="AA117" s="423">
        <f>Z117/E117</f>
        <v>7.8134475619141247E-2</v>
      </c>
      <c r="AB117" s="656">
        <v>165</v>
      </c>
    </row>
    <row r="118" spans="1:28" ht="16.5">
      <c r="A118" s="348"/>
      <c r="B118" s="2289"/>
      <c r="C118" s="437" t="s">
        <v>410</v>
      </c>
      <c r="D118" s="438"/>
      <c r="E118" s="472">
        <f t="shared" ref="E118:AB118" si="0">E117</f>
        <v>785568.72</v>
      </c>
      <c r="F118" s="473">
        <f t="shared" si="0"/>
        <v>197852.23</v>
      </c>
      <c r="G118" s="474">
        <f t="shared" si="0"/>
        <v>587716.49</v>
      </c>
      <c r="H118" s="144">
        <f t="shared" si="0"/>
        <v>550006</v>
      </c>
      <c r="I118" s="442">
        <f t="shared" si="0"/>
        <v>1.4282911822780116</v>
      </c>
      <c r="J118" s="443">
        <f t="shared" si="0"/>
        <v>8541</v>
      </c>
      <c r="K118" s="444">
        <f t="shared" si="0"/>
        <v>1.5528921502674516E-2</v>
      </c>
      <c r="L118" s="1846">
        <f t="shared" si="0"/>
        <v>0.106544901065449</v>
      </c>
      <c r="M118" s="141">
        <f t="shared" si="0"/>
        <v>910</v>
      </c>
      <c r="N118" s="141">
        <f t="shared" si="0"/>
        <v>729</v>
      </c>
      <c r="O118" s="1398">
        <f t="shared" si="0"/>
        <v>0.80109890109890114</v>
      </c>
      <c r="P118" s="478">
        <f t="shared" si="0"/>
        <v>863.26232967032968</v>
      </c>
      <c r="Q118" s="141">
        <f t="shared" si="0"/>
        <v>1077.597695473251</v>
      </c>
      <c r="R118" s="141">
        <f t="shared" si="0"/>
        <v>174960</v>
      </c>
      <c r="S118" s="447">
        <f t="shared" si="0"/>
        <v>0.22271762551849061</v>
      </c>
      <c r="T118" s="1399">
        <f t="shared" si="0"/>
        <v>240</v>
      </c>
      <c r="U118" s="448">
        <f t="shared" si="0"/>
        <v>420</v>
      </c>
      <c r="V118" s="443">
        <f t="shared" si="0"/>
        <v>372</v>
      </c>
      <c r="W118" s="444">
        <f t="shared" si="0"/>
        <v>0.88571428571428568</v>
      </c>
      <c r="X118" s="480">
        <f t="shared" si="0"/>
        <v>1870.4017142857142</v>
      </c>
      <c r="Y118" s="480">
        <f t="shared" si="0"/>
        <v>2111.7438709677417</v>
      </c>
      <c r="Z118" s="141">
        <f t="shared" si="0"/>
        <v>61380</v>
      </c>
      <c r="AA118" s="449">
        <f t="shared" si="0"/>
        <v>7.8134475619141247E-2</v>
      </c>
      <c r="AB118" s="479">
        <f t="shared" si="0"/>
        <v>165</v>
      </c>
    </row>
    <row r="122" spans="1:28" ht="14.5">
      <c r="B122" s="248" t="s">
        <v>1</v>
      </c>
    </row>
    <row r="123" spans="1:28" ht="16.5">
      <c r="B123" s="2329" t="s">
        <v>32</v>
      </c>
      <c r="C123" s="2331" t="s">
        <v>100</v>
      </c>
      <c r="D123" s="2336" t="s">
        <v>30</v>
      </c>
      <c r="E123" s="2333" t="s">
        <v>29</v>
      </c>
      <c r="F123" s="2334"/>
      <c r="G123" s="2335"/>
      <c r="H123" s="2324" t="s">
        <v>28</v>
      </c>
      <c r="I123" s="2325"/>
      <c r="J123" s="2325"/>
      <c r="K123" s="2325"/>
      <c r="L123" s="2325"/>
      <c r="M123" s="2325"/>
      <c r="N123" s="2325"/>
      <c r="O123" s="2325"/>
      <c r="P123" s="2325"/>
      <c r="Q123" s="2325"/>
      <c r="R123" s="2325"/>
      <c r="S123" s="2325"/>
      <c r="T123" s="2326"/>
      <c r="U123" s="2324" t="s">
        <v>27</v>
      </c>
      <c r="V123" s="2325"/>
      <c r="W123" s="2325"/>
      <c r="X123" s="2325"/>
      <c r="Y123" s="2325"/>
      <c r="Z123" s="2325"/>
      <c r="AA123" s="2325"/>
      <c r="AB123" s="2326"/>
    </row>
    <row r="124" spans="1:28" ht="66">
      <c r="B124" s="2330"/>
      <c r="C124" s="2332"/>
      <c r="D124" s="2337"/>
      <c r="E124" s="1773" t="s">
        <v>26</v>
      </c>
      <c r="F124" s="1774" t="s">
        <v>138</v>
      </c>
      <c r="G124" s="1775" t="s">
        <v>24</v>
      </c>
      <c r="H124" s="1776" t="s">
        <v>23</v>
      </c>
      <c r="I124" s="1777" t="s">
        <v>22</v>
      </c>
      <c r="J124" s="1774" t="s">
        <v>21</v>
      </c>
      <c r="K124" s="1777" t="s">
        <v>20</v>
      </c>
      <c r="L124" s="1777" t="s">
        <v>19</v>
      </c>
      <c r="M124" s="1776" t="s">
        <v>18</v>
      </c>
      <c r="N124" s="1777" t="s">
        <v>17</v>
      </c>
      <c r="O124" s="1777" t="s">
        <v>16</v>
      </c>
      <c r="P124" s="1778" t="s">
        <v>15</v>
      </c>
      <c r="Q124" s="1777" t="s">
        <v>14</v>
      </c>
      <c r="R124" s="1777" t="s">
        <v>13</v>
      </c>
      <c r="S124" s="1777" t="s">
        <v>12</v>
      </c>
      <c r="T124" s="1847" t="s">
        <v>11</v>
      </c>
      <c r="U124" s="1848" t="s">
        <v>10</v>
      </c>
      <c r="V124" s="1778" t="s">
        <v>9</v>
      </c>
      <c r="W124" s="1781" t="s">
        <v>8</v>
      </c>
      <c r="X124" s="1781" t="s">
        <v>7</v>
      </c>
      <c r="Y124" s="1781" t="s">
        <v>6</v>
      </c>
      <c r="Z124" s="1781" t="s">
        <v>5</v>
      </c>
      <c r="AA124" s="1781" t="s">
        <v>4</v>
      </c>
      <c r="AB124" s="1782" t="s">
        <v>3</v>
      </c>
    </row>
    <row r="125" spans="1:28" ht="16.5">
      <c r="B125" s="2327" t="s">
        <v>584</v>
      </c>
      <c r="C125" s="1783" t="s">
        <v>879</v>
      </c>
      <c r="D125" s="1783" t="s">
        <v>584</v>
      </c>
      <c r="E125" s="1784">
        <f>SUM(F125:G125)</f>
        <v>1522830</v>
      </c>
      <c r="F125" s="229">
        <v>972743</v>
      </c>
      <c r="G125" s="1785">
        <v>550087</v>
      </c>
      <c r="H125" s="1826">
        <v>1533029</v>
      </c>
      <c r="I125" s="1787">
        <f>E125/H125</f>
        <v>0.9933471578163231</v>
      </c>
      <c r="J125" s="1788">
        <v>93216</v>
      </c>
      <c r="K125" s="1789">
        <f>J125/H125</f>
        <v>6.0805111971136881E-2</v>
      </c>
      <c r="L125" s="1789">
        <f>M125/J125</f>
        <v>0.15249527978029523</v>
      </c>
      <c r="M125" s="1790">
        <v>14215</v>
      </c>
      <c r="N125" s="1788">
        <v>10316</v>
      </c>
      <c r="O125" s="1791">
        <f>N125/M125</f>
        <v>0.72571227576503694</v>
      </c>
      <c r="P125" s="1792">
        <f>E125/M125</f>
        <v>107.12838550826592</v>
      </c>
      <c r="Q125" s="1793">
        <f>E125/N125</f>
        <v>147.61826289259403</v>
      </c>
      <c r="R125" s="1790">
        <f>N125*T125</f>
        <v>2094148</v>
      </c>
      <c r="S125" s="1794">
        <f>R125/E125</f>
        <v>1.3751686005660513</v>
      </c>
      <c r="T125" s="1795">
        <v>203</v>
      </c>
      <c r="U125" s="1796">
        <v>1237</v>
      </c>
      <c r="V125" s="1788">
        <v>881</v>
      </c>
      <c r="W125" s="1797">
        <f>V125/U125</f>
        <v>0.71220695230396125</v>
      </c>
      <c r="X125" s="1798">
        <f>E125/U125</f>
        <v>1231.0670978173</v>
      </c>
      <c r="Y125" s="1799">
        <f>E125/V125</f>
        <v>1728.5244040862656</v>
      </c>
      <c r="Z125" s="1790">
        <f>V125*AB125</f>
        <v>178843</v>
      </c>
      <c r="AA125" s="1800">
        <f>Z125/E125</f>
        <v>0.11744121142872152</v>
      </c>
      <c r="AB125" s="1801">
        <v>203</v>
      </c>
    </row>
    <row r="126" spans="1:28" ht="16.5">
      <c r="B126" s="2328"/>
      <c r="C126" s="1802" t="s">
        <v>565</v>
      </c>
      <c r="D126" s="1802"/>
      <c r="E126" s="1803">
        <f>SUM(F126:G126)</f>
        <v>1522830</v>
      </c>
      <c r="F126" s="1804">
        <f>SUM(F125:F125)</f>
        <v>972743</v>
      </c>
      <c r="G126" s="1805">
        <f>SUM(G125:G125)</f>
        <v>550087</v>
      </c>
      <c r="H126" s="1806">
        <f>SUM(H125:H125)</f>
        <v>1533029</v>
      </c>
      <c r="I126" s="1807">
        <f>E126/H126</f>
        <v>0.9933471578163231</v>
      </c>
      <c r="J126" s="1808">
        <f>SUM(J125:J125)</f>
        <v>93216</v>
      </c>
      <c r="K126" s="1809">
        <f>J126/H126</f>
        <v>6.0805111971136881E-2</v>
      </c>
      <c r="L126" s="1809">
        <f>M126/J126</f>
        <v>0.15249527978029523</v>
      </c>
      <c r="M126" s="1808">
        <f>SUM(M125:M125)</f>
        <v>14215</v>
      </c>
      <c r="N126" s="1808">
        <f>SUM(N125:N125)</f>
        <v>10316</v>
      </c>
      <c r="O126" s="1809">
        <f>N126/M126</f>
        <v>0.72571227576503694</v>
      </c>
      <c r="P126" s="1810">
        <f>E126/M126</f>
        <v>107.12838550826592</v>
      </c>
      <c r="Q126" s="1810">
        <f>E126/N126</f>
        <v>147.61826289259403</v>
      </c>
      <c r="R126" s="1808">
        <f>N126*T125</f>
        <v>2094148</v>
      </c>
      <c r="S126" s="1811">
        <f>R126/E126</f>
        <v>1.3751686005660513</v>
      </c>
      <c r="T126" s="1808"/>
      <c r="U126" s="1806">
        <f>SUM(U125:U125)</f>
        <v>1237</v>
      </c>
      <c r="V126" s="1808">
        <f>SUM(V125:V125)</f>
        <v>881</v>
      </c>
      <c r="W126" s="1812">
        <f>V126/U126</f>
        <v>0.71220695230396125</v>
      </c>
      <c r="X126" s="1813">
        <f>E126/U126</f>
        <v>1231.0670978173</v>
      </c>
      <c r="Y126" s="1813">
        <f>E126/V126</f>
        <v>1728.5244040862656</v>
      </c>
      <c r="Z126" s="1808">
        <f>V126*AB126</f>
        <v>178843</v>
      </c>
      <c r="AA126" s="1814">
        <f>Z126/E126</f>
        <v>0.11744121142872152</v>
      </c>
      <c r="AB126" s="1815">
        <f>T125</f>
        <v>203</v>
      </c>
    </row>
    <row r="127" spans="1:28" ht="16.5">
      <c r="B127" s="601"/>
      <c r="C127" s="592"/>
      <c r="D127" s="592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  <c r="P127" s="593"/>
      <c r="Q127" s="593"/>
      <c r="R127" s="593"/>
      <c r="S127" s="593"/>
      <c r="T127" s="593"/>
      <c r="U127" s="593"/>
      <c r="V127" s="593"/>
      <c r="W127" s="593"/>
      <c r="X127" s="593"/>
      <c r="Y127" s="593"/>
      <c r="Z127" s="593"/>
      <c r="AA127" s="593"/>
      <c r="AB127" s="593"/>
    </row>
    <row r="128" spans="1:28" ht="16.5">
      <c r="B128" s="601"/>
      <c r="C128" s="592"/>
      <c r="D128" s="592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</row>
    <row r="129" spans="2:28" ht="16.5">
      <c r="C129" s="592"/>
      <c r="D129" s="592"/>
      <c r="E129" s="593"/>
      <c r="F129" s="593"/>
      <c r="G129" s="593"/>
      <c r="H129" s="593"/>
      <c r="I129" s="593"/>
      <c r="J129" s="593"/>
      <c r="K129" s="593"/>
      <c r="L129" s="593"/>
      <c r="M129" s="593"/>
      <c r="N129" s="593"/>
      <c r="O129" s="593"/>
      <c r="P129" s="593"/>
      <c r="Q129" s="593"/>
      <c r="R129" s="593"/>
      <c r="S129" s="593"/>
      <c r="T129" s="593"/>
      <c r="U129" s="593"/>
      <c r="V129" s="593"/>
      <c r="W129" s="593"/>
      <c r="X129" s="593"/>
      <c r="Y129" s="593"/>
      <c r="Z129" s="593"/>
      <c r="AA129" s="593"/>
      <c r="AB129" s="593"/>
    </row>
    <row r="130" spans="2:28" ht="16.5">
      <c r="B130" s="248" t="s">
        <v>585</v>
      </c>
      <c r="C130" s="592"/>
      <c r="D130" s="592"/>
      <c r="E130" s="593"/>
      <c r="F130" s="593"/>
      <c r="G130" s="593"/>
      <c r="H130" s="593"/>
      <c r="I130" s="593"/>
      <c r="J130" s="593"/>
      <c r="K130" s="593"/>
      <c r="L130" s="593"/>
      <c r="M130" s="593"/>
      <c r="N130" s="593"/>
      <c r="O130" s="593"/>
      <c r="P130" s="59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</row>
    <row r="131" spans="2:28" ht="16.5">
      <c r="B131" s="2329" t="s">
        <v>32</v>
      </c>
      <c r="C131" s="2331" t="s">
        <v>100</v>
      </c>
      <c r="D131" s="2336" t="s">
        <v>30</v>
      </c>
      <c r="E131" s="2333" t="s">
        <v>102</v>
      </c>
      <c r="F131" s="2334"/>
      <c r="G131" s="2335"/>
      <c r="H131" s="2324" t="s">
        <v>28</v>
      </c>
      <c r="I131" s="2325"/>
      <c r="J131" s="2325"/>
      <c r="K131" s="2325"/>
      <c r="L131" s="2325"/>
      <c r="M131" s="2325"/>
      <c r="N131" s="2325"/>
      <c r="O131" s="2325"/>
      <c r="P131" s="2325"/>
      <c r="Q131" s="2325"/>
      <c r="R131" s="2325"/>
      <c r="S131" s="2325"/>
      <c r="T131" s="2326"/>
      <c r="U131" s="2324" t="s">
        <v>27</v>
      </c>
      <c r="V131" s="2325"/>
      <c r="W131" s="2325"/>
      <c r="X131" s="2325"/>
      <c r="Y131" s="2325"/>
      <c r="Z131" s="2325"/>
      <c r="AA131" s="2325"/>
      <c r="AB131" s="2326"/>
    </row>
    <row r="132" spans="2:28" ht="66">
      <c r="B132" s="2330"/>
      <c r="C132" s="2332"/>
      <c r="D132" s="2337"/>
      <c r="E132" s="1773" t="s">
        <v>26</v>
      </c>
      <c r="F132" s="1774" t="s">
        <v>138</v>
      </c>
      <c r="G132" s="1775" t="s">
        <v>24</v>
      </c>
      <c r="H132" s="1776" t="s">
        <v>23</v>
      </c>
      <c r="I132" s="1777" t="s">
        <v>22</v>
      </c>
      <c r="J132" s="1774" t="s">
        <v>21</v>
      </c>
      <c r="K132" s="1777" t="s">
        <v>20</v>
      </c>
      <c r="L132" s="1777" t="s">
        <v>19</v>
      </c>
      <c r="M132" s="1776" t="s">
        <v>18</v>
      </c>
      <c r="N132" s="1777" t="s">
        <v>17</v>
      </c>
      <c r="O132" s="1777" t="s">
        <v>16</v>
      </c>
      <c r="P132" s="1778" t="s">
        <v>15</v>
      </c>
      <c r="Q132" s="1777" t="s">
        <v>14</v>
      </c>
      <c r="R132" s="1777" t="s">
        <v>13</v>
      </c>
      <c r="S132" s="1777" t="s">
        <v>12</v>
      </c>
      <c r="T132" s="1847" t="s">
        <v>11</v>
      </c>
      <c r="U132" s="1848" t="s">
        <v>10</v>
      </c>
      <c r="V132" s="1778" t="s">
        <v>9</v>
      </c>
      <c r="W132" s="1781" t="s">
        <v>8</v>
      </c>
      <c r="X132" s="1781" t="s">
        <v>7</v>
      </c>
      <c r="Y132" s="1781" t="s">
        <v>6</v>
      </c>
      <c r="Z132" s="1781" t="s">
        <v>5</v>
      </c>
      <c r="AA132" s="1781" t="s">
        <v>4</v>
      </c>
      <c r="AB132" s="1782" t="s">
        <v>3</v>
      </c>
    </row>
    <row r="133" spans="2:28" ht="16.5">
      <c r="B133" s="2327" t="s">
        <v>586</v>
      </c>
      <c r="C133" s="1783" t="s">
        <v>879</v>
      </c>
      <c r="D133" s="1783" t="s">
        <v>584</v>
      </c>
      <c r="E133" s="1784">
        <f>SUM(F133:G133)</f>
        <v>1432477.1400000001</v>
      </c>
      <c r="F133" s="229">
        <v>882390.14</v>
      </c>
      <c r="G133" s="1785">
        <v>550087</v>
      </c>
      <c r="H133" s="1826">
        <v>881143</v>
      </c>
      <c r="I133" s="1787">
        <f>E133/H133</f>
        <v>1.6257033648340851</v>
      </c>
      <c r="J133" s="1788">
        <v>45069</v>
      </c>
      <c r="K133" s="1789">
        <f>J133/H133</f>
        <v>5.1148338010969845E-2</v>
      </c>
      <c r="L133" s="1789">
        <f>M133/J133</f>
        <v>0.20091415385298098</v>
      </c>
      <c r="M133" s="1790">
        <v>9055</v>
      </c>
      <c r="N133" s="1788">
        <v>6562</v>
      </c>
      <c r="O133" s="1791">
        <f>N133/M133</f>
        <v>0.72468249585864164</v>
      </c>
      <c r="P133" s="1792">
        <f>E133/M133</f>
        <v>158.19736499171731</v>
      </c>
      <c r="Q133" s="1793">
        <f>E133/N133</f>
        <v>218.29886315147823</v>
      </c>
      <c r="R133" s="1790">
        <f>N133*T133</f>
        <v>1332086</v>
      </c>
      <c r="S133" s="1794">
        <f>R133/E133</f>
        <v>0.9299178065766549</v>
      </c>
      <c r="T133" s="1795">
        <v>203</v>
      </c>
      <c r="U133" s="1796">
        <v>671</v>
      </c>
      <c r="V133" s="1788">
        <v>471</v>
      </c>
      <c r="W133" s="1797">
        <f>V133/U133</f>
        <v>0.70193740685543959</v>
      </c>
      <c r="X133" s="1798">
        <f>E133/U133</f>
        <v>2134.8392548435172</v>
      </c>
      <c r="Y133" s="1799">
        <f>E133/V133</f>
        <v>3041.3527388535035</v>
      </c>
      <c r="Z133" s="1790">
        <f>V133*AB133</f>
        <v>95613</v>
      </c>
      <c r="AA133" s="1800">
        <f>Z133/E133</f>
        <v>6.6746614888388373E-2</v>
      </c>
      <c r="AB133" s="1801">
        <v>203</v>
      </c>
    </row>
    <row r="134" spans="2:28" ht="16.5">
      <c r="B134" s="2328"/>
      <c r="C134" s="1802" t="s">
        <v>565</v>
      </c>
      <c r="D134" s="1802"/>
      <c r="E134" s="1803">
        <f>SUM(F134:G134)</f>
        <v>1432477.1400000001</v>
      </c>
      <c r="F134" s="1804">
        <f>SUM(F133:F133)</f>
        <v>882390.14</v>
      </c>
      <c r="G134" s="1805">
        <f>SUM(G133:G133)</f>
        <v>550087</v>
      </c>
      <c r="H134" s="1806">
        <f>SUM(H133:H133)</f>
        <v>881143</v>
      </c>
      <c r="I134" s="1807">
        <f>E134/H134</f>
        <v>1.6257033648340851</v>
      </c>
      <c r="J134" s="1808">
        <f>SUM(J133:J133)</f>
        <v>45069</v>
      </c>
      <c r="K134" s="1809">
        <f>J134/H134</f>
        <v>5.1148338010969845E-2</v>
      </c>
      <c r="L134" s="1809">
        <f>M134/J134</f>
        <v>0.20091415385298098</v>
      </c>
      <c r="M134" s="1808">
        <f>SUM(M133:M133)</f>
        <v>9055</v>
      </c>
      <c r="N134" s="1808">
        <f>SUM(N133:N133)</f>
        <v>6562</v>
      </c>
      <c r="O134" s="1809">
        <f>N134/M134</f>
        <v>0.72468249585864164</v>
      </c>
      <c r="P134" s="1810">
        <f>E134/M134</f>
        <v>158.19736499171731</v>
      </c>
      <c r="Q134" s="1810">
        <f>E134/N134</f>
        <v>218.29886315147823</v>
      </c>
      <c r="R134" s="1808">
        <f>N134*T133</f>
        <v>1332086</v>
      </c>
      <c r="S134" s="1811">
        <f>R134/E134</f>
        <v>0.9299178065766549</v>
      </c>
      <c r="T134" s="1808"/>
      <c r="U134" s="1806">
        <f>SUM(U133:U133)</f>
        <v>671</v>
      </c>
      <c r="V134" s="1808">
        <f>SUM(V133:V133)</f>
        <v>471</v>
      </c>
      <c r="W134" s="1812">
        <f>V134/U134</f>
        <v>0.70193740685543959</v>
      </c>
      <c r="X134" s="1813">
        <f>E134/U134</f>
        <v>2134.8392548435172</v>
      </c>
      <c r="Y134" s="1813">
        <f>E134/V134</f>
        <v>3041.3527388535035</v>
      </c>
      <c r="Z134" s="1808">
        <f>V134*AB134</f>
        <v>95613</v>
      </c>
      <c r="AA134" s="1814">
        <f>Z134/E134</f>
        <v>6.6746614888388373E-2</v>
      </c>
      <c r="AB134" s="1815">
        <f>T133</f>
        <v>203</v>
      </c>
    </row>
    <row r="135" spans="2:28" ht="16.5">
      <c r="B135" s="1849"/>
      <c r="C135" s="1849"/>
      <c r="D135" s="1849"/>
      <c r="E135" s="1849"/>
      <c r="F135" s="1849"/>
      <c r="G135" s="1849"/>
      <c r="H135" s="1849"/>
      <c r="I135" s="1849"/>
      <c r="J135" s="1849"/>
      <c r="K135" s="1849"/>
      <c r="L135" s="1849"/>
      <c r="M135" s="1849"/>
      <c r="N135" s="1849"/>
      <c r="O135" s="1849"/>
      <c r="P135" s="1849"/>
      <c r="Q135" s="1849"/>
      <c r="R135" s="1849"/>
      <c r="S135" s="1849"/>
      <c r="T135" s="1849"/>
      <c r="U135" s="1849"/>
      <c r="V135" s="1849"/>
      <c r="W135" s="1849"/>
      <c r="X135" s="1849"/>
      <c r="Y135" s="1849"/>
      <c r="Z135" s="1849"/>
      <c r="AA135" s="1849"/>
      <c r="AB135" s="1849"/>
    </row>
    <row r="136" spans="2:28" ht="16.5">
      <c r="B136" s="1849"/>
      <c r="C136" s="1849"/>
      <c r="D136" s="1849"/>
      <c r="E136" s="1849"/>
      <c r="F136" s="1849"/>
      <c r="G136" s="1849"/>
      <c r="H136" s="1849"/>
      <c r="I136" s="1849"/>
      <c r="J136" s="1849"/>
      <c r="K136" s="1849"/>
      <c r="L136" s="1849"/>
      <c r="M136" s="1849"/>
      <c r="N136" s="1849"/>
      <c r="O136" s="1849"/>
      <c r="P136" s="1849"/>
      <c r="Q136" s="1849"/>
      <c r="R136" s="1849"/>
      <c r="S136" s="1849"/>
      <c r="T136" s="1849"/>
      <c r="U136" s="1849"/>
      <c r="V136" s="1849"/>
      <c r="W136" s="1849"/>
      <c r="X136" s="1849"/>
      <c r="Y136" s="1849"/>
      <c r="Z136" s="1849"/>
      <c r="AA136" s="1849"/>
      <c r="AB136" s="1849"/>
    </row>
    <row r="137" spans="2:28" ht="16.5">
      <c r="C137" s="1849"/>
      <c r="D137" s="1849"/>
      <c r="E137" s="1849"/>
      <c r="F137" s="1849"/>
      <c r="G137" s="1849"/>
      <c r="H137" s="1849"/>
      <c r="I137" s="1849"/>
      <c r="J137" s="1849"/>
      <c r="K137" s="1849"/>
      <c r="L137" s="1849"/>
      <c r="M137" s="1849"/>
      <c r="N137" s="1849"/>
      <c r="O137" s="1849"/>
      <c r="P137" s="1849"/>
      <c r="Q137" s="1849"/>
      <c r="R137" s="1849"/>
      <c r="S137" s="1849"/>
      <c r="T137" s="1849"/>
      <c r="U137" s="1849"/>
      <c r="V137" s="1849"/>
      <c r="W137" s="1849"/>
      <c r="X137" s="1849"/>
      <c r="Y137" s="1849"/>
      <c r="Z137" s="1849"/>
      <c r="AA137" s="1849"/>
      <c r="AB137" s="1849"/>
    </row>
    <row r="138" spans="2:28" ht="16.5">
      <c r="B138" s="248" t="s">
        <v>587</v>
      </c>
      <c r="C138" s="1850"/>
      <c r="D138" s="1850"/>
      <c r="E138" s="1850"/>
      <c r="F138" s="1850"/>
      <c r="G138" s="1850"/>
      <c r="H138" s="1850"/>
      <c r="I138" s="1850"/>
      <c r="J138" s="1850"/>
      <c r="K138" s="1850"/>
      <c r="L138" s="1850"/>
      <c r="M138" s="1850"/>
      <c r="N138" s="1850"/>
      <c r="O138" s="1850"/>
      <c r="P138" s="1850"/>
      <c r="Q138" s="1850"/>
      <c r="R138" s="1850"/>
      <c r="S138" s="1850"/>
      <c r="T138" s="1850"/>
      <c r="U138" s="1850"/>
      <c r="V138" s="1850"/>
      <c r="W138" s="1850"/>
      <c r="X138" s="1850"/>
      <c r="Y138" s="1850"/>
      <c r="Z138" s="1850"/>
      <c r="AA138" s="1850"/>
      <c r="AB138" s="1850"/>
    </row>
    <row r="139" spans="2:28" ht="16.5">
      <c r="B139" s="2329" t="s">
        <v>32</v>
      </c>
      <c r="C139" s="2331" t="s">
        <v>31</v>
      </c>
      <c r="D139" s="2336" t="s">
        <v>30</v>
      </c>
      <c r="E139" s="2333" t="s">
        <v>29</v>
      </c>
      <c r="F139" s="2334"/>
      <c r="G139" s="2335"/>
      <c r="H139" s="2324" t="s">
        <v>28</v>
      </c>
      <c r="I139" s="2325"/>
      <c r="J139" s="2325"/>
      <c r="K139" s="2325"/>
      <c r="L139" s="2325"/>
      <c r="M139" s="2325"/>
      <c r="N139" s="2325"/>
      <c r="O139" s="2325"/>
      <c r="P139" s="2325"/>
      <c r="Q139" s="2325"/>
      <c r="R139" s="2325"/>
      <c r="S139" s="2325"/>
      <c r="T139" s="2326"/>
      <c r="U139" s="2324" t="s">
        <v>27</v>
      </c>
      <c r="V139" s="2325"/>
      <c r="W139" s="2325"/>
      <c r="X139" s="2325"/>
      <c r="Y139" s="2325"/>
      <c r="Z139" s="2325"/>
      <c r="AA139" s="2325"/>
      <c r="AB139" s="2326"/>
    </row>
    <row r="140" spans="2:28" ht="66">
      <c r="B140" s="2330"/>
      <c r="C140" s="2332"/>
      <c r="D140" s="2337"/>
      <c r="E140" s="1773" t="s">
        <v>26</v>
      </c>
      <c r="F140" s="1774" t="s">
        <v>138</v>
      </c>
      <c r="G140" s="1775" t="s">
        <v>24</v>
      </c>
      <c r="H140" s="1776" t="s">
        <v>23</v>
      </c>
      <c r="I140" s="1777" t="s">
        <v>22</v>
      </c>
      <c r="J140" s="1774" t="s">
        <v>21</v>
      </c>
      <c r="K140" s="1777" t="s">
        <v>20</v>
      </c>
      <c r="L140" s="1777" t="s">
        <v>19</v>
      </c>
      <c r="M140" s="1776" t="s">
        <v>18</v>
      </c>
      <c r="N140" s="1777" t="s">
        <v>17</v>
      </c>
      <c r="O140" s="1777" t="s">
        <v>16</v>
      </c>
      <c r="P140" s="1778" t="s">
        <v>15</v>
      </c>
      <c r="Q140" s="1777" t="s">
        <v>14</v>
      </c>
      <c r="R140" s="1777" t="s">
        <v>13</v>
      </c>
      <c r="S140" s="1777" t="s">
        <v>12</v>
      </c>
      <c r="T140" s="1847" t="s">
        <v>11</v>
      </c>
      <c r="U140" s="1848" t="s">
        <v>10</v>
      </c>
      <c r="V140" s="1778" t="s">
        <v>9</v>
      </c>
      <c r="W140" s="1781" t="s">
        <v>8</v>
      </c>
      <c r="X140" s="1781" t="s">
        <v>7</v>
      </c>
      <c r="Y140" s="1781" t="s">
        <v>6</v>
      </c>
      <c r="Z140" s="1781" t="s">
        <v>5</v>
      </c>
      <c r="AA140" s="1781" t="s">
        <v>4</v>
      </c>
      <c r="AB140" s="1782" t="s">
        <v>3</v>
      </c>
    </row>
    <row r="141" spans="2:28" ht="16.5">
      <c r="B141" s="2327" t="s">
        <v>587</v>
      </c>
      <c r="C141" s="1783" t="s">
        <v>879</v>
      </c>
      <c r="D141" s="1783" t="s">
        <v>584</v>
      </c>
      <c r="E141" s="1784">
        <f>SUM(F141:G141)</f>
        <v>1334378.27</v>
      </c>
      <c r="F141" s="229">
        <v>784291.27</v>
      </c>
      <c r="G141" s="1785">
        <v>550087</v>
      </c>
      <c r="H141" s="1826">
        <v>850263</v>
      </c>
      <c r="I141" s="1787">
        <f>E141/H141</f>
        <v>1.5693712063208678</v>
      </c>
      <c r="J141" s="1788">
        <v>41153</v>
      </c>
      <c r="K141" s="1789">
        <f>J141/H141</f>
        <v>4.8400318489690834E-2</v>
      </c>
      <c r="L141" s="1789">
        <f>M141/J141</f>
        <v>0.19716667071659416</v>
      </c>
      <c r="M141" s="1790">
        <v>8114</v>
      </c>
      <c r="N141" s="1788">
        <v>5802</v>
      </c>
      <c r="O141" s="1791">
        <f>N141/M141</f>
        <v>0.71506038945033279</v>
      </c>
      <c r="P141" s="1792">
        <f>E141/M141</f>
        <v>164.4538168597486</v>
      </c>
      <c r="Q141" s="1793">
        <f>E141/N141</f>
        <v>229.985913478111</v>
      </c>
      <c r="R141" s="1790">
        <f>N141*T141</f>
        <v>1177806</v>
      </c>
      <c r="S141" s="1794">
        <f>R141/E141</f>
        <v>0.88266275499225566</v>
      </c>
      <c r="T141" s="1795">
        <v>203</v>
      </c>
      <c r="U141" s="1796">
        <v>595</v>
      </c>
      <c r="V141" s="1788">
        <v>403</v>
      </c>
      <c r="W141" s="1797">
        <f>V141/U141</f>
        <v>0.67731092436974794</v>
      </c>
      <c r="X141" s="1798">
        <f>E141/U141</f>
        <v>2242.6525546218486</v>
      </c>
      <c r="Y141" s="1799">
        <f>E141/V141</f>
        <v>3311.1123325062035</v>
      </c>
      <c r="Z141" s="1790">
        <f>V141*AB141</f>
        <v>81809</v>
      </c>
      <c r="AA141" s="1800">
        <f>Z141/E141</f>
        <v>6.1308702216800938E-2</v>
      </c>
      <c r="AB141" s="1801">
        <v>203</v>
      </c>
    </row>
    <row r="142" spans="2:28" ht="16.5">
      <c r="B142" s="2328"/>
      <c r="C142" s="1802" t="s">
        <v>565</v>
      </c>
      <c r="D142" s="1802"/>
      <c r="E142" s="1803">
        <f>SUM(F142:G142)</f>
        <v>1334378.27</v>
      </c>
      <c r="F142" s="1804">
        <f>SUM(F141:F141)</f>
        <v>784291.27</v>
      </c>
      <c r="G142" s="1805">
        <f>SUM(G141:G141)</f>
        <v>550087</v>
      </c>
      <c r="H142" s="1806">
        <f>SUM(H141:H141)</f>
        <v>850263</v>
      </c>
      <c r="I142" s="1807">
        <f>E142/H142</f>
        <v>1.5693712063208678</v>
      </c>
      <c r="J142" s="1808">
        <f>SUM(J141:J141)</f>
        <v>41153</v>
      </c>
      <c r="K142" s="1809">
        <f>J142/H142</f>
        <v>4.8400318489690834E-2</v>
      </c>
      <c r="L142" s="1809">
        <f>M142/J142</f>
        <v>0.19716667071659416</v>
      </c>
      <c r="M142" s="1808">
        <f>SUM(M141:M141)</f>
        <v>8114</v>
      </c>
      <c r="N142" s="1808">
        <f>SUM(N141:N141)</f>
        <v>5802</v>
      </c>
      <c r="O142" s="1809">
        <f>N142/M142</f>
        <v>0.71506038945033279</v>
      </c>
      <c r="P142" s="1810">
        <f>E142/M142</f>
        <v>164.4538168597486</v>
      </c>
      <c r="Q142" s="1810">
        <f>E142/N142</f>
        <v>229.985913478111</v>
      </c>
      <c r="R142" s="1808">
        <f>N142*T141</f>
        <v>1177806</v>
      </c>
      <c r="S142" s="1811">
        <f>R142/E142</f>
        <v>0.88266275499225566</v>
      </c>
      <c r="T142" s="1808"/>
      <c r="U142" s="1806">
        <f>SUM(U141:U141)</f>
        <v>595</v>
      </c>
      <c r="V142" s="1808">
        <f>SUM(V141:V141)</f>
        <v>403</v>
      </c>
      <c r="W142" s="1812">
        <f>V142/U142</f>
        <v>0.67731092436974794</v>
      </c>
      <c r="X142" s="1813">
        <f>E142/U142</f>
        <v>2242.6525546218486</v>
      </c>
      <c r="Y142" s="1813">
        <f>E142/V142</f>
        <v>3311.1123325062035</v>
      </c>
      <c r="Z142" s="1808">
        <f>V142*AB142</f>
        <v>81809</v>
      </c>
      <c r="AA142" s="1814">
        <f>Z142/E142</f>
        <v>6.1308702216800938E-2</v>
      </c>
      <c r="AB142" s="1815">
        <f>T141</f>
        <v>203</v>
      </c>
    </row>
    <row r="143" spans="2:28" ht="16.5">
      <c r="B143" s="1849"/>
      <c r="C143" s="1849"/>
      <c r="D143" s="1849"/>
      <c r="E143" s="1849"/>
      <c r="F143" s="1849"/>
      <c r="G143" s="1849"/>
      <c r="H143" s="1849"/>
      <c r="I143" s="1849"/>
      <c r="J143" s="1849"/>
      <c r="K143" s="1849"/>
      <c r="L143" s="1849"/>
      <c r="M143" s="1849"/>
      <c r="N143" s="1849"/>
      <c r="O143" s="1849"/>
      <c r="P143" s="1849"/>
      <c r="Q143" s="1849"/>
      <c r="R143" s="1849"/>
      <c r="S143" s="1849"/>
      <c r="T143" s="1849"/>
      <c r="U143" s="1849"/>
      <c r="V143" s="1849"/>
      <c r="W143" s="1849"/>
      <c r="X143" s="1849"/>
      <c r="Y143" s="1849"/>
      <c r="Z143" s="1849"/>
      <c r="AA143" s="1849"/>
      <c r="AB143" s="1849"/>
    </row>
    <row r="144" spans="2:28" ht="16.5">
      <c r="B144" s="1849"/>
      <c r="C144" s="1849"/>
      <c r="D144" s="1849"/>
      <c r="E144" s="1849"/>
      <c r="F144" s="1849"/>
      <c r="G144" s="1849"/>
      <c r="H144" s="1849"/>
      <c r="I144" s="1849"/>
      <c r="J144" s="1849"/>
      <c r="K144" s="1849"/>
      <c r="L144" s="1849"/>
      <c r="M144" s="1849"/>
      <c r="N144" s="1849"/>
      <c r="O144" s="1849"/>
      <c r="P144" s="1849"/>
      <c r="Q144" s="1849"/>
      <c r="R144" s="1849"/>
      <c r="S144" s="1849"/>
      <c r="T144" s="1849"/>
      <c r="U144" s="1849"/>
      <c r="V144" s="1849"/>
      <c r="W144" s="1849"/>
      <c r="X144" s="1849"/>
      <c r="Y144" s="1849"/>
      <c r="Z144" s="1849"/>
      <c r="AA144" s="1849"/>
      <c r="AB144" s="1849"/>
    </row>
    <row r="145" spans="2:28" ht="16.5">
      <c r="C145" s="1849"/>
      <c r="D145" s="1849"/>
      <c r="E145" s="1849"/>
      <c r="F145" s="1849"/>
      <c r="G145" s="1849"/>
      <c r="H145" s="1849"/>
      <c r="I145" s="1849"/>
      <c r="J145" s="1849"/>
      <c r="K145" s="1849"/>
      <c r="L145" s="1849"/>
      <c r="M145" s="1849"/>
      <c r="N145" s="1849"/>
      <c r="O145" s="1849"/>
      <c r="P145" s="1849"/>
      <c r="Q145" s="1849"/>
      <c r="R145" s="1849"/>
      <c r="S145" s="1849"/>
      <c r="T145" s="1849"/>
      <c r="U145" s="1849"/>
      <c r="V145" s="1849"/>
      <c r="W145" s="1849"/>
      <c r="X145" s="1849"/>
      <c r="Y145" s="1849"/>
      <c r="Z145" s="1849"/>
      <c r="AA145" s="1849"/>
      <c r="AB145" s="1849"/>
    </row>
    <row r="146" spans="2:28" ht="16.5">
      <c r="B146" s="248" t="s">
        <v>176</v>
      </c>
      <c r="C146" s="1849"/>
      <c r="D146" s="1849"/>
      <c r="E146" s="1849"/>
      <c r="F146" s="1849"/>
      <c r="G146" s="1849"/>
      <c r="H146" s="1849"/>
      <c r="I146" s="1849"/>
      <c r="J146" s="1849"/>
      <c r="K146" s="1849"/>
      <c r="L146" s="1849"/>
      <c r="M146" s="1849"/>
      <c r="N146" s="1849"/>
      <c r="O146" s="1849"/>
      <c r="P146" s="1849"/>
      <c r="Q146" s="1849"/>
      <c r="R146" s="1849"/>
      <c r="S146" s="1849"/>
      <c r="T146" s="1849"/>
      <c r="U146" s="1849"/>
      <c r="V146" s="1849"/>
      <c r="W146" s="1849"/>
      <c r="X146" s="1849"/>
      <c r="Y146" s="1849"/>
      <c r="Z146" s="1849"/>
      <c r="AA146" s="1849"/>
      <c r="AB146" s="1849"/>
    </row>
    <row r="147" spans="2:28" ht="16.5">
      <c r="B147" s="2329" t="s">
        <v>32</v>
      </c>
      <c r="C147" s="2331" t="s">
        <v>31</v>
      </c>
      <c r="D147" s="2336" t="s">
        <v>30</v>
      </c>
      <c r="E147" s="2333" t="s">
        <v>29</v>
      </c>
      <c r="F147" s="2334"/>
      <c r="G147" s="2335"/>
      <c r="H147" s="2324" t="s">
        <v>28</v>
      </c>
      <c r="I147" s="2325"/>
      <c r="J147" s="2325"/>
      <c r="K147" s="2325"/>
      <c r="L147" s="2325"/>
      <c r="M147" s="2325"/>
      <c r="N147" s="2325"/>
      <c r="O147" s="2325"/>
      <c r="P147" s="2325"/>
      <c r="Q147" s="2325"/>
      <c r="R147" s="2325"/>
      <c r="S147" s="2325"/>
      <c r="T147" s="2326"/>
      <c r="U147" s="2324" t="s">
        <v>27</v>
      </c>
      <c r="V147" s="2325"/>
      <c r="W147" s="2325"/>
      <c r="X147" s="2325"/>
      <c r="Y147" s="2325"/>
      <c r="Z147" s="2325"/>
      <c r="AA147" s="2325"/>
      <c r="AB147" s="2326"/>
    </row>
    <row r="148" spans="2:28" ht="66">
      <c r="B148" s="2330"/>
      <c r="C148" s="2332"/>
      <c r="D148" s="2337"/>
      <c r="E148" s="1773" t="s">
        <v>26</v>
      </c>
      <c r="F148" s="1774" t="s">
        <v>138</v>
      </c>
      <c r="G148" s="1775" t="s">
        <v>24</v>
      </c>
      <c r="H148" s="1776" t="s">
        <v>23</v>
      </c>
      <c r="I148" s="1777" t="s">
        <v>22</v>
      </c>
      <c r="J148" s="1774" t="s">
        <v>21</v>
      </c>
      <c r="K148" s="1777" t="s">
        <v>20</v>
      </c>
      <c r="L148" s="1777" t="s">
        <v>19</v>
      </c>
      <c r="M148" s="1776" t="s">
        <v>18</v>
      </c>
      <c r="N148" s="1777" t="s">
        <v>17</v>
      </c>
      <c r="O148" s="1777" t="s">
        <v>16</v>
      </c>
      <c r="P148" s="1778" t="s">
        <v>15</v>
      </c>
      <c r="Q148" s="1777" t="s">
        <v>14</v>
      </c>
      <c r="R148" s="1777" t="s">
        <v>13</v>
      </c>
      <c r="S148" s="1777" t="s">
        <v>12</v>
      </c>
      <c r="T148" s="1847" t="s">
        <v>11</v>
      </c>
      <c r="U148" s="1848" t="s">
        <v>10</v>
      </c>
      <c r="V148" s="1778" t="s">
        <v>9</v>
      </c>
      <c r="W148" s="1781" t="s">
        <v>8</v>
      </c>
      <c r="X148" s="1781" t="s">
        <v>7</v>
      </c>
      <c r="Y148" s="1781" t="s">
        <v>6</v>
      </c>
      <c r="Z148" s="1781" t="s">
        <v>5</v>
      </c>
      <c r="AA148" s="1781" t="s">
        <v>4</v>
      </c>
      <c r="AB148" s="1782" t="s">
        <v>3</v>
      </c>
    </row>
    <row r="149" spans="2:28" ht="16.5">
      <c r="B149" s="2327" t="s">
        <v>588</v>
      </c>
      <c r="C149" s="1783" t="s">
        <v>879</v>
      </c>
      <c r="D149" s="1783" t="s">
        <v>584</v>
      </c>
      <c r="E149" s="1784">
        <f>SUM(F149:G149)</f>
        <v>1236429.03</v>
      </c>
      <c r="F149" s="229">
        <v>686342.03</v>
      </c>
      <c r="G149" s="1785">
        <v>550087</v>
      </c>
      <c r="H149" s="1826">
        <v>554330</v>
      </c>
      <c r="I149" s="1787">
        <f>E149/H149</f>
        <v>2.230492720942399</v>
      </c>
      <c r="J149" s="1788">
        <v>27410</v>
      </c>
      <c r="K149" s="1789">
        <f>J149/H149</f>
        <v>4.9447080259051465E-2</v>
      </c>
      <c r="L149" s="1789">
        <f>M149/J149</f>
        <v>0.17668734038672018</v>
      </c>
      <c r="M149" s="1790">
        <v>4843</v>
      </c>
      <c r="N149" s="1788">
        <v>3460</v>
      </c>
      <c r="O149" s="1791">
        <f>N149/M149</f>
        <v>0.71443320256039644</v>
      </c>
      <c r="P149" s="1792">
        <f>E149/M149</f>
        <v>255.3022981622961</v>
      </c>
      <c r="Q149" s="1793">
        <f>E149/N149</f>
        <v>357.34943063583813</v>
      </c>
      <c r="R149" s="1790">
        <f>N149*T149</f>
        <v>702380</v>
      </c>
      <c r="S149" s="1794">
        <f>R149/E149</f>
        <v>0.56807142420459023</v>
      </c>
      <c r="T149" s="1795">
        <v>203</v>
      </c>
      <c r="U149" s="1796">
        <v>336</v>
      </c>
      <c r="V149" s="1788">
        <v>223</v>
      </c>
      <c r="W149" s="1797">
        <f>V149/U149</f>
        <v>0.66369047619047616</v>
      </c>
      <c r="X149" s="1798">
        <f>E149/U149</f>
        <v>3679.8483035714285</v>
      </c>
      <c r="Y149" s="1799">
        <f>E149/V149</f>
        <v>5544.5247982062783</v>
      </c>
      <c r="Z149" s="1790">
        <f>V149*AB149</f>
        <v>45269</v>
      </c>
      <c r="AA149" s="1800">
        <f>Z149/E149</f>
        <v>3.6612695837463474E-2</v>
      </c>
      <c r="AB149" s="1801">
        <v>203</v>
      </c>
    </row>
    <row r="150" spans="2:28" ht="16.5">
      <c r="B150" s="2328"/>
      <c r="C150" s="1802" t="s">
        <v>565</v>
      </c>
      <c r="D150" s="1802"/>
      <c r="E150" s="1803">
        <f>SUM(F150:G150)</f>
        <v>1236429.03</v>
      </c>
      <c r="F150" s="1804">
        <f>SUM(F149:F149)</f>
        <v>686342.03</v>
      </c>
      <c r="G150" s="1805">
        <f>SUM(G149:G149)</f>
        <v>550087</v>
      </c>
      <c r="H150" s="1806">
        <f>SUM(H149:H149)</f>
        <v>554330</v>
      </c>
      <c r="I150" s="1807">
        <f>E150/H150</f>
        <v>2.230492720942399</v>
      </c>
      <c r="J150" s="1808">
        <f>SUM(J149:J149)</f>
        <v>27410</v>
      </c>
      <c r="K150" s="1809">
        <f>J150/H150</f>
        <v>4.9447080259051465E-2</v>
      </c>
      <c r="L150" s="1809">
        <f>M150/J150</f>
        <v>0.17668734038672018</v>
      </c>
      <c r="M150" s="1808">
        <f>SUM(M149:M149)</f>
        <v>4843</v>
      </c>
      <c r="N150" s="1808">
        <f>SUM(N149:N149)</f>
        <v>3460</v>
      </c>
      <c r="O150" s="1809">
        <f>N150/M150</f>
        <v>0.71443320256039644</v>
      </c>
      <c r="P150" s="1810">
        <f>E150/M150</f>
        <v>255.3022981622961</v>
      </c>
      <c r="Q150" s="1810">
        <f>E150/N150</f>
        <v>357.34943063583813</v>
      </c>
      <c r="R150" s="1808">
        <f>N150*T149</f>
        <v>702380</v>
      </c>
      <c r="S150" s="1811">
        <f>R150/E150</f>
        <v>0.56807142420459023</v>
      </c>
      <c r="T150" s="1808"/>
      <c r="U150" s="1806">
        <f>SUM(U149:U149)</f>
        <v>336</v>
      </c>
      <c r="V150" s="1808">
        <f>SUM(V149:V149)</f>
        <v>223</v>
      </c>
      <c r="W150" s="1812">
        <f>V150/U150</f>
        <v>0.66369047619047616</v>
      </c>
      <c r="X150" s="1813">
        <f>E150/U150</f>
        <v>3679.8483035714285</v>
      </c>
      <c r="Y150" s="1813">
        <f>E150/V150</f>
        <v>5544.5247982062783</v>
      </c>
      <c r="Z150" s="1808">
        <f>V150*AB150</f>
        <v>45269</v>
      </c>
      <c r="AA150" s="1814">
        <f>Z150/E150</f>
        <v>3.6612695837463474E-2</v>
      </c>
      <c r="AB150" s="1815">
        <f>T149</f>
        <v>203</v>
      </c>
    </row>
    <row r="151" spans="2:28" ht="16.5">
      <c r="B151" s="1849"/>
      <c r="C151" s="1849"/>
      <c r="D151" s="1849"/>
      <c r="E151" s="1849"/>
      <c r="F151" s="1849"/>
      <c r="G151" s="1849"/>
      <c r="H151" s="1849"/>
      <c r="I151" s="1849"/>
      <c r="J151" s="1849"/>
      <c r="K151" s="1849"/>
      <c r="L151" s="1849"/>
      <c r="M151" s="1849"/>
      <c r="N151" s="1849"/>
      <c r="O151" s="1849"/>
      <c r="P151" s="1849"/>
      <c r="Q151" s="1849"/>
      <c r="R151" s="1849"/>
      <c r="S151" s="1849"/>
      <c r="T151" s="1849"/>
      <c r="U151" s="1849"/>
      <c r="V151" s="1849"/>
      <c r="W151" s="1849"/>
      <c r="X151" s="1849"/>
      <c r="Y151" s="1849"/>
      <c r="Z151" s="1849"/>
      <c r="AA151" s="1849"/>
      <c r="AB151" s="1849"/>
    </row>
    <row r="152" spans="2:28" ht="16.5">
      <c r="B152" s="1849"/>
      <c r="C152" s="1849"/>
      <c r="D152" s="1849"/>
      <c r="E152" s="1849"/>
      <c r="F152" s="1849"/>
      <c r="G152" s="1849"/>
      <c r="H152" s="1849"/>
      <c r="I152" s="1849"/>
      <c r="J152" s="1849"/>
      <c r="K152" s="1849"/>
      <c r="L152" s="1849"/>
      <c r="M152" s="1849"/>
      <c r="N152" s="1849"/>
      <c r="O152" s="1849"/>
      <c r="P152" s="1849"/>
      <c r="Q152" s="1849"/>
      <c r="R152" s="1849"/>
      <c r="S152" s="1849"/>
      <c r="T152" s="1849"/>
      <c r="U152" s="1849"/>
      <c r="V152" s="1849"/>
      <c r="W152" s="1849"/>
      <c r="X152" s="1849"/>
      <c r="Y152" s="1849"/>
      <c r="Z152" s="1849"/>
      <c r="AA152" s="1849"/>
      <c r="AB152" s="1849"/>
    </row>
    <row r="153" spans="2:28" ht="16.5">
      <c r="B153" s="1849"/>
      <c r="C153" s="1849"/>
      <c r="D153" s="1849"/>
      <c r="E153" s="1849"/>
      <c r="F153" s="1849"/>
      <c r="G153" s="1849"/>
      <c r="H153" s="1849"/>
      <c r="I153" s="1849"/>
      <c r="J153" s="1849"/>
      <c r="K153" s="1849"/>
      <c r="L153" s="1849"/>
      <c r="M153" s="1849"/>
      <c r="N153" s="1849"/>
      <c r="O153" s="1849"/>
      <c r="P153" s="1849"/>
      <c r="Q153" s="1849"/>
      <c r="R153" s="1849"/>
      <c r="S153" s="1849"/>
      <c r="T153" s="1849"/>
      <c r="U153" s="1849"/>
      <c r="V153" s="1849"/>
      <c r="W153" s="1849"/>
      <c r="X153" s="1849"/>
      <c r="Y153" s="1849"/>
      <c r="Z153" s="1849"/>
      <c r="AA153" s="1849"/>
      <c r="AB153" s="1849"/>
    </row>
    <row r="154" spans="2:28" ht="16.5">
      <c r="B154" s="248" t="s">
        <v>589</v>
      </c>
      <c r="C154" s="1849"/>
      <c r="D154" s="1849"/>
      <c r="E154" s="1849"/>
      <c r="F154" s="1849"/>
      <c r="G154" s="1849"/>
      <c r="H154" s="1849"/>
      <c r="I154" s="1849"/>
      <c r="J154" s="1849"/>
      <c r="K154" s="1849"/>
      <c r="L154" s="1849"/>
      <c r="M154" s="1849"/>
      <c r="N154" s="1849"/>
      <c r="O154" s="1849"/>
      <c r="P154" s="1849"/>
      <c r="Q154" s="1849"/>
      <c r="R154" s="1849"/>
      <c r="S154" s="1849"/>
      <c r="T154" s="1849"/>
      <c r="U154" s="1849"/>
      <c r="V154" s="1849"/>
      <c r="W154" s="1849"/>
      <c r="X154" s="1849"/>
      <c r="Y154" s="1849"/>
      <c r="Z154" s="1849"/>
      <c r="AA154" s="1849"/>
      <c r="AB154" s="1849"/>
    </row>
    <row r="155" spans="2:28" ht="16.5">
      <c r="B155" s="2329" t="s">
        <v>32</v>
      </c>
      <c r="C155" s="2331" t="s">
        <v>31</v>
      </c>
      <c r="D155" s="2331" t="s">
        <v>30</v>
      </c>
      <c r="E155" s="2333" t="s">
        <v>29</v>
      </c>
      <c r="F155" s="2334"/>
      <c r="G155" s="2335"/>
      <c r="H155" s="2324" t="s">
        <v>28</v>
      </c>
      <c r="I155" s="2325"/>
      <c r="J155" s="2325"/>
      <c r="K155" s="2325"/>
      <c r="L155" s="2325"/>
      <c r="M155" s="2325"/>
      <c r="N155" s="2325"/>
      <c r="O155" s="2325"/>
      <c r="P155" s="2325"/>
      <c r="Q155" s="2325"/>
      <c r="R155" s="2325"/>
      <c r="S155" s="2325"/>
      <c r="T155" s="2326"/>
      <c r="U155" s="2324" t="s">
        <v>27</v>
      </c>
      <c r="V155" s="2325"/>
      <c r="W155" s="2325"/>
      <c r="X155" s="2325"/>
      <c r="Y155" s="2325"/>
      <c r="Z155" s="2325"/>
      <c r="AA155" s="2325"/>
      <c r="AB155" s="2326"/>
    </row>
    <row r="156" spans="2:28" ht="66">
      <c r="B156" s="2330"/>
      <c r="C156" s="2332"/>
      <c r="D156" s="2332"/>
      <c r="E156" s="1773" t="s">
        <v>26</v>
      </c>
      <c r="F156" s="1774" t="s">
        <v>138</v>
      </c>
      <c r="G156" s="1775" t="s">
        <v>24</v>
      </c>
      <c r="H156" s="1776" t="s">
        <v>23</v>
      </c>
      <c r="I156" s="1777" t="s">
        <v>22</v>
      </c>
      <c r="J156" s="1774" t="s">
        <v>21</v>
      </c>
      <c r="K156" s="1777" t="s">
        <v>20</v>
      </c>
      <c r="L156" s="1777" t="s">
        <v>19</v>
      </c>
      <c r="M156" s="1776" t="s">
        <v>18</v>
      </c>
      <c r="N156" s="1777" t="s">
        <v>17</v>
      </c>
      <c r="O156" s="1778" t="s">
        <v>15</v>
      </c>
      <c r="P156" s="1777" t="s">
        <v>14</v>
      </c>
      <c r="Q156" s="1777" t="s">
        <v>13</v>
      </c>
      <c r="R156" s="1777" t="s">
        <v>12</v>
      </c>
      <c r="S156" s="1777" t="s">
        <v>12</v>
      </c>
      <c r="T156" s="1847" t="s">
        <v>11</v>
      </c>
      <c r="U156" s="1848" t="s">
        <v>10</v>
      </c>
      <c r="V156" s="1778" t="s">
        <v>9</v>
      </c>
      <c r="W156" s="1781" t="s">
        <v>8</v>
      </c>
      <c r="X156" s="1781" t="s">
        <v>7</v>
      </c>
      <c r="Y156" s="1781" t="s">
        <v>6</v>
      </c>
      <c r="Z156" s="1781" t="s">
        <v>5</v>
      </c>
      <c r="AA156" s="1781" t="s">
        <v>4</v>
      </c>
      <c r="AB156" s="1782" t="s">
        <v>3</v>
      </c>
    </row>
    <row r="157" spans="2:28" ht="16.5">
      <c r="B157" s="2327" t="s">
        <v>589</v>
      </c>
      <c r="C157" s="1783" t="s">
        <v>879</v>
      </c>
      <c r="D157" s="36" t="s">
        <v>584</v>
      </c>
      <c r="E157" s="1784">
        <f>SUM(F157:G157)</f>
        <v>892681.8</v>
      </c>
      <c r="F157" s="229">
        <v>342594.8</v>
      </c>
      <c r="G157" s="1785">
        <v>550087</v>
      </c>
      <c r="H157" s="1826">
        <v>497885</v>
      </c>
      <c r="I157" s="1787">
        <f>E157/H157</f>
        <v>1.7929477690631372</v>
      </c>
      <c r="J157" s="1788">
        <v>15013</v>
      </c>
      <c r="K157" s="1851">
        <f>J157/H157</f>
        <v>3.0153549514446105E-2</v>
      </c>
      <c r="L157" s="1851">
        <f>M157/J157</f>
        <v>0</v>
      </c>
      <c r="M157" s="1790"/>
      <c r="N157" s="1788"/>
      <c r="O157" s="1792" t="e">
        <f>E157/M157</f>
        <v>#DIV/0!</v>
      </c>
      <c r="P157" s="1793" t="e">
        <f>E157/N157</f>
        <v>#DIV/0!</v>
      </c>
      <c r="Q157" s="1790">
        <f>N157*T157</f>
        <v>0</v>
      </c>
      <c r="R157" s="1794">
        <f>Q157/E157</f>
        <v>0</v>
      </c>
      <c r="S157" s="1852"/>
      <c r="T157" s="1795"/>
      <c r="U157" s="1796"/>
      <c r="V157" s="1788"/>
      <c r="W157" s="1797" t="e">
        <f>V157/U157</f>
        <v>#DIV/0!</v>
      </c>
      <c r="X157" s="1798" t="e">
        <f>E157/U157</f>
        <v>#DIV/0!</v>
      </c>
      <c r="Y157" s="1799" t="e">
        <f>E157/V157</f>
        <v>#DIV/0!</v>
      </c>
      <c r="Z157" s="1790">
        <f>V157*AB157</f>
        <v>0</v>
      </c>
      <c r="AA157" s="1800">
        <f>Z157/E157</f>
        <v>0</v>
      </c>
      <c r="AB157" s="1801">
        <v>203</v>
      </c>
    </row>
    <row r="158" spans="2:28" ht="16.5">
      <c r="B158" s="2328"/>
      <c r="C158" s="1802" t="s">
        <v>0</v>
      </c>
      <c r="D158" s="1802"/>
      <c r="E158" s="1803">
        <f>SUM(F158:G158)</f>
        <v>892681.8</v>
      </c>
      <c r="F158" s="1804">
        <f>SUM(F157:F157)</f>
        <v>342594.8</v>
      </c>
      <c r="G158" s="1805">
        <f>SUM(G157:G157)</f>
        <v>550087</v>
      </c>
      <c r="H158" s="1806">
        <f>SUM(H157:H157)</f>
        <v>497885</v>
      </c>
      <c r="I158" s="1807">
        <f>E158/H158</f>
        <v>1.7929477690631372</v>
      </c>
      <c r="J158" s="1808">
        <f>SUM(J157:J157)</f>
        <v>15013</v>
      </c>
      <c r="K158" s="1853">
        <f>J158/H158</f>
        <v>3.0153549514446105E-2</v>
      </c>
      <c r="L158" s="1853">
        <f>M158/J158</f>
        <v>0</v>
      </c>
      <c r="M158" s="1808">
        <f>SUM(M157:M157)</f>
        <v>0</v>
      </c>
      <c r="N158" s="1808">
        <f>SUM(N157:N157)</f>
        <v>0</v>
      </c>
      <c r="O158" s="1810" t="e">
        <f>E158/M158</f>
        <v>#DIV/0!</v>
      </c>
      <c r="P158" s="1810" t="e">
        <f>E158/N158</f>
        <v>#DIV/0!</v>
      </c>
      <c r="Q158" s="1808">
        <f>N158*T157</f>
        <v>0</v>
      </c>
      <c r="R158" s="1811">
        <f>Q158/E158</f>
        <v>0</v>
      </c>
      <c r="S158" s="1811"/>
      <c r="T158" s="1808">
        <f>T157</f>
        <v>0</v>
      </c>
      <c r="U158" s="1806">
        <f>SUM(U157:U157)</f>
        <v>0</v>
      </c>
      <c r="V158" s="1808">
        <f>SUM(V157:V157)</f>
        <v>0</v>
      </c>
      <c r="W158" s="1812" t="e">
        <f>V158/U158</f>
        <v>#DIV/0!</v>
      </c>
      <c r="X158" s="1813" t="e">
        <f>E158/U158</f>
        <v>#DIV/0!</v>
      </c>
      <c r="Y158" s="1813" t="e">
        <f>E158/V158</f>
        <v>#DIV/0!</v>
      </c>
      <c r="Z158" s="1808">
        <f>V158*AB158</f>
        <v>0</v>
      </c>
      <c r="AA158" s="1814">
        <f>Z158/E158</f>
        <v>0</v>
      </c>
      <c r="AB158" s="1815">
        <v>203</v>
      </c>
    </row>
    <row r="161" spans="1:28" ht="16.5">
      <c r="A161" s="1766"/>
      <c r="B161" s="1854" t="s">
        <v>590</v>
      </c>
      <c r="C161" s="1823"/>
      <c r="D161" s="1823"/>
      <c r="E161" s="1766"/>
      <c r="F161" s="1766"/>
      <c r="G161" s="1766"/>
      <c r="H161" s="1766"/>
      <c r="I161" s="1766"/>
      <c r="J161" s="1855"/>
      <c r="K161" s="337"/>
      <c r="L161" s="337"/>
      <c r="M161" s="1856"/>
      <c r="N161" s="1856"/>
      <c r="O161" s="1856"/>
      <c r="P161" s="1856"/>
      <c r="Q161" s="1857"/>
      <c r="R161" s="1766"/>
      <c r="S161" s="1766"/>
      <c r="T161" s="1766"/>
      <c r="U161" s="1766"/>
      <c r="V161" s="1766"/>
      <c r="W161" s="1766"/>
      <c r="X161" s="1766"/>
      <c r="Y161" s="1766"/>
      <c r="Z161" s="1766"/>
      <c r="AA161" s="1766"/>
      <c r="AB161" s="1766"/>
    </row>
    <row r="162" spans="1:28" ht="16.5">
      <c r="A162" s="1766"/>
      <c r="B162" s="1854" t="s">
        <v>591</v>
      </c>
      <c r="C162" s="1823"/>
      <c r="D162" s="1823"/>
      <c r="E162" s="1766"/>
      <c r="F162" s="1766"/>
      <c r="G162" s="1766"/>
      <c r="H162" s="1766"/>
      <c r="I162" s="1766"/>
      <c r="J162" s="1855"/>
      <c r="K162" s="337"/>
      <c r="L162" s="337"/>
      <c r="M162" s="1856"/>
      <c r="N162" s="1856"/>
      <c r="O162" s="1856"/>
      <c r="P162" s="1856"/>
      <c r="Q162" s="339"/>
      <c r="R162" s="1766"/>
      <c r="S162" s="1766"/>
      <c r="T162" s="1766"/>
      <c r="U162" s="1766"/>
      <c r="V162" s="1766"/>
      <c r="W162" s="1766"/>
      <c r="X162" s="1766"/>
      <c r="Y162" s="1766"/>
      <c r="Z162" s="1766"/>
      <c r="AA162" s="1766"/>
      <c r="AB162" s="1766"/>
    </row>
    <row r="163" spans="1:28" ht="16.5">
      <c r="A163" s="1766"/>
      <c r="B163" s="1858" t="s">
        <v>592</v>
      </c>
      <c r="C163" s="1823"/>
      <c r="D163" s="1823"/>
      <c r="E163" s="1766"/>
      <c r="F163" s="1766"/>
      <c r="G163" s="1766"/>
      <c r="H163" s="1766"/>
      <c r="I163" s="1766"/>
      <c r="J163" s="1766"/>
      <c r="K163" s="1766"/>
      <c r="L163" s="1766"/>
      <c r="M163" s="1766"/>
      <c r="N163" s="1766"/>
      <c r="O163" s="1766"/>
      <c r="P163" s="1766"/>
      <c r="Q163" s="1766"/>
      <c r="R163" s="1766"/>
      <c r="S163" s="1766"/>
      <c r="T163" s="1766"/>
      <c r="U163" s="1766"/>
      <c r="V163" s="1766"/>
      <c r="W163" s="1766"/>
      <c r="X163" s="1766"/>
      <c r="Y163" s="1766"/>
      <c r="Z163" s="1766"/>
      <c r="AA163" s="1766"/>
      <c r="AB163" s="1766"/>
    </row>
    <row r="164" spans="1:28" ht="16.5">
      <c r="A164" s="1766"/>
      <c r="B164" s="1858" t="s">
        <v>593</v>
      </c>
      <c r="C164" s="1823"/>
      <c r="D164" s="1823"/>
      <c r="E164" s="1766"/>
      <c r="F164" s="1766"/>
      <c r="G164" s="1766"/>
      <c r="H164" s="1766"/>
      <c r="I164" s="1766"/>
      <c r="J164" s="1766"/>
      <c r="K164" s="1766"/>
      <c r="L164" s="1766"/>
      <c r="M164" s="1766"/>
      <c r="N164" s="1766"/>
      <c r="O164" s="1766"/>
      <c r="P164" s="1766"/>
      <c r="Q164" s="1766"/>
      <c r="R164" s="1766"/>
      <c r="S164" s="1766"/>
      <c r="T164" s="1766"/>
      <c r="U164" s="1766"/>
      <c r="V164" s="1766"/>
      <c r="W164" s="1766"/>
      <c r="X164" s="1766"/>
      <c r="Y164" s="1766"/>
      <c r="Z164" s="1766"/>
      <c r="AA164" s="1766"/>
      <c r="AB164" s="1766"/>
    </row>
    <row r="165" spans="1:28" ht="16.5">
      <c r="A165" s="1766"/>
      <c r="B165" s="1858"/>
      <c r="C165" s="1823"/>
      <c r="D165" s="1823"/>
      <c r="E165" s="1766"/>
      <c r="F165" s="1766"/>
      <c r="G165" s="1766"/>
      <c r="H165" s="1766"/>
      <c r="I165" s="1766"/>
      <c r="J165" s="1855"/>
      <c r="K165" s="1766"/>
      <c r="L165" s="1766"/>
      <c r="M165" s="1766"/>
      <c r="N165" s="1766"/>
      <c r="O165" s="1766"/>
      <c r="P165" s="1766"/>
      <c r="Q165" s="1766"/>
      <c r="R165" s="1766"/>
      <c r="S165" s="1766"/>
      <c r="T165" s="1766"/>
      <c r="U165" s="1766"/>
      <c r="V165" s="1766"/>
      <c r="W165" s="1766"/>
      <c r="X165" s="1766"/>
      <c r="Y165" s="1766"/>
      <c r="Z165" s="1766"/>
      <c r="AA165" s="1766"/>
      <c r="AB165" s="1766"/>
    </row>
    <row r="166" spans="1:28" ht="16.5">
      <c r="A166" s="1766"/>
      <c r="B166" s="336"/>
      <c r="C166" s="1823"/>
      <c r="D166" s="1823"/>
      <c r="E166" s="1859"/>
      <c r="F166" s="1766"/>
      <c r="G166" s="1766"/>
      <c r="H166" s="1766"/>
      <c r="I166" s="1766"/>
      <c r="J166" s="1766"/>
      <c r="K166" s="1766"/>
      <c r="L166" s="1766"/>
      <c r="M166" s="1766"/>
      <c r="N166" s="1766"/>
      <c r="O166" s="1766"/>
      <c r="P166" s="1766"/>
      <c r="Q166" s="1766"/>
      <c r="R166" s="1766"/>
      <c r="S166" s="1766"/>
      <c r="T166" s="1766"/>
      <c r="U166" s="1766"/>
      <c r="V166" s="1766"/>
      <c r="W166" s="1766"/>
      <c r="X166" s="1766"/>
      <c r="Y166" s="1766"/>
      <c r="Z166" s="1766"/>
      <c r="AA166" s="1766"/>
      <c r="AB166" s="1766"/>
    </row>
    <row r="167" spans="1:28" ht="16.5">
      <c r="A167" s="1766"/>
      <c r="B167" s="1860" t="s">
        <v>594</v>
      </c>
      <c r="C167" s="1823"/>
      <c r="D167" s="1823"/>
      <c r="E167" s="1766"/>
      <c r="F167" s="1766"/>
      <c r="G167" s="1766"/>
      <c r="H167" s="1766"/>
      <c r="I167" s="1766"/>
      <c r="J167" s="1766"/>
      <c r="K167" s="1766"/>
      <c r="L167" s="1766"/>
      <c r="M167" s="1766"/>
      <c r="N167" s="1766"/>
      <c r="O167" s="1766"/>
      <c r="P167" s="1766"/>
      <c r="Q167" s="1766"/>
      <c r="R167" s="1766"/>
      <c r="S167" s="1766"/>
      <c r="T167" s="1766"/>
      <c r="U167" s="1766"/>
      <c r="V167" s="1766"/>
      <c r="W167" s="1766"/>
      <c r="X167" s="1766"/>
      <c r="Y167" s="1766"/>
      <c r="Z167" s="1766"/>
      <c r="AA167" s="1766"/>
      <c r="AB167" s="1766"/>
    </row>
    <row r="168" spans="1:28" ht="16.5">
      <c r="A168" s="1766"/>
      <c r="B168" s="1861" t="s">
        <v>595</v>
      </c>
      <c r="C168" s="1823"/>
      <c r="D168" s="1823"/>
      <c r="E168" s="1766"/>
      <c r="F168" s="1766"/>
      <c r="G168" s="1766"/>
      <c r="H168" s="1766"/>
      <c r="I168" s="1766"/>
      <c r="J168" s="1766"/>
      <c r="K168" s="1766"/>
      <c r="L168" s="1766"/>
      <c r="M168" s="1766"/>
      <c r="N168" s="1766"/>
      <c r="O168" s="1766"/>
      <c r="P168" s="1766"/>
      <c r="Q168" s="1766"/>
      <c r="R168" s="1766"/>
      <c r="S168" s="1766"/>
      <c r="T168" s="1766"/>
      <c r="U168" s="1766"/>
      <c r="V168" s="1766"/>
      <c r="W168" s="1766"/>
      <c r="X168" s="1766"/>
      <c r="Y168" s="1766"/>
      <c r="Z168" s="1766"/>
      <c r="AA168" s="1766"/>
      <c r="AB168" s="1766"/>
    </row>
    <row r="169" spans="1:28" ht="16.5">
      <c r="A169" s="1766"/>
      <c r="B169" s="1827" t="s">
        <v>596</v>
      </c>
      <c r="C169" s="1823"/>
      <c r="D169" s="1823"/>
      <c r="E169" s="1766"/>
      <c r="F169" s="1766"/>
      <c r="G169" s="1766"/>
      <c r="H169" s="1766"/>
      <c r="I169" s="1766"/>
      <c r="J169" s="1766"/>
      <c r="K169" s="1766"/>
      <c r="L169" s="1766"/>
      <c r="M169" s="1766"/>
      <c r="N169" s="1766"/>
      <c r="O169" s="1766"/>
      <c r="P169" s="1766"/>
      <c r="Q169" s="1766"/>
      <c r="R169" s="1766"/>
      <c r="S169" s="1766"/>
      <c r="T169" s="1766"/>
      <c r="U169" s="1766"/>
      <c r="V169" s="1766"/>
      <c r="W169" s="1766"/>
      <c r="X169" s="1766"/>
      <c r="Y169" s="1766"/>
      <c r="Z169" s="1766"/>
      <c r="AA169" s="1766"/>
      <c r="AB169" s="1766"/>
    </row>
    <row r="170" spans="1:28" ht="16.5">
      <c r="A170" s="1766"/>
      <c r="B170" s="1827" t="s">
        <v>597</v>
      </c>
      <c r="C170" s="1823"/>
      <c r="D170" s="1823"/>
      <c r="E170" s="1766"/>
      <c r="F170" s="1766"/>
      <c r="G170" s="1766"/>
      <c r="H170" s="1766"/>
      <c r="I170" s="1766"/>
      <c r="J170" s="1766"/>
      <c r="K170" s="1766"/>
      <c r="L170" s="1766"/>
      <c r="M170" s="1766"/>
      <c r="N170" s="1766"/>
      <c r="O170" s="1766"/>
      <c r="P170" s="1766"/>
      <c r="Q170" s="1766"/>
      <c r="R170" s="1766"/>
      <c r="S170" s="1766"/>
      <c r="T170" s="1766"/>
      <c r="U170" s="1766"/>
      <c r="V170" s="1766"/>
      <c r="W170" s="1766"/>
      <c r="X170" s="1766"/>
      <c r="Y170" s="1766"/>
      <c r="Z170" s="1766"/>
      <c r="AA170" s="1766"/>
      <c r="AB170" s="1766"/>
    </row>
    <row r="171" spans="1:28" ht="16.5">
      <c r="A171" s="1766"/>
      <c r="B171" s="1827" t="s">
        <v>598</v>
      </c>
      <c r="C171" s="1823"/>
      <c r="D171" s="1823"/>
      <c r="E171" s="1766"/>
      <c r="F171" s="1766"/>
      <c r="G171" s="1766"/>
      <c r="H171" s="1766"/>
      <c r="I171" s="1766"/>
      <c r="J171" s="1766"/>
      <c r="K171" s="1766"/>
      <c r="L171" s="1766"/>
      <c r="M171" s="1766"/>
      <c r="N171" s="1766"/>
      <c r="O171" s="1766"/>
      <c r="P171" s="1766"/>
      <c r="Q171" s="1766"/>
      <c r="R171" s="1766"/>
      <c r="S171" s="1766"/>
      <c r="T171" s="1766"/>
      <c r="U171" s="1766"/>
      <c r="V171" s="1766"/>
      <c r="W171" s="1766"/>
      <c r="X171" s="1766"/>
      <c r="Y171" s="1766"/>
      <c r="Z171" s="1766"/>
      <c r="AA171" s="1766"/>
      <c r="AB171" s="1766"/>
    </row>
  </sheetData>
  <mergeCells count="124">
    <mergeCell ref="B23:B24"/>
    <mergeCell ref="B31:B32"/>
    <mergeCell ref="C31:C32"/>
    <mergeCell ref="D31:D32"/>
    <mergeCell ref="E31:G31"/>
    <mergeCell ref="H31:T31"/>
    <mergeCell ref="H13:J13"/>
    <mergeCell ref="K13:W13"/>
    <mergeCell ref="X13:AE13"/>
    <mergeCell ref="B15:B16"/>
    <mergeCell ref="B21:B22"/>
    <mergeCell ref="C21:C22"/>
    <mergeCell ref="D21:D22"/>
    <mergeCell ref="E21:G21"/>
    <mergeCell ref="H21:T21"/>
    <mergeCell ref="U21:AB21"/>
    <mergeCell ref="B13:B14"/>
    <mergeCell ref="C13:C14"/>
    <mergeCell ref="D13:D14"/>
    <mergeCell ref="E13:E14"/>
    <mergeCell ref="F13:F14"/>
    <mergeCell ref="G13:G14"/>
    <mergeCell ref="B43:B44"/>
    <mergeCell ref="B51:B52"/>
    <mergeCell ref="C51:C52"/>
    <mergeCell ref="D51:D52"/>
    <mergeCell ref="E51:G51"/>
    <mergeCell ref="H51:T51"/>
    <mergeCell ref="U31:AB31"/>
    <mergeCell ref="B33:B34"/>
    <mergeCell ref="B41:B42"/>
    <mergeCell ref="C41:C42"/>
    <mergeCell ref="D41:D42"/>
    <mergeCell ref="E41:G41"/>
    <mergeCell ref="H41:T41"/>
    <mergeCell ref="U41:AB41"/>
    <mergeCell ref="B63:B64"/>
    <mergeCell ref="B71:B72"/>
    <mergeCell ref="C71:C72"/>
    <mergeCell ref="D71:D72"/>
    <mergeCell ref="E71:G71"/>
    <mergeCell ref="H71:T71"/>
    <mergeCell ref="U51:AB51"/>
    <mergeCell ref="B53:B54"/>
    <mergeCell ref="B61:B62"/>
    <mergeCell ref="C61:C62"/>
    <mergeCell ref="D61:D62"/>
    <mergeCell ref="E61:G61"/>
    <mergeCell ref="H61:T61"/>
    <mergeCell ref="U61:AB61"/>
    <mergeCell ref="B81:B82"/>
    <mergeCell ref="B87:B88"/>
    <mergeCell ref="C87:C88"/>
    <mergeCell ref="D87:D88"/>
    <mergeCell ref="E87:G87"/>
    <mergeCell ref="H87:T87"/>
    <mergeCell ref="U71:AB71"/>
    <mergeCell ref="B73:B74"/>
    <mergeCell ref="B79:B80"/>
    <mergeCell ref="C79:C80"/>
    <mergeCell ref="D79:D80"/>
    <mergeCell ref="E79:G79"/>
    <mergeCell ref="H79:T79"/>
    <mergeCell ref="U79:AB79"/>
    <mergeCell ref="T97:T100"/>
    <mergeCell ref="B99:B100"/>
    <mergeCell ref="B105:B106"/>
    <mergeCell ref="C105:C106"/>
    <mergeCell ref="D105:D106"/>
    <mergeCell ref="E105:G105"/>
    <mergeCell ref="H105:T105"/>
    <mergeCell ref="U87:AB87"/>
    <mergeCell ref="B89:B90"/>
    <mergeCell ref="B95:B96"/>
    <mergeCell ref="C95:C96"/>
    <mergeCell ref="D95:D96"/>
    <mergeCell ref="E95:G95"/>
    <mergeCell ref="H95:T95"/>
    <mergeCell ref="U95:AB95"/>
    <mergeCell ref="B117:B118"/>
    <mergeCell ref="B123:B124"/>
    <mergeCell ref="C123:C124"/>
    <mergeCell ref="D123:D124"/>
    <mergeCell ref="E123:G123"/>
    <mergeCell ref="H123:T123"/>
    <mergeCell ref="U105:AB105"/>
    <mergeCell ref="T107:T110"/>
    <mergeCell ref="B109:B110"/>
    <mergeCell ref="B115:B116"/>
    <mergeCell ref="C115:C116"/>
    <mergeCell ref="D115:D116"/>
    <mergeCell ref="E115:G115"/>
    <mergeCell ref="H115:T115"/>
    <mergeCell ref="U115:AB115"/>
    <mergeCell ref="B133:B134"/>
    <mergeCell ref="B139:B140"/>
    <mergeCell ref="C139:C140"/>
    <mergeCell ref="D139:D140"/>
    <mergeCell ref="E139:G139"/>
    <mergeCell ref="H139:T139"/>
    <mergeCell ref="U123:AB123"/>
    <mergeCell ref="B125:B126"/>
    <mergeCell ref="B131:B132"/>
    <mergeCell ref="C131:C132"/>
    <mergeCell ref="D131:D132"/>
    <mergeCell ref="E131:G131"/>
    <mergeCell ref="H131:T131"/>
    <mergeCell ref="U131:AB131"/>
    <mergeCell ref="U155:AB155"/>
    <mergeCell ref="B157:B158"/>
    <mergeCell ref="B149:B150"/>
    <mergeCell ref="B155:B156"/>
    <mergeCell ref="C155:C156"/>
    <mergeCell ref="D155:D156"/>
    <mergeCell ref="E155:G155"/>
    <mergeCell ref="H155:T155"/>
    <mergeCell ref="U139:AB139"/>
    <mergeCell ref="B141:B142"/>
    <mergeCell ref="B147:B148"/>
    <mergeCell ref="C147:C148"/>
    <mergeCell ref="D147:D148"/>
    <mergeCell ref="E147:G147"/>
    <mergeCell ref="H147:T147"/>
    <mergeCell ref="U147:AB14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4C89-245C-444B-A9B7-1B84E79D48C4}">
  <dimension ref="A2:AE210"/>
  <sheetViews>
    <sheetView showGridLines="0" workbookViewId="0">
      <selection activeCell="C6" sqref="C6"/>
    </sheetView>
  </sheetViews>
  <sheetFormatPr defaultColWidth="8.6640625" defaultRowHeight="14"/>
  <cols>
    <col min="1" max="1" width="6.08203125" customWidth="1"/>
    <col min="2" max="2" width="23.33203125" customWidth="1"/>
    <col min="3" max="3" width="20" customWidth="1"/>
    <col min="4" max="4" width="26.08203125" customWidth="1"/>
    <col min="5" max="5" width="20.6640625" customWidth="1"/>
    <col min="6" max="6" width="17.6640625" customWidth="1"/>
    <col min="7" max="7" width="22" customWidth="1"/>
    <col min="8" max="28" width="14" customWidth="1"/>
    <col min="29" max="31" width="15" customWidth="1"/>
  </cols>
  <sheetData>
    <row r="2" spans="2:31" ht="14.5">
      <c r="B2" s="840" t="s">
        <v>236</v>
      </c>
    </row>
    <row r="3" spans="2:31" ht="14.5">
      <c r="B3" s="840" t="s">
        <v>182</v>
      </c>
    </row>
    <row r="4" spans="2:31" ht="14.5">
      <c r="B4" s="849" t="s">
        <v>237</v>
      </c>
    </row>
    <row r="5" spans="2:31" ht="14.5">
      <c r="B5" s="849" t="s">
        <v>183</v>
      </c>
    </row>
    <row r="7" spans="2:31" s="1750" customFormat="1" ht="22.5">
      <c r="B7" s="1747" t="s">
        <v>880</v>
      </c>
      <c r="C7" s="1748"/>
      <c r="D7" s="1748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</row>
    <row r="8" spans="2:31" ht="16.5">
      <c r="B8" s="1862" t="s">
        <v>83</v>
      </c>
      <c r="C8" s="1863" t="s">
        <v>531</v>
      </c>
      <c r="D8" s="244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3"/>
      <c r="U8" s="241"/>
      <c r="V8" s="241"/>
      <c r="W8" s="241"/>
      <c r="X8" s="241"/>
      <c r="Y8" s="241"/>
      <c r="Z8" s="241"/>
      <c r="AA8" s="241"/>
      <c r="AB8" s="241"/>
    </row>
    <row r="9" spans="2:31" ht="16.5">
      <c r="B9" s="1862" t="s">
        <v>82</v>
      </c>
      <c r="C9" s="1864" t="s">
        <v>599</v>
      </c>
      <c r="D9" s="244"/>
      <c r="E9" s="241"/>
      <c r="F9" s="234"/>
      <c r="G9" s="234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3"/>
      <c r="U9" s="242"/>
      <c r="V9" s="241"/>
      <c r="W9" s="241"/>
      <c r="X9" s="241"/>
      <c r="Y9" s="241"/>
      <c r="Z9" s="241"/>
      <c r="AA9" s="241"/>
      <c r="AB9" s="241"/>
    </row>
    <row r="10" spans="2:31" ht="16.5">
      <c r="B10" s="240" t="s">
        <v>81</v>
      </c>
      <c r="C10" s="239" t="s">
        <v>80</v>
      </c>
      <c r="D10" s="238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</row>
    <row r="11" spans="2:31" ht="16.5">
      <c r="B11" s="234"/>
      <c r="C11" s="238"/>
      <c r="D11" s="238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</row>
    <row r="12" spans="2:31" ht="14.5">
      <c r="B12" s="66" t="s">
        <v>600</v>
      </c>
    </row>
    <row r="13" spans="2:31" ht="16.5">
      <c r="B13" s="2297" t="s">
        <v>32</v>
      </c>
      <c r="C13" s="2299" t="s">
        <v>31</v>
      </c>
      <c r="D13" s="2299" t="s">
        <v>437</v>
      </c>
      <c r="E13" s="2299" t="s">
        <v>439</v>
      </c>
      <c r="F13" s="2299" t="s">
        <v>441</v>
      </c>
      <c r="G13" s="2299" t="s">
        <v>30</v>
      </c>
      <c r="H13" s="2302" t="s">
        <v>29</v>
      </c>
      <c r="I13" s="2303"/>
      <c r="J13" s="2304"/>
      <c r="K13" s="2305" t="s">
        <v>28</v>
      </c>
      <c r="L13" s="2303"/>
      <c r="M13" s="2303"/>
      <c r="N13" s="2303"/>
      <c r="O13" s="2303"/>
      <c r="P13" s="2303"/>
      <c r="Q13" s="2303"/>
      <c r="R13" s="2303"/>
      <c r="S13" s="2303"/>
      <c r="T13" s="2303"/>
      <c r="U13" s="2303"/>
      <c r="V13" s="2303"/>
      <c r="W13" s="2304"/>
      <c r="X13" s="2305" t="s">
        <v>27</v>
      </c>
      <c r="Y13" s="2303"/>
      <c r="Z13" s="2303"/>
      <c r="AA13" s="2303"/>
      <c r="AB13" s="2303"/>
      <c r="AC13" s="2303"/>
      <c r="AD13" s="2303"/>
      <c r="AE13" s="2304"/>
    </row>
    <row r="14" spans="2:31" ht="66">
      <c r="B14" s="2298"/>
      <c r="C14" s="2300"/>
      <c r="D14" s="2301"/>
      <c r="E14" s="2301"/>
      <c r="F14" s="2301"/>
      <c r="G14" s="2301"/>
      <c r="H14" s="179" t="s">
        <v>26</v>
      </c>
      <c r="I14" s="178" t="s">
        <v>25</v>
      </c>
      <c r="J14" s="174" t="s">
        <v>24</v>
      </c>
      <c r="K14" s="177" t="s">
        <v>23</v>
      </c>
      <c r="L14" s="175" t="s">
        <v>44</v>
      </c>
      <c r="M14" s="178" t="s">
        <v>21</v>
      </c>
      <c r="N14" s="175" t="s">
        <v>20</v>
      </c>
      <c r="O14" s="175" t="s">
        <v>19</v>
      </c>
      <c r="P14" s="177" t="s">
        <v>18</v>
      </c>
      <c r="Q14" s="175" t="s">
        <v>17</v>
      </c>
      <c r="R14" s="58" t="s">
        <v>16</v>
      </c>
      <c r="S14" s="172" t="s">
        <v>15</v>
      </c>
      <c r="T14" s="58" t="s">
        <v>14</v>
      </c>
      <c r="U14" s="58" t="s">
        <v>13</v>
      </c>
      <c r="V14" s="58" t="s">
        <v>12</v>
      </c>
      <c r="W14" s="174" t="s">
        <v>11</v>
      </c>
      <c r="X14" s="173" t="s">
        <v>10</v>
      </c>
      <c r="Y14" s="172" t="s">
        <v>9</v>
      </c>
      <c r="Z14" s="171" t="s">
        <v>8</v>
      </c>
      <c r="AA14" s="171" t="s">
        <v>7</v>
      </c>
      <c r="AB14" s="171" t="s">
        <v>6</v>
      </c>
      <c r="AC14" s="171" t="s">
        <v>5</v>
      </c>
      <c r="AD14" s="171" t="s">
        <v>4</v>
      </c>
      <c r="AE14" s="410" t="s">
        <v>3</v>
      </c>
    </row>
    <row r="15" spans="2:31" ht="16.5">
      <c r="B15" s="2288" t="s">
        <v>600</v>
      </c>
      <c r="C15" s="169" t="s">
        <v>881</v>
      </c>
      <c r="D15" s="169" t="s">
        <v>542</v>
      </c>
      <c r="E15" s="169" t="s">
        <v>547</v>
      </c>
      <c r="F15" s="169" t="s">
        <v>452</v>
      </c>
      <c r="G15" s="169" t="s">
        <v>522</v>
      </c>
      <c r="H15" s="221">
        <f>J15+I15</f>
        <v>5018475.1899999995</v>
      </c>
      <c r="I15" s="195">
        <v>2465344.19</v>
      </c>
      <c r="J15" s="194">
        <v>2553131</v>
      </c>
      <c r="K15" s="1351">
        <v>4436886</v>
      </c>
      <c r="L15" s="1352">
        <f>H15/K15</f>
        <v>1.1310804897849527</v>
      </c>
      <c r="M15" s="186">
        <v>127385</v>
      </c>
      <c r="N15" s="1353">
        <f>M15/K15</f>
        <v>2.871045142922311E-2</v>
      </c>
      <c r="O15" s="1354">
        <f>P15/M15</f>
        <v>9.7656709973701766E-2</v>
      </c>
      <c r="P15" s="188">
        <v>12440</v>
      </c>
      <c r="Q15" s="186">
        <v>10372</v>
      </c>
      <c r="R15" s="101">
        <f>Q15/P15</f>
        <v>0.83376205787781354</v>
      </c>
      <c r="S15" s="198">
        <f>H15/P15</f>
        <v>403.41440434083597</v>
      </c>
      <c r="T15" s="100">
        <f>H15/Q15</f>
        <v>483.84836000771304</v>
      </c>
      <c r="U15" s="198">
        <f>Q15*$W15</f>
        <v>4563680</v>
      </c>
      <c r="V15" s="197">
        <f>IFERROR(U15/H15,"-")</f>
        <v>0.90937582178223353</v>
      </c>
      <c r="W15" s="1355">
        <v>440</v>
      </c>
      <c r="X15" s="187">
        <v>3665</v>
      </c>
      <c r="Y15" s="186">
        <v>3008</v>
      </c>
      <c r="Z15" s="45">
        <f>Y15/X15</f>
        <v>0.82073669849931785</v>
      </c>
      <c r="AA15" s="44">
        <f>H15/X15</f>
        <v>1369.2974597544337</v>
      </c>
      <c r="AB15" s="99">
        <f>H15/Y15</f>
        <v>1668.3760605053189</v>
      </c>
      <c r="AC15" s="42">
        <f>Y15*AE15</f>
        <v>1419776</v>
      </c>
      <c r="AD15" s="41">
        <f>IFERROR(AC15/H15,"-")</f>
        <v>0.28290983740023234</v>
      </c>
      <c r="AE15" s="40">
        <v>472</v>
      </c>
    </row>
    <row r="16" spans="2:31" ht="16.5">
      <c r="B16" s="2289"/>
      <c r="C16" s="153" t="s">
        <v>0</v>
      </c>
      <c r="D16" s="153"/>
      <c r="E16" s="153"/>
      <c r="F16" s="153"/>
      <c r="G16" s="153"/>
      <c r="H16" s="1356">
        <f>SUM(H15)</f>
        <v>5018475.1899999995</v>
      </c>
      <c r="I16" s="81">
        <f>SUM(I15)</f>
        <v>2465344.19</v>
      </c>
      <c r="J16" s="80">
        <f>SUM(J15)</f>
        <v>2553131</v>
      </c>
      <c r="K16" s="76">
        <f>SUM(K15:K15)</f>
        <v>4436886</v>
      </c>
      <c r="L16" s="79">
        <f>H16/K16</f>
        <v>1.1310804897849527</v>
      </c>
      <c r="M16" s="76">
        <f>SUM(M15)</f>
        <v>127385</v>
      </c>
      <c r="N16" s="78">
        <f>M16/K16</f>
        <v>2.871045142922311E-2</v>
      </c>
      <c r="O16" s="78">
        <f>P16/M16</f>
        <v>9.7656709973701766E-2</v>
      </c>
      <c r="P16" s="76">
        <f>SUM(P15)</f>
        <v>12440</v>
      </c>
      <c r="Q16" s="76">
        <f>SUM(Q15)</f>
        <v>10372</v>
      </c>
      <c r="R16" s="78">
        <f>Q16/P16</f>
        <v>0.83376205787781354</v>
      </c>
      <c r="S16" s="77">
        <f>H16/P16</f>
        <v>403.41440434083597</v>
      </c>
      <c r="T16" s="77">
        <f>H16/Q16</f>
        <v>483.84836000771304</v>
      </c>
      <c r="U16" s="76">
        <f>Q16*$W15</f>
        <v>4563680</v>
      </c>
      <c r="V16" s="118">
        <f>U16/H16</f>
        <v>0.90937582178223353</v>
      </c>
      <c r="W16" s="74"/>
      <c r="X16" s="73">
        <f>SUM(X15)</f>
        <v>3665</v>
      </c>
      <c r="Y16" s="70">
        <f>SUM(Y15)</f>
        <v>3008</v>
      </c>
      <c r="Z16" s="72">
        <f>Y16/X16</f>
        <v>0.82073669849931785</v>
      </c>
      <c r="AA16" s="71">
        <f>H16/X16</f>
        <v>1369.2974597544337</v>
      </c>
      <c r="AB16" s="71">
        <f>H16/Y16</f>
        <v>1668.3760605053189</v>
      </c>
      <c r="AC16" s="70">
        <f>Y16*AE15</f>
        <v>1419776</v>
      </c>
      <c r="AD16" s="69">
        <f>AC16/H16</f>
        <v>0.28290983740023234</v>
      </c>
      <c r="AE16" s="68"/>
    </row>
    <row r="17" spans="1:31" ht="16.5">
      <c r="B17" s="234"/>
      <c r="C17" s="238"/>
      <c r="D17" s="238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</row>
    <row r="18" spans="1:31" ht="16.5">
      <c r="A18" s="342"/>
      <c r="B18" s="404"/>
      <c r="C18" s="343"/>
      <c r="D18" s="343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</row>
    <row r="19" spans="1:31" ht="16.5">
      <c r="A19" s="342"/>
      <c r="B19" s="66" t="s">
        <v>128</v>
      </c>
      <c r="C19" s="343"/>
      <c r="D19" s="343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</row>
    <row r="20" spans="1:31" ht="16.5">
      <c r="A20" s="342"/>
      <c r="B20" s="66" t="s">
        <v>526</v>
      </c>
    </row>
    <row r="21" spans="1:31" ht="16.5">
      <c r="A21" s="342"/>
      <c r="B21" s="2297" t="s">
        <v>32</v>
      </c>
      <c r="C21" s="2299" t="s">
        <v>31</v>
      </c>
      <c r="D21" s="2299" t="s">
        <v>437</v>
      </c>
      <c r="E21" s="2299" t="s">
        <v>439</v>
      </c>
      <c r="F21" s="2299" t="s">
        <v>441</v>
      </c>
      <c r="G21" s="2299" t="s">
        <v>30</v>
      </c>
      <c r="H21" s="2302" t="s">
        <v>29</v>
      </c>
      <c r="I21" s="2303"/>
      <c r="J21" s="2304"/>
      <c r="K21" s="2305" t="s">
        <v>28</v>
      </c>
      <c r="L21" s="2303"/>
      <c r="M21" s="2303"/>
      <c r="N21" s="2303"/>
      <c r="O21" s="2303"/>
      <c r="P21" s="2303"/>
      <c r="Q21" s="2303"/>
      <c r="R21" s="2303"/>
      <c r="S21" s="2303"/>
      <c r="T21" s="2303"/>
      <c r="U21" s="2303"/>
      <c r="V21" s="2303"/>
      <c r="W21" s="2304"/>
      <c r="X21" s="2305" t="s">
        <v>27</v>
      </c>
      <c r="Y21" s="2303"/>
      <c r="Z21" s="2303"/>
      <c r="AA21" s="2303"/>
      <c r="AB21" s="2303"/>
      <c r="AC21" s="2303"/>
      <c r="AD21" s="2303"/>
      <c r="AE21" s="2304"/>
    </row>
    <row r="22" spans="1:31" ht="66">
      <c r="A22" s="342"/>
      <c r="B22" s="2298"/>
      <c r="C22" s="2300"/>
      <c r="D22" s="2301"/>
      <c r="E22" s="2301"/>
      <c r="F22" s="2301"/>
      <c r="G22" s="2301"/>
      <c r="H22" s="179" t="s">
        <v>26</v>
      </c>
      <c r="I22" s="178" t="s">
        <v>25</v>
      </c>
      <c r="J22" s="174" t="s">
        <v>24</v>
      </c>
      <c r="K22" s="177" t="s">
        <v>23</v>
      </c>
      <c r="L22" s="175" t="s">
        <v>44</v>
      </c>
      <c r="M22" s="178" t="s">
        <v>21</v>
      </c>
      <c r="N22" s="175" t="s">
        <v>20</v>
      </c>
      <c r="O22" s="175" t="s">
        <v>19</v>
      </c>
      <c r="P22" s="177" t="s">
        <v>18</v>
      </c>
      <c r="Q22" s="175" t="s">
        <v>17</v>
      </c>
      <c r="R22" s="58" t="s">
        <v>16</v>
      </c>
      <c r="S22" s="172" t="s">
        <v>15</v>
      </c>
      <c r="T22" s="58" t="s">
        <v>14</v>
      </c>
      <c r="U22" s="58" t="s">
        <v>13</v>
      </c>
      <c r="V22" s="58" t="s">
        <v>12</v>
      </c>
      <c r="W22" s="174" t="s">
        <v>11</v>
      </c>
      <c r="X22" s="173" t="s">
        <v>10</v>
      </c>
      <c r="Y22" s="172" t="s">
        <v>9</v>
      </c>
      <c r="Z22" s="171" t="s">
        <v>8</v>
      </c>
      <c r="AA22" s="171" t="s">
        <v>7</v>
      </c>
      <c r="AB22" s="171" t="s">
        <v>6</v>
      </c>
      <c r="AC22" s="171" t="s">
        <v>5</v>
      </c>
      <c r="AD22" s="171" t="s">
        <v>4</v>
      </c>
      <c r="AE22" s="410" t="s">
        <v>3</v>
      </c>
    </row>
    <row r="23" spans="1:31" ht="16.5">
      <c r="A23" s="342"/>
      <c r="B23" s="2288" t="s">
        <v>526</v>
      </c>
      <c r="C23" s="169" t="s">
        <v>881</v>
      </c>
      <c r="D23" s="169" t="s">
        <v>542</v>
      </c>
      <c r="E23" s="169" t="s">
        <v>547</v>
      </c>
      <c r="F23" s="169" t="s">
        <v>452</v>
      </c>
      <c r="G23" s="169" t="s">
        <v>522</v>
      </c>
      <c r="H23" s="221">
        <f>J23+I23</f>
        <v>3413978.55</v>
      </c>
      <c r="I23" s="195">
        <v>1611978.55</v>
      </c>
      <c r="J23" s="194">
        <v>1802000</v>
      </c>
      <c r="K23" s="1351">
        <v>3184860</v>
      </c>
      <c r="L23" s="1352">
        <f>H23/K23</f>
        <v>1.0719399125864244</v>
      </c>
      <c r="M23" s="186">
        <v>89283</v>
      </c>
      <c r="N23" s="1353">
        <f>M23/K23</f>
        <v>2.8033571334375767E-2</v>
      </c>
      <c r="O23" s="1354">
        <f>P23/M23</f>
        <v>9.1282774996359894E-2</v>
      </c>
      <c r="P23" s="188">
        <v>8150</v>
      </c>
      <c r="Q23" s="186">
        <v>6726</v>
      </c>
      <c r="R23" s="101">
        <f>Q23/P23</f>
        <v>0.82527607361963196</v>
      </c>
      <c r="S23" s="198">
        <f>H23/P23</f>
        <v>418.89307361963188</v>
      </c>
      <c r="T23" s="100">
        <f>H23/Q23</f>
        <v>507.57932649420155</v>
      </c>
      <c r="U23" s="198">
        <f>Q23*$W23</f>
        <v>3167946</v>
      </c>
      <c r="V23" s="197">
        <f>IFERROR(U23/H23,"-")</f>
        <v>0.92793377392485377</v>
      </c>
      <c r="W23" s="1355">
        <v>471</v>
      </c>
      <c r="X23" s="187">
        <v>1619</v>
      </c>
      <c r="Y23" s="186">
        <v>1309</v>
      </c>
      <c r="Z23" s="45">
        <f>Y23/X23</f>
        <v>0.80852378011117976</v>
      </c>
      <c r="AA23" s="44">
        <f>H23/X23</f>
        <v>2108.6958307597283</v>
      </c>
      <c r="AB23" s="99">
        <f>H23/Y23</f>
        <v>2608.0813980137509</v>
      </c>
      <c r="AC23" s="42">
        <f>Y23*AE23</f>
        <v>602140</v>
      </c>
      <c r="AD23" s="41">
        <f>IFERROR(AC23/H23,"-")</f>
        <v>0.17637486328084867</v>
      </c>
      <c r="AE23" s="40">
        <v>460</v>
      </c>
    </row>
    <row r="24" spans="1:31" ht="16.5">
      <c r="A24" s="342"/>
      <c r="B24" s="2289"/>
      <c r="C24" s="153" t="s">
        <v>0</v>
      </c>
      <c r="D24" s="153"/>
      <c r="E24" s="153"/>
      <c r="F24" s="153"/>
      <c r="G24" s="153"/>
      <c r="H24" s="1356">
        <f>SUM(H23)</f>
        <v>3413978.55</v>
      </c>
      <c r="I24" s="81">
        <f>SUM(I23)</f>
        <v>1611978.55</v>
      </c>
      <c r="J24" s="80">
        <f>SUM(J23)</f>
        <v>1802000</v>
      </c>
      <c r="K24" s="76">
        <f>SUM(K23:K23)</f>
        <v>3184860</v>
      </c>
      <c r="L24" s="79">
        <f>H24/K24</f>
        <v>1.0719399125864244</v>
      </c>
      <c r="M24" s="76">
        <f>SUM(M23)</f>
        <v>89283</v>
      </c>
      <c r="N24" s="78">
        <f>M24/K24</f>
        <v>2.8033571334375767E-2</v>
      </c>
      <c r="O24" s="78">
        <f>P24/M24</f>
        <v>9.1282774996359894E-2</v>
      </c>
      <c r="P24" s="76">
        <f>SUM(P23)</f>
        <v>8150</v>
      </c>
      <c r="Q24" s="76">
        <f>SUM(Q23)</f>
        <v>6726</v>
      </c>
      <c r="R24" s="78">
        <f>Q24/P24</f>
        <v>0.82527607361963196</v>
      </c>
      <c r="S24" s="77">
        <f>H24/P24</f>
        <v>418.89307361963188</v>
      </c>
      <c r="T24" s="77">
        <f>H24/Q24</f>
        <v>507.57932649420155</v>
      </c>
      <c r="U24" s="76">
        <f>Q24*$W23</f>
        <v>3167946</v>
      </c>
      <c r="V24" s="118">
        <f>U24/H24</f>
        <v>0.92793377392485377</v>
      </c>
      <c r="W24" s="74"/>
      <c r="X24" s="73">
        <f>SUM(X23)</f>
        <v>1619</v>
      </c>
      <c r="Y24" s="70">
        <f>SUM(Y23)</f>
        <v>1309</v>
      </c>
      <c r="Z24" s="72">
        <f>Y24/X24</f>
        <v>0.80852378011117976</v>
      </c>
      <c r="AA24" s="71">
        <f>H24/X24</f>
        <v>2108.6958307597283</v>
      </c>
      <c r="AB24" s="71">
        <f>H24/Y24</f>
        <v>2608.0813980137509</v>
      </c>
      <c r="AC24" s="70">
        <f>Y24*AE23</f>
        <v>602140</v>
      </c>
      <c r="AD24" s="69">
        <f>AC24/H24</f>
        <v>0.17637486328084867</v>
      </c>
      <c r="AE24" s="68"/>
    </row>
    <row r="25" spans="1:31" ht="16.5">
      <c r="A25" s="342"/>
      <c r="B25" s="404"/>
      <c r="C25" s="343"/>
      <c r="D25" s="343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</row>
    <row r="26" spans="1:31" s="1359" customFormat="1" ht="16.5">
      <c r="A26" s="398"/>
      <c r="B26" s="248" t="s">
        <v>517</v>
      </c>
      <c r="C26" s="594"/>
      <c r="D26" s="594"/>
      <c r="E26" s="593"/>
      <c r="F26" s="593"/>
      <c r="G26" s="65"/>
      <c r="H26" s="1358"/>
      <c r="I26" s="1358"/>
      <c r="J26" s="1358"/>
      <c r="K26" s="1358"/>
      <c r="L26" s="1358"/>
      <c r="M26" s="593"/>
      <c r="N26" s="593"/>
      <c r="O26" s="593"/>
      <c r="P26" s="593"/>
      <c r="Q26" s="593"/>
      <c r="R26" s="593"/>
      <c r="S26" s="593"/>
      <c r="T26" s="593"/>
      <c r="U26" s="593"/>
      <c r="V26" s="593"/>
      <c r="W26" s="593"/>
      <c r="X26" s="593"/>
      <c r="Y26" s="593"/>
      <c r="Z26" s="593"/>
      <c r="AA26" s="593"/>
      <c r="AB26" s="593"/>
    </row>
    <row r="27" spans="1:31" s="1359" customFormat="1" ht="16.5" customHeight="1">
      <c r="A27" s="398"/>
      <c r="B27" s="2371" t="s">
        <v>456</v>
      </c>
      <c r="C27" s="2372" t="s">
        <v>457</v>
      </c>
      <c r="D27" s="2374" t="s">
        <v>150</v>
      </c>
      <c r="E27" s="2376" t="s">
        <v>151</v>
      </c>
      <c r="F27" s="2376"/>
      <c r="G27" s="2376"/>
      <c r="H27" s="2346" t="s">
        <v>152</v>
      </c>
      <c r="I27" s="2346"/>
      <c r="J27" s="2346"/>
      <c r="K27" s="2346"/>
      <c r="L27" s="2346"/>
      <c r="M27" s="2346"/>
      <c r="N27" s="2346"/>
      <c r="O27" s="2346"/>
      <c r="P27" s="2346"/>
      <c r="Q27" s="2346"/>
      <c r="R27" s="2346"/>
      <c r="S27" s="2346"/>
      <c r="T27" s="2346"/>
      <c r="U27" s="2349" t="s">
        <v>27</v>
      </c>
      <c r="V27" s="2349"/>
      <c r="W27" s="2349"/>
      <c r="X27" s="2349"/>
      <c r="Y27" s="2349"/>
      <c r="Z27" s="2349"/>
      <c r="AA27" s="2349"/>
      <c r="AB27" s="2379"/>
    </row>
    <row r="28" spans="1:31" s="1359" customFormat="1" ht="66">
      <c r="A28" s="398"/>
      <c r="B28" s="2371"/>
      <c r="C28" s="2372"/>
      <c r="D28" s="2374"/>
      <c r="E28" s="179" t="s">
        <v>154</v>
      </c>
      <c r="F28" s="178" t="s">
        <v>458</v>
      </c>
      <c r="G28" s="174" t="s">
        <v>156</v>
      </c>
      <c r="H28" s="406" t="s">
        <v>223</v>
      </c>
      <c r="I28" s="354" t="s">
        <v>44</v>
      </c>
      <c r="J28" s="351" t="s">
        <v>21</v>
      </c>
      <c r="K28" s="354" t="s">
        <v>20</v>
      </c>
      <c r="L28" s="354" t="s">
        <v>19</v>
      </c>
      <c r="M28" s="355" t="s">
        <v>18</v>
      </c>
      <c r="N28" s="354" t="s">
        <v>17</v>
      </c>
      <c r="O28" s="356" t="s">
        <v>16</v>
      </c>
      <c r="P28" s="357" t="s">
        <v>15</v>
      </c>
      <c r="Q28" s="354" t="s">
        <v>14</v>
      </c>
      <c r="R28" s="354" t="s">
        <v>13</v>
      </c>
      <c r="S28" s="354" t="s">
        <v>12</v>
      </c>
      <c r="T28" s="358" t="s">
        <v>11</v>
      </c>
      <c r="U28" s="407" t="s">
        <v>10</v>
      </c>
      <c r="V28" s="408" t="s">
        <v>9</v>
      </c>
      <c r="W28" s="409" t="s">
        <v>8</v>
      </c>
      <c r="X28" s="409" t="s">
        <v>7</v>
      </c>
      <c r="Y28" s="409" t="s">
        <v>6</v>
      </c>
      <c r="Z28" s="409" t="s">
        <v>5</v>
      </c>
      <c r="AA28" s="409" t="s">
        <v>4</v>
      </c>
      <c r="AB28" s="410" t="s">
        <v>3</v>
      </c>
    </row>
    <row r="29" spans="1:31" s="1359" customFormat="1" ht="16.5">
      <c r="A29" s="398"/>
      <c r="B29" s="2383" t="s">
        <v>459</v>
      </c>
      <c r="C29" s="1360" t="s">
        <v>881</v>
      </c>
      <c r="D29" s="2386" t="s">
        <v>460</v>
      </c>
      <c r="E29" s="464">
        <f>F29+G29</f>
        <v>1909714.16993153</v>
      </c>
      <c r="F29" s="183">
        <v>1439485.16993153</v>
      </c>
      <c r="G29" s="183">
        <v>470229</v>
      </c>
      <c r="H29" s="414">
        <v>818637</v>
      </c>
      <c r="I29" s="415">
        <f>E29/H29</f>
        <v>2.3327972836941524</v>
      </c>
      <c r="J29" s="416">
        <v>59460</v>
      </c>
      <c r="K29" s="417">
        <f>J29/H29</f>
        <v>7.2632925215938199E-2</v>
      </c>
      <c r="L29" s="418">
        <f>M29/J29</f>
        <v>0.19330642448705013</v>
      </c>
      <c r="M29" s="1361">
        <v>11494</v>
      </c>
      <c r="N29" s="159">
        <v>8932</v>
      </c>
      <c r="O29" s="1362">
        <f>N29/M29</f>
        <v>0.77710109622411694</v>
      </c>
      <c r="P29" s="163">
        <f>E29/M29</f>
        <v>166.14878805738039</v>
      </c>
      <c r="Q29" s="159">
        <f>E29/N29</f>
        <v>213.80588557227162</v>
      </c>
      <c r="R29" s="155">
        <f>N29*T29</f>
        <v>3662120</v>
      </c>
      <c r="S29" s="421">
        <f>R29/E29</f>
        <v>1.9176272856221723</v>
      </c>
      <c r="T29" s="2380">
        <v>410</v>
      </c>
      <c r="U29" s="422">
        <v>4695</v>
      </c>
      <c r="V29" s="159">
        <v>3586</v>
      </c>
      <c r="W29" s="417">
        <f>V29/U29</f>
        <v>0.76379126730564428</v>
      </c>
      <c r="X29" s="157">
        <f>E29/U29</f>
        <v>406.75488177455378</v>
      </c>
      <c r="Y29" s="156">
        <f>E29/V29</f>
        <v>532.54717510639432</v>
      </c>
      <c r="Z29" s="155">
        <f>V29*AB29</f>
        <v>1649560</v>
      </c>
      <c r="AA29" s="423">
        <f>Z29/E29</f>
        <v>0.86377324207587702</v>
      </c>
      <c r="AB29" s="656">
        <v>460</v>
      </c>
    </row>
    <row r="30" spans="1:31" s="1359" customFormat="1" ht="16.5">
      <c r="A30" s="398"/>
      <c r="B30" s="2384"/>
      <c r="C30" s="1360" t="s">
        <v>882</v>
      </c>
      <c r="D30" s="2387"/>
      <c r="E30" s="464">
        <f>F30+G30</f>
        <v>551266.51149423304</v>
      </c>
      <c r="F30" s="183">
        <v>319909.51149423298</v>
      </c>
      <c r="G30" s="183">
        <v>231357</v>
      </c>
      <c r="H30" s="414">
        <v>374803</v>
      </c>
      <c r="I30" s="415">
        <f>E30/H30</f>
        <v>1.4708166996908589</v>
      </c>
      <c r="J30" s="416">
        <v>12711</v>
      </c>
      <c r="K30" s="417">
        <f>J30/H30</f>
        <v>3.3913816058035819E-2</v>
      </c>
      <c r="L30" s="418">
        <f>M30/J30</f>
        <v>0.13311305168751475</v>
      </c>
      <c r="M30" s="1361">
        <v>1692</v>
      </c>
      <c r="N30" s="159">
        <v>1356</v>
      </c>
      <c r="O30" s="1362">
        <f>N30/M30</f>
        <v>0.8014184397163121</v>
      </c>
      <c r="P30" s="163">
        <f>E30/M30</f>
        <v>325.80763090675714</v>
      </c>
      <c r="Q30" s="159">
        <f>E30/N30</f>
        <v>406.53872529073232</v>
      </c>
      <c r="R30" s="155">
        <f>N30*T29</f>
        <v>555960</v>
      </c>
      <c r="S30" s="421">
        <f>R30/E30</f>
        <v>1.008514009844431</v>
      </c>
      <c r="T30" s="2290"/>
      <c r="U30" s="422">
        <v>268</v>
      </c>
      <c r="V30" s="159">
        <v>233</v>
      </c>
      <c r="W30" s="417">
        <f>V30/U30</f>
        <v>0.86940298507462688</v>
      </c>
      <c r="X30" s="157">
        <f>E30/U30</f>
        <v>2056.9645951277353</v>
      </c>
      <c r="Y30" s="156">
        <f>E30/V30</f>
        <v>2365.9506931082965</v>
      </c>
      <c r="Z30" s="155">
        <f>V30*AB30</f>
        <v>70366</v>
      </c>
      <c r="AA30" s="423">
        <f>Z30/E30</f>
        <v>0.12764424925662499</v>
      </c>
      <c r="AB30" s="656">
        <v>302</v>
      </c>
    </row>
    <row r="31" spans="1:31" s="1359" customFormat="1" ht="16.5">
      <c r="A31" s="398"/>
      <c r="B31" s="2384"/>
      <c r="C31" s="1360" t="s">
        <v>883</v>
      </c>
      <c r="D31" s="184" t="s">
        <v>459</v>
      </c>
      <c r="E31" s="464">
        <f>F31+G31</f>
        <v>726301.86</v>
      </c>
      <c r="F31" s="183">
        <v>458093.86</v>
      </c>
      <c r="G31" s="183">
        <v>268208</v>
      </c>
      <c r="H31" s="414">
        <v>544041</v>
      </c>
      <c r="I31" s="415">
        <f>E31/H31</f>
        <v>1.3350130964394227</v>
      </c>
      <c r="J31" s="416">
        <v>27337</v>
      </c>
      <c r="K31" s="417">
        <f>J31/H31</f>
        <v>5.0248051157909056E-2</v>
      </c>
      <c r="L31" s="418">
        <f>M31/J31</f>
        <v>0.13607930643450269</v>
      </c>
      <c r="M31" s="1361">
        <v>3720</v>
      </c>
      <c r="N31" s="159">
        <v>2749</v>
      </c>
      <c r="O31" s="1362">
        <f>N31/M31</f>
        <v>0.73897849462365595</v>
      </c>
      <c r="P31" s="163">
        <f>E31/M31</f>
        <v>195.24243548387096</v>
      </c>
      <c r="Q31" s="159">
        <f>E31/N31</f>
        <v>264.20584212440889</v>
      </c>
      <c r="R31" s="155">
        <f>N31*T29</f>
        <v>1127090</v>
      </c>
      <c r="S31" s="421">
        <f>R31/E31</f>
        <v>1.5518203409254658</v>
      </c>
      <c r="T31" s="2290"/>
      <c r="U31" s="422">
        <v>1854</v>
      </c>
      <c r="V31" s="159">
        <v>1343</v>
      </c>
      <c r="W31" s="417">
        <f>V31/U31</f>
        <v>0.72437971952535063</v>
      </c>
      <c r="X31" s="157">
        <f>E31/U31</f>
        <v>391.74857605177993</v>
      </c>
      <c r="Y31" s="156">
        <f>E31/V31</f>
        <v>540.80555472822039</v>
      </c>
      <c r="Z31" s="155">
        <f>V31*AB31</f>
        <v>346494</v>
      </c>
      <c r="AA31" s="423">
        <f>Z31/E31</f>
        <v>0.47706610581996856</v>
      </c>
      <c r="AB31" s="656">
        <v>258</v>
      </c>
    </row>
    <row r="32" spans="1:31" s="1359" customFormat="1" ht="16.5">
      <c r="A32" s="398"/>
      <c r="B32" s="2384"/>
      <c r="C32" s="1363" t="s">
        <v>37</v>
      </c>
      <c r="D32" s="2388"/>
      <c r="E32" s="469">
        <f>F32+G32</f>
        <v>3187282.5414257632</v>
      </c>
      <c r="F32" s="470">
        <f>F29+F30+F31</f>
        <v>2217488.5414257632</v>
      </c>
      <c r="G32" s="471">
        <f>G29+G30+G31</f>
        <v>969794</v>
      </c>
      <c r="H32" s="429">
        <f>SUM(H29:H31)</f>
        <v>1737481</v>
      </c>
      <c r="I32" s="430">
        <f>E32/H32</f>
        <v>1.8344272780109614</v>
      </c>
      <c r="J32" s="1364">
        <f>SUM(J29:J31)</f>
        <v>99508</v>
      </c>
      <c r="K32" s="432">
        <f>J32/H32</f>
        <v>5.7271417644279274E-2</v>
      </c>
      <c r="L32" s="1365">
        <f>M32/J32</f>
        <v>0.16989588776781767</v>
      </c>
      <c r="M32" s="431">
        <f>SUM(M29:M31)</f>
        <v>16906</v>
      </c>
      <c r="N32" s="431">
        <f>SUM(N29:N31)</f>
        <v>13037</v>
      </c>
      <c r="O32" s="1366">
        <f>N32/M32</f>
        <v>0.77114633857801962</v>
      </c>
      <c r="P32" s="475">
        <f>E32/M32</f>
        <v>188.5296664749653</v>
      </c>
      <c r="Q32" s="431">
        <f>E32/N32</f>
        <v>244.47975312002478</v>
      </c>
      <c r="R32" s="431">
        <f>N32*T29</f>
        <v>5345170</v>
      </c>
      <c r="S32" s="434">
        <f>R32/E32</f>
        <v>1.6770304893048333</v>
      </c>
      <c r="T32" s="2290"/>
      <c r="U32" s="1367">
        <f>SUM(U29:U31)</f>
        <v>6817</v>
      </c>
      <c r="V32" s="1364">
        <f>SUM(V29:V31)</f>
        <v>5162</v>
      </c>
      <c r="W32" s="432">
        <f>V32/U32</f>
        <v>0.75722458559483641</v>
      </c>
      <c r="X32" s="1368">
        <f>E32/U32</f>
        <v>467.54914792808614</v>
      </c>
      <c r="Y32" s="1368">
        <f>E32/V32</f>
        <v>617.4510928759712</v>
      </c>
      <c r="Z32" s="431">
        <f>V32*AB32</f>
        <v>2116420</v>
      </c>
      <c r="AA32" s="1369">
        <f>Z32/E32</f>
        <v>0.66402020294481467</v>
      </c>
      <c r="AB32" s="2381">
        <v>410</v>
      </c>
    </row>
    <row r="33" spans="1:28" s="1359" customFormat="1" ht="16.5">
      <c r="A33" s="398"/>
      <c r="B33" s="2385"/>
      <c r="C33" s="1370" t="s">
        <v>36</v>
      </c>
      <c r="D33" s="2389"/>
      <c r="E33" s="1371">
        <f>F33+G33</f>
        <v>3187282.5414257632</v>
      </c>
      <c r="F33" s="1372">
        <f>F32</f>
        <v>2217488.5414257632</v>
      </c>
      <c r="G33" s="1373">
        <f>G32</f>
        <v>969794</v>
      </c>
      <c r="H33" s="1374">
        <v>1629510</v>
      </c>
      <c r="I33" s="1375">
        <f>E33/H33</f>
        <v>1.9559760550262122</v>
      </c>
      <c r="J33" s="1376">
        <v>88000</v>
      </c>
      <c r="K33" s="1377">
        <f>J33/H33</f>
        <v>5.4003964381930766E-2</v>
      </c>
      <c r="L33" s="1378">
        <f>M33/J33</f>
        <v>0.16618181818181818</v>
      </c>
      <c r="M33" s="146">
        <v>14624</v>
      </c>
      <c r="N33" s="146">
        <v>11358</v>
      </c>
      <c r="O33" s="1379">
        <f>N33/M33</f>
        <v>0.77666849015317285</v>
      </c>
      <c r="P33" s="147">
        <f>E33/M33</f>
        <v>217.94875146510964</v>
      </c>
      <c r="Q33" s="146">
        <f>E33/N33</f>
        <v>280.62005119085785</v>
      </c>
      <c r="R33" s="146">
        <f>N33*T29</f>
        <v>4656780</v>
      </c>
      <c r="S33" s="1380">
        <f>R33/E33</f>
        <v>1.4610502644415353</v>
      </c>
      <c r="T33" s="2291"/>
      <c r="U33" s="1381"/>
      <c r="V33" s="1376"/>
      <c r="W33" s="1377"/>
      <c r="X33" s="1382"/>
      <c r="Y33" s="1382"/>
      <c r="Z33" s="146"/>
      <c r="AA33" s="1383"/>
      <c r="AB33" s="2382"/>
    </row>
    <row r="34" spans="1:28" s="1359" customFormat="1" ht="16.5">
      <c r="A34" s="398"/>
      <c r="B34" s="233"/>
      <c r="C34" s="232" t="s">
        <v>461</v>
      </c>
      <c r="D34" s="231" t="s">
        <v>462</v>
      </c>
      <c r="E34" s="230">
        <f>SUM(F34:G34)</f>
        <v>3187283</v>
      </c>
      <c r="F34" s="183">
        <v>2217489</v>
      </c>
      <c r="G34" s="228">
        <v>969794</v>
      </c>
      <c r="H34" s="1358"/>
      <c r="I34" s="1358"/>
      <c r="J34" s="1358"/>
      <c r="K34" s="1358"/>
      <c r="L34" s="1358"/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</row>
    <row r="35" spans="1:28" s="1359" customFormat="1" ht="16.5">
      <c r="A35" s="398"/>
      <c r="B35" s="227"/>
      <c r="C35" s="226" t="s">
        <v>463</v>
      </c>
      <c r="D35" s="225" t="s">
        <v>69</v>
      </c>
      <c r="E35" s="224">
        <f>E32/E34</f>
        <v>0.99999985612377784</v>
      </c>
      <c r="F35" s="223">
        <f>F33/F34</f>
        <v>0.9999997932011222</v>
      </c>
      <c r="G35" s="1385">
        <f>G33/G34</f>
        <v>1</v>
      </c>
      <c r="H35" s="1358"/>
      <c r="I35" s="1358"/>
      <c r="J35" s="1358"/>
      <c r="K35" s="1358"/>
      <c r="L35" s="1358"/>
      <c r="M35" s="593"/>
      <c r="N35" s="593"/>
      <c r="O35" s="593"/>
      <c r="P35" s="593"/>
      <c r="Q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</row>
    <row r="36" spans="1:28" s="1359" customFormat="1" ht="16.5">
      <c r="A36" s="398"/>
      <c r="B36" s="1865"/>
      <c r="C36" s="594"/>
      <c r="D36" s="594"/>
      <c r="E36" s="593"/>
      <c r="F36" s="593"/>
      <c r="G36" s="65"/>
      <c r="H36" s="1358"/>
      <c r="I36" s="1358"/>
      <c r="J36" s="1358"/>
      <c r="K36" s="1358"/>
      <c r="L36" s="1358"/>
      <c r="M36" s="593"/>
      <c r="N36" s="593"/>
      <c r="O36" s="593"/>
      <c r="P36" s="593"/>
      <c r="Q36" s="1387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</row>
    <row r="37" spans="1:28" s="1359" customFormat="1" ht="16.5">
      <c r="A37" s="398"/>
      <c r="B37" s="1865"/>
      <c r="C37" s="594"/>
      <c r="D37" s="594"/>
      <c r="E37" s="593"/>
      <c r="F37" s="593"/>
      <c r="G37" s="65"/>
      <c r="H37" s="1358"/>
      <c r="I37" s="1358"/>
      <c r="J37" s="1358"/>
      <c r="K37" s="1358"/>
      <c r="L37" s="1358"/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</row>
    <row r="38" spans="1:28" s="1359" customFormat="1" ht="16.5">
      <c r="A38" s="398"/>
      <c r="B38" s="1865"/>
      <c r="C38" s="594"/>
      <c r="D38" s="594"/>
      <c r="E38" s="593"/>
      <c r="F38" s="593"/>
      <c r="G38" s="65"/>
      <c r="H38" s="1358"/>
      <c r="I38" s="1358"/>
      <c r="J38" s="1358"/>
      <c r="K38" s="1358"/>
      <c r="L38" s="1358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</row>
    <row r="39" spans="1:28" s="1359" customFormat="1" ht="16.5">
      <c r="A39" s="398"/>
      <c r="B39" s="248" t="s">
        <v>518</v>
      </c>
      <c r="C39" s="594"/>
      <c r="D39" s="594"/>
      <c r="E39" s="593"/>
      <c r="F39" s="593"/>
      <c r="G39" s="65"/>
      <c r="H39" s="1358"/>
      <c r="I39" s="1358"/>
      <c r="J39" s="1358"/>
      <c r="K39" s="1358"/>
      <c r="L39" s="1358"/>
      <c r="M39" s="593"/>
      <c r="N39" s="593"/>
      <c r="O39" s="593"/>
      <c r="P39" s="593"/>
      <c r="Q39" s="593"/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</row>
    <row r="40" spans="1:28" s="1359" customFormat="1" ht="16.5">
      <c r="A40" s="398"/>
      <c r="B40" s="2371" t="s">
        <v>456</v>
      </c>
      <c r="C40" s="2372" t="s">
        <v>457</v>
      </c>
      <c r="D40" s="2374" t="s">
        <v>150</v>
      </c>
      <c r="E40" s="2376" t="s">
        <v>151</v>
      </c>
      <c r="F40" s="2376"/>
      <c r="G40" s="2376"/>
      <c r="H40" s="2346" t="s">
        <v>152</v>
      </c>
      <c r="I40" s="2346"/>
      <c r="J40" s="2346"/>
      <c r="K40" s="2346"/>
      <c r="L40" s="2346"/>
      <c r="M40" s="2346"/>
      <c r="N40" s="2346"/>
      <c r="O40" s="2346"/>
      <c r="P40" s="2346"/>
      <c r="Q40" s="2346"/>
      <c r="R40" s="2346"/>
      <c r="S40" s="2346"/>
      <c r="T40" s="2346"/>
      <c r="U40" s="2349" t="s">
        <v>27</v>
      </c>
      <c r="V40" s="2349"/>
      <c r="W40" s="2349"/>
      <c r="X40" s="2349"/>
      <c r="Y40" s="2349"/>
      <c r="Z40" s="2349"/>
      <c r="AA40" s="2349"/>
      <c r="AB40" s="2379"/>
    </row>
    <row r="41" spans="1:28" s="1359" customFormat="1" ht="66">
      <c r="A41" s="398"/>
      <c r="B41" s="2371"/>
      <c r="C41" s="2372"/>
      <c r="D41" s="2374"/>
      <c r="E41" s="179" t="s">
        <v>154</v>
      </c>
      <c r="F41" s="178" t="s">
        <v>458</v>
      </c>
      <c r="G41" s="174" t="s">
        <v>156</v>
      </c>
      <c r="H41" s="406" t="s">
        <v>223</v>
      </c>
      <c r="I41" s="354" t="s">
        <v>44</v>
      </c>
      <c r="J41" s="351" t="s">
        <v>21</v>
      </c>
      <c r="K41" s="354" t="s">
        <v>20</v>
      </c>
      <c r="L41" s="354" t="s">
        <v>19</v>
      </c>
      <c r="M41" s="355" t="s">
        <v>18</v>
      </c>
      <c r="N41" s="354" t="s">
        <v>17</v>
      </c>
      <c r="O41" s="356" t="s">
        <v>16</v>
      </c>
      <c r="P41" s="357" t="s">
        <v>15</v>
      </c>
      <c r="Q41" s="354" t="s">
        <v>14</v>
      </c>
      <c r="R41" s="354" t="s">
        <v>13</v>
      </c>
      <c r="S41" s="354" t="s">
        <v>12</v>
      </c>
      <c r="T41" s="358" t="s">
        <v>11</v>
      </c>
      <c r="U41" s="407" t="s">
        <v>10</v>
      </c>
      <c r="V41" s="408" t="s">
        <v>9</v>
      </c>
      <c r="W41" s="409" t="s">
        <v>8</v>
      </c>
      <c r="X41" s="409" t="s">
        <v>7</v>
      </c>
      <c r="Y41" s="409" t="s">
        <v>6</v>
      </c>
      <c r="Z41" s="409" t="s">
        <v>5</v>
      </c>
      <c r="AA41" s="409" t="s">
        <v>4</v>
      </c>
      <c r="AB41" s="410" t="s">
        <v>3</v>
      </c>
    </row>
    <row r="42" spans="1:28" s="1359" customFormat="1" ht="16.5">
      <c r="A42" s="398"/>
      <c r="B42" s="2383" t="s">
        <v>464</v>
      </c>
      <c r="C42" s="1360" t="s">
        <v>881</v>
      </c>
      <c r="D42" s="2386" t="s">
        <v>460</v>
      </c>
      <c r="E42" s="464">
        <f>F42+G42</f>
        <v>1452378.4919654801</v>
      </c>
      <c r="F42" s="183">
        <v>982149.49196548003</v>
      </c>
      <c r="G42" s="183">
        <v>470229</v>
      </c>
      <c r="H42" s="414">
        <v>643682</v>
      </c>
      <c r="I42" s="415">
        <f>E42/H42</f>
        <v>2.2563602710118973</v>
      </c>
      <c r="J42" s="416">
        <v>44396</v>
      </c>
      <c r="K42" s="417">
        <f>J42/H42</f>
        <v>6.8971945774466276E-2</v>
      </c>
      <c r="L42" s="418">
        <f>M42/J42</f>
        <v>0.19085052707451122</v>
      </c>
      <c r="M42" s="1361">
        <v>8473</v>
      </c>
      <c r="N42" s="159">
        <v>6514</v>
      </c>
      <c r="O42" s="1362">
        <f>N42/M42</f>
        <v>0.76879499586923172</v>
      </c>
      <c r="P42" s="163">
        <f>E42/M42</f>
        <v>171.41254478525673</v>
      </c>
      <c r="Q42" s="159">
        <f>E42/N42</f>
        <v>222.96261774109306</v>
      </c>
      <c r="R42" s="155">
        <f>N42*T42</f>
        <v>2670740</v>
      </c>
      <c r="S42" s="421">
        <f>R42/E42</f>
        <v>1.838873279089758</v>
      </c>
      <c r="T42" s="2380">
        <v>410</v>
      </c>
      <c r="U42" s="422">
        <v>3502</v>
      </c>
      <c r="V42" s="159">
        <v>2654</v>
      </c>
      <c r="W42" s="417">
        <f>V42/U42</f>
        <v>0.75785265562535697</v>
      </c>
      <c r="X42" s="157">
        <f>E42/U42</f>
        <v>414.72829582109654</v>
      </c>
      <c r="Y42" s="156">
        <f>E42/V42</f>
        <v>547.24133080839488</v>
      </c>
      <c r="Z42" s="155">
        <f>V42*AB42</f>
        <v>1220840</v>
      </c>
      <c r="AA42" s="423">
        <f>Z42/E42</f>
        <v>0.84057978464543159</v>
      </c>
      <c r="AB42" s="656">
        <v>460</v>
      </c>
    </row>
    <row r="43" spans="1:28" s="1359" customFormat="1" ht="16.5">
      <c r="A43" s="398"/>
      <c r="B43" s="2384"/>
      <c r="C43" s="1360" t="s">
        <v>882</v>
      </c>
      <c r="D43" s="2387"/>
      <c r="E43" s="464">
        <f>F43+G43</f>
        <v>551266.51149423304</v>
      </c>
      <c r="F43" s="183">
        <v>319909.51149423298</v>
      </c>
      <c r="G43" s="183">
        <v>231357</v>
      </c>
      <c r="H43" s="414">
        <v>373152</v>
      </c>
      <c r="I43" s="415">
        <f>E43/H43</f>
        <v>1.4773242847264199</v>
      </c>
      <c r="J43" s="416">
        <v>11349</v>
      </c>
      <c r="K43" s="417">
        <f>J43/H43</f>
        <v>3.0413879598662208E-2</v>
      </c>
      <c r="L43" s="418">
        <f>M43/J43</f>
        <v>0.12758833377390078</v>
      </c>
      <c r="M43" s="1361">
        <v>1448</v>
      </c>
      <c r="N43" s="159">
        <v>1163</v>
      </c>
      <c r="O43" s="1362">
        <f>N43/M43</f>
        <v>0.80317679558011046</v>
      </c>
      <c r="P43" s="163">
        <f>E43/M43</f>
        <v>380.70891677778525</v>
      </c>
      <c r="Q43" s="159">
        <f>E43/N43</f>
        <v>474.00387918678678</v>
      </c>
      <c r="R43" s="155">
        <f>N43*T42</f>
        <v>476830</v>
      </c>
      <c r="S43" s="421">
        <f>R43/E43</f>
        <v>0.86497182407748752</v>
      </c>
      <c r="T43" s="2290"/>
      <c r="U43" s="422">
        <v>228</v>
      </c>
      <c r="V43" s="159">
        <v>199</v>
      </c>
      <c r="W43" s="417">
        <f>V43/U43</f>
        <v>0.8728070175438597</v>
      </c>
      <c r="X43" s="157">
        <f>E43/U43</f>
        <v>2417.8355767290923</v>
      </c>
      <c r="Y43" s="156">
        <f>E43/V43</f>
        <v>2770.1834748453921</v>
      </c>
      <c r="Z43" s="155">
        <f>V43*AB43</f>
        <v>60098</v>
      </c>
      <c r="AA43" s="423">
        <f>Z43/E43</f>
        <v>0.10901804979428485</v>
      </c>
      <c r="AB43" s="656">
        <v>302</v>
      </c>
    </row>
    <row r="44" spans="1:28" s="1359" customFormat="1" ht="16.5">
      <c r="A44" s="398"/>
      <c r="B44" s="2384"/>
      <c r="C44" s="1360" t="s">
        <v>883</v>
      </c>
      <c r="D44" s="184" t="s">
        <v>459</v>
      </c>
      <c r="E44" s="464">
        <f>F44+G44</f>
        <v>605219</v>
      </c>
      <c r="F44" s="183">
        <v>337011</v>
      </c>
      <c r="G44" s="183">
        <v>268208</v>
      </c>
      <c r="H44" s="414">
        <v>423994</v>
      </c>
      <c r="I44" s="415">
        <f>E44/H44</f>
        <v>1.4274235012759615</v>
      </c>
      <c r="J44" s="416">
        <v>21562</v>
      </c>
      <c r="K44" s="417">
        <f>J44/H44</f>
        <v>5.0854493223960719E-2</v>
      </c>
      <c r="L44" s="418">
        <f>M44/J44</f>
        <v>0.12174195343660142</v>
      </c>
      <c r="M44" s="1361">
        <v>2625</v>
      </c>
      <c r="N44" s="159">
        <v>1899</v>
      </c>
      <c r="O44" s="1362">
        <f>N44/M44</f>
        <v>0.72342857142857142</v>
      </c>
      <c r="P44" s="163">
        <f>E44/M44</f>
        <v>230.55961904761904</v>
      </c>
      <c r="Q44" s="159">
        <f>E44/N44</f>
        <v>318.70405476566611</v>
      </c>
      <c r="R44" s="155">
        <f>N44*T42</f>
        <v>778590</v>
      </c>
      <c r="S44" s="421">
        <f>R44/E44</f>
        <v>1.2864599425992904</v>
      </c>
      <c r="T44" s="2290"/>
      <c r="U44" s="422">
        <v>1320</v>
      </c>
      <c r="V44" s="159">
        <v>965</v>
      </c>
      <c r="W44" s="417">
        <f>V44/U44</f>
        <v>0.73106060606060608</v>
      </c>
      <c r="X44" s="157">
        <f>E44/U44</f>
        <v>458.49924242424242</v>
      </c>
      <c r="Y44" s="156">
        <f>E44/V44</f>
        <v>627.16994818652847</v>
      </c>
      <c r="Z44" s="155">
        <f>V44*AB44</f>
        <v>248970</v>
      </c>
      <c r="AA44" s="423">
        <f>Z44/E44</f>
        <v>0.41137175138255738</v>
      </c>
      <c r="AB44" s="656">
        <v>258</v>
      </c>
    </row>
    <row r="45" spans="1:28" s="1359" customFormat="1" ht="16.5">
      <c r="A45" s="398"/>
      <c r="B45" s="2384"/>
      <c r="C45" s="1363" t="s">
        <v>37</v>
      </c>
      <c r="D45" s="2388"/>
      <c r="E45" s="469">
        <f>F45+G45</f>
        <v>2608864.003459713</v>
      </c>
      <c r="F45" s="470">
        <f>F42+F43+F44</f>
        <v>1639070.003459713</v>
      </c>
      <c r="G45" s="471">
        <f>G42+G43+G44</f>
        <v>969794</v>
      </c>
      <c r="H45" s="429">
        <f>SUM(H42:H44)</f>
        <v>1440828</v>
      </c>
      <c r="I45" s="430">
        <f>E45/H45</f>
        <v>1.8106699782761808</v>
      </c>
      <c r="J45" s="1364">
        <f>SUM(J42:J44)</f>
        <v>77307</v>
      </c>
      <c r="K45" s="432">
        <f>J45/H45</f>
        <v>5.3654565291623983E-2</v>
      </c>
      <c r="L45" s="1365">
        <f>M45/J45</f>
        <v>0.16228802048973573</v>
      </c>
      <c r="M45" s="431">
        <f>SUM(M42:M44)</f>
        <v>12546</v>
      </c>
      <c r="N45" s="431">
        <f>SUM(N42:N44)</f>
        <v>9576</v>
      </c>
      <c r="O45" s="1366">
        <f>N45/M45</f>
        <v>0.76327116212338597</v>
      </c>
      <c r="P45" s="475">
        <f>E45/M45</f>
        <v>207.94388677345074</v>
      </c>
      <c r="Q45" s="431">
        <f>E45/N45</f>
        <v>272.43776143063002</v>
      </c>
      <c r="R45" s="431">
        <f>N45*T42</f>
        <v>3926160</v>
      </c>
      <c r="S45" s="434">
        <f>R45/E45</f>
        <v>1.5049308797980159</v>
      </c>
      <c r="T45" s="2290"/>
      <c r="U45" s="1367">
        <f>SUM(U42:U44)</f>
        <v>5050</v>
      </c>
      <c r="V45" s="1364">
        <f>SUM(V42:V44)</f>
        <v>3818</v>
      </c>
      <c r="W45" s="432">
        <f>V45/U45</f>
        <v>0.75603960396039604</v>
      </c>
      <c r="X45" s="1368">
        <f>E45/U45</f>
        <v>516.60673335835895</v>
      </c>
      <c r="Y45" s="1368">
        <f>E45/V45</f>
        <v>683.30644407011869</v>
      </c>
      <c r="Z45" s="431">
        <f>V45*AB45</f>
        <v>1565380</v>
      </c>
      <c r="AA45" s="1369">
        <f>Z45/E45</f>
        <v>0.60002361101387058</v>
      </c>
      <c r="AB45" s="2381">
        <v>410</v>
      </c>
    </row>
    <row r="46" spans="1:28" s="1359" customFormat="1" ht="16.5">
      <c r="A46" s="398"/>
      <c r="B46" s="2385"/>
      <c r="C46" s="1370" t="s">
        <v>36</v>
      </c>
      <c r="D46" s="2389"/>
      <c r="E46" s="1371">
        <f>F46+G46</f>
        <v>2608864.003459713</v>
      </c>
      <c r="F46" s="1372">
        <f>F45</f>
        <v>1639070.003459713</v>
      </c>
      <c r="G46" s="1373">
        <f>G45</f>
        <v>969794</v>
      </c>
      <c r="H46" s="1374">
        <v>1352710</v>
      </c>
      <c r="I46" s="1375">
        <f>E46/H46</f>
        <v>1.9286203276827354</v>
      </c>
      <c r="J46" s="1376">
        <v>68555</v>
      </c>
      <c r="K46" s="1377">
        <f>J46/H46</f>
        <v>5.0679746582785665E-2</v>
      </c>
      <c r="L46" s="1378">
        <f>M46/J46</f>
        <v>0.15911312085187077</v>
      </c>
      <c r="M46" s="146">
        <v>10908</v>
      </c>
      <c r="N46" s="146">
        <v>8390</v>
      </c>
      <c r="O46" s="1379">
        <f>N46/M46</f>
        <v>0.76916024935826921</v>
      </c>
      <c r="P46" s="147">
        <f>E46/M46</f>
        <v>239.16978396220324</v>
      </c>
      <c r="Q46" s="146">
        <f>E46/N46</f>
        <v>310.94922568053789</v>
      </c>
      <c r="R46" s="146">
        <f>N46*T42</f>
        <v>3439900</v>
      </c>
      <c r="S46" s="1380">
        <f>R46/E46</f>
        <v>1.3185432415941263</v>
      </c>
      <c r="T46" s="2291"/>
      <c r="U46" s="1381"/>
      <c r="V46" s="1376"/>
      <c r="W46" s="1377"/>
      <c r="X46" s="1382"/>
      <c r="Y46" s="1382"/>
      <c r="Z46" s="146"/>
      <c r="AA46" s="1383"/>
      <c r="AB46" s="2382"/>
    </row>
    <row r="47" spans="1:28" s="1359" customFormat="1" ht="16.5">
      <c r="A47" s="398"/>
      <c r="B47" s="233"/>
      <c r="C47" s="232" t="s">
        <v>461</v>
      </c>
      <c r="D47" s="231" t="s">
        <v>462</v>
      </c>
      <c r="E47" s="230">
        <f>SUM(F47:G47)</f>
        <v>3187283</v>
      </c>
      <c r="F47" s="183">
        <v>2217489</v>
      </c>
      <c r="G47" s="228">
        <v>969794</v>
      </c>
      <c r="H47" s="1358"/>
      <c r="I47" s="1358"/>
      <c r="J47" s="1358"/>
      <c r="K47" s="1358"/>
      <c r="L47" s="1358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</row>
    <row r="48" spans="1:28" s="1359" customFormat="1" ht="16.5">
      <c r="A48" s="398"/>
      <c r="B48" s="227"/>
      <c r="C48" s="226" t="s">
        <v>463</v>
      </c>
      <c r="D48" s="225" t="s">
        <v>69</v>
      </c>
      <c r="E48" s="224">
        <f>E45/E47</f>
        <v>0.8185228620927959</v>
      </c>
      <c r="F48" s="223">
        <f>F46/F47</f>
        <v>0.73915586659492472</v>
      </c>
      <c r="G48" s="1385">
        <f>G46/G47</f>
        <v>1</v>
      </c>
      <c r="H48" s="1358"/>
      <c r="I48" s="1358"/>
      <c r="J48" s="1358"/>
      <c r="K48" s="1358"/>
      <c r="L48" s="1358"/>
      <c r="M48" s="593"/>
      <c r="N48" s="593"/>
      <c r="O48" s="593"/>
      <c r="P48" s="593"/>
      <c r="Q48" s="593"/>
      <c r="R48" s="593"/>
      <c r="S48" s="593"/>
      <c r="T48" s="593"/>
      <c r="U48" s="593"/>
      <c r="V48" s="593"/>
      <c r="W48" s="593"/>
      <c r="X48" s="593"/>
      <c r="Y48" s="593"/>
      <c r="Z48" s="593"/>
      <c r="AA48" s="593"/>
      <c r="AB48" s="593"/>
    </row>
    <row r="49" spans="1:28" s="1359" customFormat="1" ht="16.5">
      <c r="A49" s="398"/>
      <c r="B49" s="1865"/>
      <c r="C49" s="594"/>
      <c r="D49" s="594"/>
      <c r="E49" s="593"/>
      <c r="F49" s="593"/>
      <c r="G49" s="65"/>
      <c r="H49" s="1358"/>
      <c r="I49" s="1358"/>
      <c r="J49" s="1358"/>
      <c r="K49" s="1358"/>
      <c r="L49" s="1358"/>
      <c r="M49" s="593"/>
      <c r="N49" s="59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  <c r="AA49" s="593"/>
      <c r="AB49" s="593"/>
    </row>
    <row r="50" spans="1:28" s="1359" customFormat="1" ht="16.5">
      <c r="A50" s="398"/>
      <c r="B50" s="1865"/>
      <c r="C50" s="594"/>
      <c r="D50" s="594"/>
      <c r="E50" s="593"/>
      <c r="F50" s="593"/>
      <c r="G50" s="65"/>
      <c r="H50" s="1358"/>
      <c r="I50" s="1358"/>
      <c r="J50" s="1358"/>
      <c r="K50" s="1358"/>
      <c r="L50" s="1358"/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  <c r="AB50" s="593"/>
    </row>
    <row r="51" spans="1:28" s="1359" customFormat="1" ht="16.5">
      <c r="A51" s="398"/>
      <c r="B51" s="1865"/>
      <c r="C51" s="594"/>
      <c r="D51" s="594"/>
      <c r="E51" s="593"/>
      <c r="F51" s="593"/>
      <c r="G51" s="65"/>
      <c r="H51" s="1358"/>
      <c r="I51" s="1358"/>
      <c r="J51" s="1358"/>
      <c r="K51" s="1358"/>
      <c r="L51" s="1358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</row>
    <row r="52" spans="1:28" s="1359" customFormat="1" ht="16.5">
      <c r="A52" s="398"/>
      <c r="B52" s="248" t="s">
        <v>519</v>
      </c>
      <c r="C52" s="594"/>
      <c r="D52" s="594"/>
      <c r="E52" s="593"/>
      <c r="F52" s="593"/>
      <c r="G52" s="65"/>
      <c r="H52" s="1358"/>
      <c r="I52" s="1358"/>
      <c r="J52" s="1358"/>
      <c r="K52" s="1358"/>
      <c r="L52" s="1358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</row>
    <row r="53" spans="1:28" s="1359" customFormat="1" ht="16.5">
      <c r="A53" s="398"/>
      <c r="B53" s="2371" t="s">
        <v>456</v>
      </c>
      <c r="C53" s="2372" t="s">
        <v>457</v>
      </c>
      <c r="D53" s="2374" t="s">
        <v>150</v>
      </c>
      <c r="E53" s="2376" t="s">
        <v>151</v>
      </c>
      <c r="F53" s="2376"/>
      <c r="G53" s="2376"/>
      <c r="H53" s="2346" t="s">
        <v>152</v>
      </c>
      <c r="I53" s="2346"/>
      <c r="J53" s="2346"/>
      <c r="K53" s="2346"/>
      <c r="L53" s="2346"/>
      <c r="M53" s="2346"/>
      <c r="N53" s="2346"/>
      <c r="O53" s="2346"/>
      <c r="P53" s="2346"/>
      <c r="Q53" s="2346"/>
      <c r="R53" s="2346"/>
      <c r="S53" s="2346"/>
      <c r="T53" s="2346"/>
      <c r="U53" s="2349" t="s">
        <v>27</v>
      </c>
      <c r="V53" s="2349"/>
      <c r="W53" s="2349"/>
      <c r="X53" s="2349"/>
      <c r="Y53" s="2349"/>
      <c r="Z53" s="2349"/>
      <c r="AA53" s="2349"/>
      <c r="AB53" s="2379"/>
    </row>
    <row r="54" spans="1:28" s="1359" customFormat="1" ht="66">
      <c r="A54" s="398"/>
      <c r="B54" s="2371"/>
      <c r="C54" s="2372"/>
      <c r="D54" s="2374"/>
      <c r="E54" s="179" t="s">
        <v>154</v>
      </c>
      <c r="F54" s="178" t="s">
        <v>458</v>
      </c>
      <c r="G54" s="174" t="s">
        <v>156</v>
      </c>
      <c r="H54" s="406" t="s">
        <v>223</v>
      </c>
      <c r="I54" s="354" t="s">
        <v>44</v>
      </c>
      <c r="J54" s="351" t="s">
        <v>21</v>
      </c>
      <c r="K54" s="354" t="s">
        <v>20</v>
      </c>
      <c r="L54" s="354" t="s">
        <v>19</v>
      </c>
      <c r="M54" s="355" t="s">
        <v>18</v>
      </c>
      <c r="N54" s="354" t="s">
        <v>17</v>
      </c>
      <c r="O54" s="356" t="s">
        <v>16</v>
      </c>
      <c r="P54" s="357" t="s">
        <v>15</v>
      </c>
      <c r="Q54" s="354" t="s">
        <v>14</v>
      </c>
      <c r="R54" s="354" t="s">
        <v>13</v>
      </c>
      <c r="S54" s="354" t="s">
        <v>12</v>
      </c>
      <c r="T54" s="358" t="s">
        <v>11</v>
      </c>
      <c r="U54" s="407" t="s">
        <v>10</v>
      </c>
      <c r="V54" s="408" t="s">
        <v>9</v>
      </c>
      <c r="W54" s="409" t="s">
        <v>8</v>
      </c>
      <c r="X54" s="409" t="s">
        <v>7</v>
      </c>
      <c r="Y54" s="409" t="s">
        <v>6</v>
      </c>
      <c r="Z54" s="409" t="s">
        <v>5</v>
      </c>
      <c r="AA54" s="409" t="s">
        <v>4</v>
      </c>
      <c r="AB54" s="410" t="s">
        <v>3</v>
      </c>
    </row>
    <row r="55" spans="1:28" s="1359" customFormat="1" ht="16.5">
      <c r="A55" s="398"/>
      <c r="B55" s="2383" t="s">
        <v>465</v>
      </c>
      <c r="C55" s="1360" t="s">
        <v>881</v>
      </c>
      <c r="D55" s="2386" t="s">
        <v>460</v>
      </c>
      <c r="E55" s="464">
        <f>F55+G55</f>
        <v>1175493.525329673</v>
      </c>
      <c r="F55" s="183">
        <v>705264.52532967296</v>
      </c>
      <c r="G55" s="183">
        <v>470229</v>
      </c>
      <c r="H55" s="414">
        <v>540061</v>
      </c>
      <c r="I55" s="415">
        <f>E55/H55</f>
        <v>2.1765939872156532</v>
      </c>
      <c r="J55" s="416">
        <v>35736</v>
      </c>
      <c r="K55" s="417">
        <f>J55/H55</f>
        <v>6.6170302984292509E-2</v>
      </c>
      <c r="L55" s="418">
        <f>M55/J55</f>
        <v>0.18885717483769868</v>
      </c>
      <c r="M55" s="1361">
        <v>6749</v>
      </c>
      <c r="N55" s="159">
        <v>5181</v>
      </c>
      <c r="O55" s="1362">
        <f>N55/M55</f>
        <v>0.76766928433842052</v>
      </c>
      <c r="P55" s="163">
        <f>E55/M55</f>
        <v>174.17299234400252</v>
      </c>
      <c r="Q55" s="159">
        <f>E55/N55</f>
        <v>226.88545171389171</v>
      </c>
      <c r="R55" s="155">
        <f>N55*T55</f>
        <v>2124210</v>
      </c>
      <c r="S55" s="421">
        <f>R55/E55</f>
        <v>1.8070792856168687</v>
      </c>
      <c r="T55" s="2380">
        <v>410</v>
      </c>
      <c r="U55" s="422">
        <v>2892</v>
      </c>
      <c r="V55" s="159">
        <v>2174</v>
      </c>
      <c r="W55" s="417">
        <f>V55/U55</f>
        <v>0.75172890733056708</v>
      </c>
      <c r="X55" s="157">
        <f>E55/U55</f>
        <v>406.46387459532258</v>
      </c>
      <c r="Y55" s="156">
        <f>E55/V55</f>
        <v>540.70539343591213</v>
      </c>
      <c r="Z55" s="155">
        <f>V55*AB55</f>
        <v>1000040</v>
      </c>
      <c r="AA55" s="423">
        <f>Z55/E55</f>
        <v>0.85074054297281976</v>
      </c>
      <c r="AB55" s="656">
        <v>460</v>
      </c>
    </row>
    <row r="56" spans="1:28" s="1359" customFormat="1" ht="16.5">
      <c r="A56" s="398"/>
      <c r="B56" s="2384"/>
      <c r="C56" s="1360" t="s">
        <v>882</v>
      </c>
      <c r="D56" s="2387"/>
      <c r="E56" s="464">
        <f>F56+G56</f>
        <v>502566.062607489</v>
      </c>
      <c r="F56" s="183">
        <v>271209.062607489</v>
      </c>
      <c r="G56" s="183">
        <v>231357</v>
      </c>
      <c r="H56" s="414">
        <v>349988</v>
      </c>
      <c r="I56" s="415">
        <f>E56/H56</f>
        <v>1.4359522686706088</v>
      </c>
      <c r="J56" s="416">
        <v>9637</v>
      </c>
      <c r="K56" s="417">
        <f>J56/H56</f>
        <v>2.7535229779306718E-2</v>
      </c>
      <c r="L56" s="418">
        <f>M56/J56</f>
        <v>0.11798277472242399</v>
      </c>
      <c r="M56" s="1361">
        <v>1137</v>
      </c>
      <c r="N56" s="159">
        <v>910</v>
      </c>
      <c r="O56" s="1362">
        <f>N56/M56</f>
        <v>0.80035180299032538</v>
      </c>
      <c r="P56" s="163">
        <f>E56/M56</f>
        <v>442.01060915346437</v>
      </c>
      <c r="Q56" s="159">
        <f>E56/N56</f>
        <v>552.27039846976811</v>
      </c>
      <c r="R56" s="155">
        <f>N56*T55</f>
        <v>373100</v>
      </c>
      <c r="S56" s="421">
        <f>R56/E56</f>
        <v>0.74238996175791561</v>
      </c>
      <c r="T56" s="2290"/>
      <c r="U56" s="422">
        <v>170</v>
      </c>
      <c r="V56" s="159">
        <v>156</v>
      </c>
      <c r="W56" s="417">
        <f>V56/U56</f>
        <v>0.91764705882352937</v>
      </c>
      <c r="X56" s="157">
        <f>E56/U56</f>
        <v>2956.2709565146411</v>
      </c>
      <c r="Y56" s="156">
        <f>E56/V56</f>
        <v>3221.577324406981</v>
      </c>
      <c r="Z56" s="155">
        <f>V56*AB56</f>
        <v>47112</v>
      </c>
      <c r="AA56" s="423">
        <f>Z56/E56</f>
        <v>9.3742899700720778E-2</v>
      </c>
      <c r="AB56" s="656">
        <v>302</v>
      </c>
    </row>
    <row r="57" spans="1:28" s="1359" customFormat="1" ht="16.5">
      <c r="A57" s="398"/>
      <c r="B57" s="2384"/>
      <c r="C57" s="1360" t="s">
        <v>883</v>
      </c>
      <c r="D57" s="184" t="s">
        <v>459</v>
      </c>
      <c r="E57" s="464">
        <f>F57+G57</f>
        <v>498987.99</v>
      </c>
      <c r="F57" s="183">
        <v>264568.99</v>
      </c>
      <c r="G57" s="183">
        <v>234419</v>
      </c>
      <c r="H57" s="414">
        <v>306288</v>
      </c>
      <c r="I57" s="415">
        <f>E57/H57</f>
        <v>1.6291463916314057</v>
      </c>
      <c r="J57" s="416">
        <v>11110</v>
      </c>
      <c r="K57" s="417">
        <f>J57/H57</f>
        <v>3.6273050201117901E-2</v>
      </c>
      <c r="L57" s="418">
        <f>M57/J57</f>
        <v>0.1738973897389739</v>
      </c>
      <c r="M57" s="1361">
        <v>1932</v>
      </c>
      <c r="N57" s="159">
        <v>1391</v>
      </c>
      <c r="O57" s="1362">
        <f>N57/M57</f>
        <v>0.71997929606625255</v>
      </c>
      <c r="P57" s="163">
        <f>E57/M57</f>
        <v>258.27535714285716</v>
      </c>
      <c r="Q57" s="159">
        <f>E57/N57</f>
        <v>358.72608914450035</v>
      </c>
      <c r="R57" s="155">
        <f>N57*T55</f>
        <v>570310</v>
      </c>
      <c r="S57" s="421">
        <f>R57/E57</f>
        <v>1.1429333198981402</v>
      </c>
      <c r="T57" s="2290"/>
      <c r="U57" s="422">
        <v>1009</v>
      </c>
      <c r="V57" s="159">
        <v>742</v>
      </c>
      <c r="W57" s="417">
        <f>V57/U57</f>
        <v>0.73538156590683845</v>
      </c>
      <c r="X57" s="157">
        <f>E57/U57</f>
        <v>494.53715559960358</v>
      </c>
      <c r="Y57" s="156">
        <f>E57/V57</f>
        <v>672.49055256064685</v>
      </c>
      <c r="Z57" s="155">
        <f>V57*AB57</f>
        <v>191436</v>
      </c>
      <c r="AA57" s="423">
        <f>Z57/E57</f>
        <v>0.38364851226178809</v>
      </c>
      <c r="AB57" s="656">
        <v>258</v>
      </c>
    </row>
    <row r="58" spans="1:28" s="1359" customFormat="1" ht="16.5">
      <c r="A58" s="398"/>
      <c r="B58" s="2384"/>
      <c r="C58" s="1363" t="s">
        <v>37</v>
      </c>
      <c r="D58" s="2388"/>
      <c r="E58" s="469">
        <f>F58+G58</f>
        <v>2177047.577937162</v>
      </c>
      <c r="F58" s="470">
        <f>F55+F56+F57</f>
        <v>1241042.577937162</v>
      </c>
      <c r="G58" s="471">
        <f>G55+G56+G57</f>
        <v>936005</v>
      </c>
      <c r="H58" s="429">
        <f>SUM(H55:H57)</f>
        <v>1196337</v>
      </c>
      <c r="I58" s="430">
        <f>E58/H58</f>
        <v>1.8197611358147094</v>
      </c>
      <c r="J58" s="1364">
        <f>SUM(J55:J57)</f>
        <v>56483</v>
      </c>
      <c r="K58" s="432">
        <f>J58/H58</f>
        <v>4.7213285219800109E-2</v>
      </c>
      <c r="L58" s="1365">
        <f>M58/J58</f>
        <v>0.17382221199298903</v>
      </c>
      <c r="M58" s="431">
        <f>SUM(M55:M57)</f>
        <v>9818</v>
      </c>
      <c r="N58" s="431">
        <f>SUM(N55:N57)</f>
        <v>7482</v>
      </c>
      <c r="O58" s="1366">
        <f>N58/M58</f>
        <v>0.76206966795681397</v>
      </c>
      <c r="P58" s="475">
        <f>E58/M58</f>
        <v>221.74043368681626</v>
      </c>
      <c r="Q58" s="431">
        <f>E58/N58</f>
        <v>290.97134161148915</v>
      </c>
      <c r="R58" s="431">
        <f>N58*T55</f>
        <v>3067620</v>
      </c>
      <c r="S58" s="434">
        <f>R58/E58</f>
        <v>1.4090734768905191</v>
      </c>
      <c r="T58" s="2290"/>
      <c r="U58" s="1367">
        <f>SUM(U55:U57)</f>
        <v>4071</v>
      </c>
      <c r="V58" s="1364">
        <f>SUM(V55:V57)</f>
        <v>3072</v>
      </c>
      <c r="W58" s="432">
        <f>V58/U58</f>
        <v>0.75460574797347091</v>
      </c>
      <c r="X58" s="1368">
        <f>E58/U58</f>
        <v>534.76973174580246</v>
      </c>
      <c r="Y58" s="1368">
        <f>E58/V58</f>
        <v>708.67434177641996</v>
      </c>
      <c r="Z58" s="431">
        <f>V58*AB58</f>
        <v>1259520</v>
      </c>
      <c r="AA58" s="1369">
        <f>Z58/E58</f>
        <v>0.57854500414430288</v>
      </c>
      <c r="AB58" s="2381">
        <v>410</v>
      </c>
    </row>
    <row r="59" spans="1:28" s="1359" customFormat="1" ht="16.5">
      <c r="A59" s="398"/>
      <c r="B59" s="2385"/>
      <c r="C59" s="1370" t="s">
        <v>36</v>
      </c>
      <c r="D59" s="2389"/>
      <c r="E59" s="1371">
        <f>F59+G59</f>
        <v>2177047.577937162</v>
      </c>
      <c r="F59" s="1372">
        <f>F58</f>
        <v>1241042.577937162</v>
      </c>
      <c r="G59" s="1373">
        <f>G58</f>
        <v>936005</v>
      </c>
      <c r="H59" s="1374">
        <v>1124269</v>
      </c>
      <c r="I59" s="1375">
        <f>E59/H59</f>
        <v>1.936411639863024</v>
      </c>
      <c r="J59" s="1376">
        <v>49854</v>
      </c>
      <c r="K59" s="1377">
        <f>J59/H59</f>
        <v>4.4343480074608477E-2</v>
      </c>
      <c r="L59" s="1378">
        <f>M59/J59</f>
        <v>0.17406827937577726</v>
      </c>
      <c r="M59" s="146">
        <v>8678</v>
      </c>
      <c r="N59" s="146">
        <v>6631</v>
      </c>
      <c r="O59" s="1379">
        <f>N59/M59</f>
        <v>0.76411615579626646</v>
      </c>
      <c r="P59" s="147">
        <f>E59/M59</f>
        <v>250.86973702894238</v>
      </c>
      <c r="Q59" s="146">
        <f>E59/N59</f>
        <v>328.31361452830072</v>
      </c>
      <c r="R59" s="146">
        <f>N59*T55</f>
        <v>2718710</v>
      </c>
      <c r="S59" s="1380">
        <f>R59/E59</f>
        <v>1.2488059643492424</v>
      </c>
      <c r="T59" s="2291"/>
      <c r="U59" s="1381"/>
      <c r="V59" s="1376"/>
      <c r="W59" s="1377"/>
      <c r="X59" s="1382"/>
      <c r="Y59" s="1382"/>
      <c r="Z59" s="146"/>
      <c r="AA59" s="1383"/>
      <c r="AB59" s="2382"/>
    </row>
    <row r="60" spans="1:28" s="1359" customFormat="1" ht="16.5">
      <c r="A60" s="398"/>
      <c r="B60" s="233"/>
      <c r="C60" s="232" t="s">
        <v>461</v>
      </c>
      <c r="D60" s="231" t="s">
        <v>462</v>
      </c>
      <c r="E60" s="230">
        <f>SUM(F60:G60)</f>
        <v>3187283</v>
      </c>
      <c r="F60" s="183">
        <v>2217489</v>
      </c>
      <c r="G60" s="228">
        <v>969794</v>
      </c>
      <c r="H60" s="1358"/>
      <c r="I60" s="1358"/>
      <c r="J60" s="1358"/>
      <c r="K60" s="1358"/>
      <c r="L60" s="1358"/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</row>
    <row r="61" spans="1:28" s="1359" customFormat="1" ht="16.5">
      <c r="A61" s="398"/>
      <c r="B61" s="227"/>
      <c r="C61" s="226" t="s">
        <v>463</v>
      </c>
      <c r="D61" s="225" t="s">
        <v>69</v>
      </c>
      <c r="E61" s="224">
        <f>E58/E60</f>
        <v>0.68304181898411975</v>
      </c>
      <c r="F61" s="223">
        <f>F59/F60</f>
        <v>0.55966121046695705</v>
      </c>
      <c r="G61" s="1385">
        <f>G59/G60</f>
        <v>0.96515858006958177</v>
      </c>
      <c r="H61" s="1358"/>
      <c r="I61" s="1358"/>
      <c r="J61" s="1358"/>
      <c r="K61" s="1358"/>
      <c r="L61" s="1358"/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  <c r="AA61" s="593"/>
      <c r="AB61" s="593"/>
    </row>
    <row r="62" spans="1:28" s="1359" customFormat="1" ht="16.5">
      <c r="A62" s="398"/>
      <c r="B62" s="1865"/>
      <c r="C62" s="594"/>
      <c r="D62" s="594"/>
      <c r="E62" s="593"/>
      <c r="F62" s="593"/>
      <c r="G62" s="65"/>
      <c r="H62" s="1358"/>
      <c r="I62" s="1358"/>
      <c r="J62" s="1358"/>
      <c r="K62" s="1358"/>
      <c r="L62" s="1358"/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  <c r="AA62" s="593"/>
      <c r="AB62" s="593"/>
    </row>
    <row r="63" spans="1:28" s="1359" customFormat="1" ht="16.5">
      <c r="A63" s="398"/>
      <c r="B63" s="1865"/>
      <c r="C63" s="594"/>
      <c r="D63" s="594"/>
      <c r="E63" s="593"/>
      <c r="F63" s="593"/>
      <c r="G63" s="65"/>
      <c r="H63" s="1358"/>
      <c r="I63" s="1358"/>
      <c r="J63" s="1358"/>
      <c r="K63" s="1358"/>
      <c r="L63" s="1358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</row>
    <row r="64" spans="1:28" s="1359" customFormat="1" ht="16.5">
      <c r="A64" s="398"/>
      <c r="B64" s="1865"/>
      <c r="C64" s="594"/>
      <c r="D64" s="594"/>
      <c r="E64" s="593"/>
      <c r="F64" s="593"/>
      <c r="G64" s="65"/>
      <c r="H64" s="1358"/>
      <c r="I64" s="1358"/>
      <c r="J64" s="1358"/>
      <c r="K64" s="1358"/>
      <c r="L64" s="1358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</row>
    <row r="65" spans="1:28" s="1359" customFormat="1" ht="16.5">
      <c r="A65" s="398"/>
      <c r="B65" s="248" t="s">
        <v>520</v>
      </c>
      <c r="C65" s="594"/>
      <c r="D65" s="594"/>
      <c r="E65" s="593"/>
      <c r="F65" s="593"/>
      <c r="G65" s="65"/>
      <c r="H65" s="1358"/>
      <c r="I65" s="1358"/>
      <c r="J65" s="1358"/>
      <c r="K65" s="1358"/>
      <c r="L65" s="1358"/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  <c r="AA65" s="593"/>
      <c r="AB65" s="593"/>
    </row>
    <row r="66" spans="1:28" s="1359" customFormat="1" ht="16.5">
      <c r="A66" s="398"/>
      <c r="B66" s="2371" t="s">
        <v>456</v>
      </c>
      <c r="C66" s="2372" t="s">
        <v>457</v>
      </c>
      <c r="D66" s="2374" t="s">
        <v>150</v>
      </c>
      <c r="E66" s="2376" t="s">
        <v>151</v>
      </c>
      <c r="F66" s="2376"/>
      <c r="G66" s="2376"/>
      <c r="H66" s="2346" t="s">
        <v>152</v>
      </c>
      <c r="I66" s="2346"/>
      <c r="J66" s="2346"/>
      <c r="K66" s="2346"/>
      <c r="L66" s="2346"/>
      <c r="M66" s="2346"/>
      <c r="N66" s="2346"/>
      <c r="O66" s="2346"/>
      <c r="P66" s="2346"/>
      <c r="Q66" s="2346"/>
      <c r="R66" s="2346"/>
      <c r="S66" s="2346"/>
      <c r="T66" s="2346"/>
      <c r="U66" s="2349" t="s">
        <v>27</v>
      </c>
      <c r="V66" s="2349"/>
      <c r="W66" s="2349"/>
      <c r="X66" s="2349"/>
      <c r="Y66" s="2349"/>
      <c r="Z66" s="2349"/>
      <c r="AA66" s="2349"/>
      <c r="AB66" s="2379"/>
    </row>
    <row r="67" spans="1:28" s="1359" customFormat="1" ht="66">
      <c r="A67" s="398"/>
      <c r="B67" s="2371"/>
      <c r="C67" s="2372"/>
      <c r="D67" s="2374"/>
      <c r="E67" s="179" t="s">
        <v>154</v>
      </c>
      <c r="F67" s="178" t="s">
        <v>458</v>
      </c>
      <c r="G67" s="174" t="s">
        <v>156</v>
      </c>
      <c r="H67" s="406" t="s">
        <v>223</v>
      </c>
      <c r="I67" s="354" t="s">
        <v>44</v>
      </c>
      <c r="J67" s="351" t="s">
        <v>21</v>
      </c>
      <c r="K67" s="354" t="s">
        <v>20</v>
      </c>
      <c r="L67" s="354" t="s">
        <v>19</v>
      </c>
      <c r="M67" s="355" t="s">
        <v>18</v>
      </c>
      <c r="N67" s="354" t="s">
        <v>17</v>
      </c>
      <c r="O67" s="356" t="s">
        <v>16</v>
      </c>
      <c r="P67" s="357" t="s">
        <v>15</v>
      </c>
      <c r="Q67" s="354" t="s">
        <v>14</v>
      </c>
      <c r="R67" s="354" t="s">
        <v>13</v>
      </c>
      <c r="S67" s="354" t="s">
        <v>12</v>
      </c>
      <c r="T67" s="358" t="s">
        <v>11</v>
      </c>
      <c r="U67" s="407" t="s">
        <v>10</v>
      </c>
      <c r="V67" s="408" t="s">
        <v>9</v>
      </c>
      <c r="W67" s="409" t="s">
        <v>8</v>
      </c>
      <c r="X67" s="409" t="s">
        <v>7</v>
      </c>
      <c r="Y67" s="409" t="s">
        <v>6</v>
      </c>
      <c r="Z67" s="409" t="s">
        <v>5</v>
      </c>
      <c r="AA67" s="409" t="s">
        <v>4</v>
      </c>
      <c r="AB67" s="410" t="s">
        <v>3</v>
      </c>
    </row>
    <row r="68" spans="1:28" s="1359" customFormat="1" ht="16.5">
      <c r="A68" s="398"/>
      <c r="B68" s="2383" t="s">
        <v>466</v>
      </c>
      <c r="C68" s="1360" t="s">
        <v>881</v>
      </c>
      <c r="D68" s="2386" t="s">
        <v>460</v>
      </c>
      <c r="E68" s="464">
        <f>F68+G68</f>
        <v>771304.90843978198</v>
      </c>
      <c r="F68" s="183">
        <v>337736.90843978198</v>
      </c>
      <c r="G68" s="183">
        <v>433568</v>
      </c>
      <c r="H68" s="414">
        <v>345652</v>
      </c>
      <c r="I68" s="415">
        <f>E68/H68</f>
        <v>2.2314492855235382</v>
      </c>
      <c r="J68" s="416">
        <v>19073</v>
      </c>
      <c r="K68" s="417">
        <f>J68/H68</f>
        <v>5.5179776191082358E-2</v>
      </c>
      <c r="L68" s="418">
        <f>M68/J68</f>
        <v>9.3220783306244434E-2</v>
      </c>
      <c r="M68" s="155">
        <v>1778</v>
      </c>
      <c r="N68" s="159">
        <v>1465</v>
      </c>
      <c r="O68" s="1362">
        <f>N68/M68</f>
        <v>0.82395950506186721</v>
      </c>
      <c r="P68" s="163">
        <f>E68/M68</f>
        <v>433.80478539920244</v>
      </c>
      <c r="Q68" s="159">
        <f>E68/N68</f>
        <v>526.48799210906623</v>
      </c>
      <c r="R68" s="155">
        <f>N68*T68</f>
        <v>600650</v>
      </c>
      <c r="S68" s="421">
        <f>R68/E68</f>
        <v>0.77874520624406796</v>
      </c>
      <c r="T68" s="2380">
        <v>410</v>
      </c>
      <c r="U68" s="422">
        <v>674</v>
      </c>
      <c r="V68" s="416">
        <v>567</v>
      </c>
      <c r="W68" s="417">
        <f>V68/U68</f>
        <v>0.84124629080118696</v>
      </c>
      <c r="X68" s="157">
        <f>E68/U68</f>
        <v>1144.3693003557596</v>
      </c>
      <c r="Y68" s="156">
        <f>E68/V68</f>
        <v>1360.326117177746</v>
      </c>
      <c r="Z68" s="155">
        <f>V68*AB68</f>
        <v>260820</v>
      </c>
      <c r="AA68" s="1388">
        <f>Z68/E68</f>
        <v>0.33815420742958097</v>
      </c>
      <c r="AB68" s="656">
        <v>460</v>
      </c>
    </row>
    <row r="69" spans="1:28" s="1359" customFormat="1" ht="16.5">
      <c r="A69" s="398"/>
      <c r="B69" s="2384"/>
      <c r="C69" s="1360" t="s">
        <v>882</v>
      </c>
      <c r="D69" s="2387"/>
      <c r="E69" s="464">
        <f>F69+G69</f>
        <v>382157</v>
      </c>
      <c r="F69" s="183">
        <v>150800</v>
      </c>
      <c r="G69" s="183">
        <v>231357</v>
      </c>
      <c r="H69" s="414">
        <v>290549</v>
      </c>
      <c r="I69" s="415">
        <f>E69/H69</f>
        <v>1.3152927733359949</v>
      </c>
      <c r="J69" s="416">
        <v>6178</v>
      </c>
      <c r="K69" s="417">
        <f>J69/H69</f>
        <v>2.1263194848373253E-2</v>
      </c>
      <c r="L69" s="418">
        <f>M69/J69</f>
        <v>8.9187439300744575E-2</v>
      </c>
      <c r="M69" s="155">
        <v>551</v>
      </c>
      <c r="N69" s="159">
        <v>458</v>
      </c>
      <c r="O69" s="1362">
        <f>N69/M69</f>
        <v>0.83121597096188748</v>
      </c>
      <c r="P69" s="163">
        <f>E69/M69</f>
        <v>693.56987295825775</v>
      </c>
      <c r="Q69" s="159">
        <f>E69/N69</f>
        <v>834.40393013100436</v>
      </c>
      <c r="R69" s="155">
        <f>N69*T68</f>
        <v>187780</v>
      </c>
      <c r="S69" s="421">
        <f>R69/E69</f>
        <v>0.49136873065258518</v>
      </c>
      <c r="T69" s="2290"/>
      <c r="U69" s="422">
        <v>79</v>
      </c>
      <c r="V69" s="416">
        <v>71</v>
      </c>
      <c r="W69" s="417">
        <f>V69/U69</f>
        <v>0.89873417721518989</v>
      </c>
      <c r="X69" s="157">
        <f>E69/U69</f>
        <v>4837.4303797468356</v>
      </c>
      <c r="Y69" s="156">
        <f>E69/V69</f>
        <v>5382.4929577464791</v>
      </c>
      <c r="Z69" s="155">
        <f>V69*AB69</f>
        <v>21442</v>
      </c>
      <c r="AA69" s="1388">
        <f>Z69/E69</f>
        <v>5.6107830027972795E-2</v>
      </c>
      <c r="AB69" s="656">
        <v>302</v>
      </c>
    </row>
    <row r="70" spans="1:28" s="1359" customFormat="1" ht="16.5">
      <c r="A70" s="398"/>
      <c r="B70" s="2384"/>
      <c r="C70" s="1360" t="s">
        <v>883</v>
      </c>
      <c r="D70" s="184" t="s">
        <v>459</v>
      </c>
      <c r="E70" s="464">
        <f>F70+G70</f>
        <v>347619</v>
      </c>
      <c r="F70" s="183">
        <v>142205</v>
      </c>
      <c r="G70" s="183">
        <v>205414</v>
      </c>
      <c r="H70" s="414">
        <v>237212</v>
      </c>
      <c r="I70" s="415">
        <f>E70/H70</f>
        <v>1.4654359813162909</v>
      </c>
      <c r="J70" s="416">
        <v>5678</v>
      </c>
      <c r="K70" s="417">
        <f>J70/H70</f>
        <v>2.3936394448847445E-2</v>
      </c>
      <c r="L70" s="418">
        <f>M70/J70</f>
        <v>7.6963719619584356E-2</v>
      </c>
      <c r="M70" s="155">
        <v>437</v>
      </c>
      <c r="N70" s="159">
        <v>345</v>
      </c>
      <c r="O70" s="1362">
        <f>N70/M70</f>
        <v>0.78947368421052633</v>
      </c>
      <c r="P70" s="163">
        <f>E70/M70</f>
        <v>795.46681922196797</v>
      </c>
      <c r="Q70" s="159">
        <f>E70/N70</f>
        <v>1007.5913043478261</v>
      </c>
      <c r="R70" s="155">
        <f>N70*T68</f>
        <v>141450</v>
      </c>
      <c r="S70" s="421">
        <f>R70/E70</f>
        <v>0.40691101464534446</v>
      </c>
      <c r="T70" s="2290"/>
      <c r="U70" s="422">
        <v>196</v>
      </c>
      <c r="V70" s="416">
        <v>147</v>
      </c>
      <c r="W70" s="417">
        <f>V70/U70</f>
        <v>0.75</v>
      </c>
      <c r="X70" s="157">
        <f>E70/U70</f>
        <v>1773.5663265306123</v>
      </c>
      <c r="Y70" s="156">
        <f>E70/V70</f>
        <v>2364.7551020408164</v>
      </c>
      <c r="Z70" s="155">
        <f>V70*AB70</f>
        <v>37926</v>
      </c>
      <c r="AA70" s="1388">
        <f>Z70/E70</f>
        <v>0.10910220672632968</v>
      </c>
      <c r="AB70" s="656">
        <v>258</v>
      </c>
    </row>
    <row r="71" spans="1:28" s="1359" customFormat="1" ht="16.5">
      <c r="A71" s="398"/>
      <c r="B71" s="2384"/>
      <c r="C71" s="1363" t="s">
        <v>37</v>
      </c>
      <c r="D71" s="425"/>
      <c r="E71" s="469">
        <f>F71+G71</f>
        <v>1501080.908439782</v>
      </c>
      <c r="F71" s="470">
        <f>F68+F69+F70</f>
        <v>630741.90843978198</v>
      </c>
      <c r="G71" s="471">
        <f>G68+G69+G70</f>
        <v>870339</v>
      </c>
      <c r="H71" s="429">
        <f>SUM(H68:H70)</f>
        <v>873413</v>
      </c>
      <c r="I71" s="430">
        <f>E71/H71</f>
        <v>1.7186381567938445</v>
      </c>
      <c r="J71" s="1364">
        <f>SUM(J68:J70)</f>
        <v>30929</v>
      </c>
      <c r="K71" s="432">
        <f>J71/H71</f>
        <v>3.5411655196338959E-2</v>
      </c>
      <c r="L71" s="1365">
        <f>M71/J71</f>
        <v>8.9430631446215519E-2</v>
      </c>
      <c r="M71" s="431">
        <f>SUM(M68:M70)</f>
        <v>2766</v>
      </c>
      <c r="N71" s="431">
        <f>SUM(N68:N70)</f>
        <v>2268</v>
      </c>
      <c r="O71" s="1366">
        <f>N71/M71</f>
        <v>0.81995661605206072</v>
      </c>
      <c r="P71" s="475">
        <f>E71/M71</f>
        <v>542.69013320310262</v>
      </c>
      <c r="Q71" s="431">
        <f>E71/N71</f>
        <v>661.85225239849296</v>
      </c>
      <c r="R71" s="431">
        <f>N71*T68</f>
        <v>929880</v>
      </c>
      <c r="S71" s="434">
        <f>R71/E71</f>
        <v>0.61947360383559458</v>
      </c>
      <c r="T71" s="2290"/>
      <c r="U71" s="1367">
        <f>SUM(U68:U70)</f>
        <v>949</v>
      </c>
      <c r="V71" s="1364">
        <f>SUM(V68:V70)</f>
        <v>785</v>
      </c>
      <c r="W71" s="432">
        <f>V71/U71</f>
        <v>0.82718651211801897</v>
      </c>
      <c r="X71" s="1368">
        <f>E71/U71</f>
        <v>1581.7501669544595</v>
      </c>
      <c r="Y71" s="1368">
        <f>E71/V71</f>
        <v>1912.204978904181</v>
      </c>
      <c r="Z71" s="431">
        <f>V71*AB71</f>
        <v>321850</v>
      </c>
      <c r="AA71" s="1369">
        <f>Z71/E71</f>
        <v>0.21441216005773447</v>
      </c>
      <c r="AB71" s="2381">
        <v>410</v>
      </c>
    </row>
    <row r="72" spans="1:28" s="1359" customFormat="1" ht="16.5">
      <c r="A72" s="398"/>
      <c r="B72" s="2385"/>
      <c r="C72" s="1370" t="s">
        <v>36</v>
      </c>
      <c r="D72" s="1389"/>
      <c r="E72" s="1371">
        <f>F72+G72</f>
        <v>1501080.908439782</v>
      </c>
      <c r="F72" s="1372">
        <f>F71</f>
        <v>630741.90843978198</v>
      </c>
      <c r="G72" s="1373">
        <f>G71</f>
        <v>870339</v>
      </c>
      <c r="H72" s="1374">
        <v>824379</v>
      </c>
      <c r="I72" s="1375">
        <f>E72/H72</f>
        <v>1.8208626231864009</v>
      </c>
      <c r="J72" s="1376">
        <v>27781</v>
      </c>
      <c r="K72" s="1377">
        <f>J72/H72</f>
        <v>3.3699305780472331E-2</v>
      </c>
      <c r="L72" s="1378">
        <f>M72/J72</f>
        <v>8.8693711529462579E-2</v>
      </c>
      <c r="M72" s="146">
        <v>2464</v>
      </c>
      <c r="N72" s="146">
        <v>1989</v>
      </c>
      <c r="O72" s="1379">
        <f>N72/M72</f>
        <v>0.80722402597402598</v>
      </c>
      <c r="P72" s="147">
        <f>E72/M72</f>
        <v>609.20491413952186</v>
      </c>
      <c r="Q72" s="146">
        <f>E72/N72</f>
        <v>754.6912561285983</v>
      </c>
      <c r="R72" s="146">
        <f>N72*T68</f>
        <v>815490</v>
      </c>
      <c r="S72" s="1380">
        <f>R72/E72</f>
        <v>0.54326851764946993</v>
      </c>
      <c r="T72" s="2291"/>
      <c r="U72" s="1381"/>
      <c r="V72" s="1376"/>
      <c r="W72" s="1377"/>
      <c r="X72" s="1382"/>
      <c r="Y72" s="1382"/>
      <c r="Z72" s="146"/>
      <c r="AA72" s="1383"/>
      <c r="AB72" s="2382"/>
    </row>
    <row r="73" spans="1:28" s="1359" customFormat="1" ht="16.5">
      <c r="A73" s="398"/>
      <c r="B73" s="233"/>
      <c r="C73" s="232" t="s">
        <v>461</v>
      </c>
      <c r="D73" s="231" t="s">
        <v>462</v>
      </c>
      <c r="E73" s="230">
        <f>SUM(F73:G73)</f>
        <v>3187283</v>
      </c>
      <c r="F73" s="183">
        <v>2217489</v>
      </c>
      <c r="G73" s="228">
        <v>969794</v>
      </c>
      <c r="H73" s="1358"/>
      <c r="I73" s="1358"/>
      <c r="J73" s="1358"/>
      <c r="K73" s="1358"/>
      <c r="L73" s="1358"/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</row>
    <row r="74" spans="1:28" s="1359" customFormat="1" ht="16.5">
      <c r="A74" s="398"/>
      <c r="B74" s="227"/>
      <c r="C74" s="226" t="s">
        <v>463</v>
      </c>
      <c r="D74" s="225" t="s">
        <v>69</v>
      </c>
      <c r="E74" s="224">
        <f>E71/E73</f>
        <v>0.4709594060018461</v>
      </c>
      <c r="F74" s="223">
        <f>F72/F73</f>
        <v>0.28443970113934364</v>
      </c>
      <c r="G74" s="1385">
        <f>G72/G73</f>
        <v>0.89744729293025116</v>
      </c>
      <c r="H74" s="1358"/>
      <c r="I74" s="1358"/>
      <c r="J74" s="1358"/>
      <c r="K74" s="1358"/>
      <c r="L74" s="1358"/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</row>
    <row r="75" spans="1:28" s="1359" customFormat="1" ht="16.5">
      <c r="A75" s="398"/>
      <c r="B75" s="1865"/>
      <c r="C75" s="594"/>
      <c r="D75" s="594"/>
      <c r="E75" s="593"/>
      <c r="F75" s="593"/>
      <c r="G75" s="65"/>
      <c r="H75" s="1358"/>
      <c r="I75" s="1358"/>
      <c r="J75" s="1358"/>
      <c r="K75" s="1358"/>
      <c r="L75" s="1358"/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/>
      <c r="AB75" s="593"/>
    </row>
    <row r="76" spans="1:28" s="1359" customFormat="1" ht="16.5">
      <c r="A76" s="398"/>
      <c r="B76" s="1865"/>
      <c r="C76" s="594"/>
      <c r="D76" s="594"/>
      <c r="E76" s="593"/>
      <c r="F76" s="593"/>
      <c r="G76" s="65"/>
      <c r="H76" s="1358"/>
      <c r="I76" s="1358"/>
      <c r="J76" s="1358"/>
      <c r="K76" s="1358"/>
      <c r="L76" s="1358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/>
      <c r="AB76" s="593"/>
    </row>
    <row r="77" spans="1:28" s="1359" customFormat="1" ht="16.5">
      <c r="A77" s="398"/>
      <c r="B77" s="1865"/>
      <c r="C77" s="594"/>
      <c r="D77" s="594"/>
      <c r="E77" s="593"/>
      <c r="F77" s="593"/>
      <c r="G77" s="65"/>
      <c r="H77" s="1358"/>
      <c r="I77" s="1358"/>
      <c r="J77" s="1358"/>
      <c r="K77" s="1358"/>
      <c r="L77" s="1358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</row>
    <row r="78" spans="1:28" s="1359" customFormat="1" ht="16.5">
      <c r="A78" s="398"/>
      <c r="B78" s="248" t="s">
        <v>521</v>
      </c>
      <c r="C78" s="594"/>
      <c r="D78" s="594"/>
      <c r="E78" s="593"/>
      <c r="F78" s="593"/>
      <c r="G78" s="65"/>
      <c r="H78" s="1358"/>
      <c r="I78" s="1358"/>
      <c r="J78" s="1358"/>
      <c r="K78" s="1358"/>
      <c r="L78" s="1358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</row>
    <row r="79" spans="1:28" s="1359" customFormat="1" ht="16.5">
      <c r="A79" s="348"/>
      <c r="B79" s="2371" t="s">
        <v>467</v>
      </c>
      <c r="C79" s="2372" t="s">
        <v>468</v>
      </c>
      <c r="D79" s="2374" t="s">
        <v>469</v>
      </c>
      <c r="E79" s="2376" t="s">
        <v>470</v>
      </c>
      <c r="F79" s="2376"/>
      <c r="G79" s="2376"/>
      <c r="H79" s="2346" t="s">
        <v>28</v>
      </c>
      <c r="I79" s="2346"/>
      <c r="J79" s="2346"/>
      <c r="K79" s="2346"/>
      <c r="L79" s="2346"/>
      <c r="M79" s="2346"/>
      <c r="N79" s="2346"/>
      <c r="O79" s="2346"/>
      <c r="P79" s="2346"/>
      <c r="Q79" s="2346"/>
      <c r="R79" s="2346"/>
      <c r="S79" s="2346"/>
      <c r="T79" s="2346"/>
      <c r="U79" s="2349" t="s">
        <v>27</v>
      </c>
      <c r="V79" s="2349"/>
      <c r="W79" s="2349"/>
      <c r="X79" s="2349"/>
      <c r="Y79" s="2349"/>
      <c r="Z79" s="2349"/>
      <c r="AA79" s="2349"/>
      <c r="AB79" s="2379"/>
    </row>
    <row r="80" spans="1:28" s="1359" customFormat="1" ht="66">
      <c r="A80" s="349"/>
      <c r="B80" s="2371"/>
      <c r="C80" s="2372"/>
      <c r="D80" s="2374"/>
      <c r="E80" s="179" t="s">
        <v>471</v>
      </c>
      <c r="F80" s="178" t="s">
        <v>472</v>
      </c>
      <c r="G80" s="174" t="s">
        <v>473</v>
      </c>
      <c r="H80" s="406" t="s">
        <v>474</v>
      </c>
      <c r="I80" s="354" t="s">
        <v>475</v>
      </c>
      <c r="J80" s="351" t="s">
        <v>21</v>
      </c>
      <c r="K80" s="354" t="s">
        <v>20</v>
      </c>
      <c r="L80" s="354" t="s">
        <v>19</v>
      </c>
      <c r="M80" s="355" t="s">
        <v>18</v>
      </c>
      <c r="N80" s="354" t="s">
        <v>17</v>
      </c>
      <c r="O80" s="356" t="s">
        <v>16</v>
      </c>
      <c r="P80" s="357" t="s">
        <v>15</v>
      </c>
      <c r="Q80" s="354" t="s">
        <v>14</v>
      </c>
      <c r="R80" s="354" t="s">
        <v>13</v>
      </c>
      <c r="S80" s="354" t="s">
        <v>12</v>
      </c>
      <c r="T80" s="358" t="s">
        <v>11</v>
      </c>
      <c r="U80" s="407" t="s">
        <v>10</v>
      </c>
      <c r="V80" s="408" t="s">
        <v>9</v>
      </c>
      <c r="W80" s="409" t="s">
        <v>8</v>
      </c>
      <c r="X80" s="409" t="s">
        <v>7</v>
      </c>
      <c r="Y80" s="409" t="s">
        <v>6</v>
      </c>
      <c r="Z80" s="409" t="s">
        <v>5</v>
      </c>
      <c r="AA80" s="409" t="s">
        <v>4</v>
      </c>
      <c r="AB80" s="410" t="s">
        <v>3</v>
      </c>
    </row>
    <row r="81" spans="1:28" s="1359" customFormat="1" ht="16.5">
      <c r="A81" s="349"/>
      <c r="B81" s="2383" t="s">
        <v>476</v>
      </c>
      <c r="C81" s="1360" t="s">
        <v>881</v>
      </c>
      <c r="D81" s="2386" t="s">
        <v>477</v>
      </c>
      <c r="E81" s="464">
        <f>F81+G81</f>
        <v>344298.85083526303</v>
      </c>
      <c r="F81" s="183">
        <v>138296.850835263</v>
      </c>
      <c r="G81" s="183">
        <v>206002</v>
      </c>
      <c r="H81" s="414">
        <v>171570</v>
      </c>
      <c r="I81" s="415">
        <f>E81/H81</f>
        <v>2.0067543908332635</v>
      </c>
      <c r="J81" s="416">
        <v>6607</v>
      </c>
      <c r="K81" s="417">
        <f>J81/H81</f>
        <v>3.8509063356064577E-2</v>
      </c>
      <c r="L81" s="418">
        <f>M81/J81</f>
        <v>9.202361132132586E-2</v>
      </c>
      <c r="M81" s="155">
        <v>608</v>
      </c>
      <c r="N81" s="159">
        <v>518</v>
      </c>
      <c r="O81" s="1362">
        <f>N81/M81</f>
        <v>0.85197368421052633</v>
      </c>
      <c r="P81" s="163">
        <f>E81/M81</f>
        <v>566.28100466326157</v>
      </c>
      <c r="Q81" s="159">
        <f>E81/N81</f>
        <v>664.66959620707144</v>
      </c>
      <c r="R81" s="155">
        <f>N81*T81</f>
        <v>212380</v>
      </c>
      <c r="S81" s="421">
        <f>R81/E81</f>
        <v>0.61684783287765788</v>
      </c>
      <c r="T81" s="2380">
        <v>410</v>
      </c>
      <c r="U81" s="422">
        <v>270</v>
      </c>
      <c r="V81" s="416">
        <v>256</v>
      </c>
      <c r="W81" s="417">
        <f>V81/U81</f>
        <v>0.94814814814814818</v>
      </c>
      <c r="X81" s="157">
        <f>E81/U81</f>
        <v>1275.1809290194926</v>
      </c>
      <c r="Y81" s="156">
        <f>E81/V81</f>
        <v>1344.9173860752462</v>
      </c>
      <c r="Z81" s="155">
        <f>V81*AB81</f>
        <v>117760</v>
      </c>
      <c r="AA81" s="1388">
        <f>Z81/E81</f>
        <v>0.3420284433547085</v>
      </c>
      <c r="AB81" s="656">
        <v>460</v>
      </c>
    </row>
    <row r="82" spans="1:28" s="1359" customFormat="1" ht="16.5">
      <c r="A82" s="349"/>
      <c r="B82" s="2384"/>
      <c r="C82" s="1360" t="s">
        <v>882</v>
      </c>
      <c r="D82" s="2387"/>
      <c r="E82" s="464">
        <f>F82+G82</f>
        <v>288693.83655171952</v>
      </c>
      <c r="F82" s="183">
        <v>96198.836551719505</v>
      </c>
      <c r="G82" s="183">
        <v>192495</v>
      </c>
      <c r="H82" s="414">
        <v>210043</v>
      </c>
      <c r="I82" s="415">
        <f>E82/H82</f>
        <v>1.3744511197789002</v>
      </c>
      <c r="J82" s="416">
        <v>3628</v>
      </c>
      <c r="K82" s="417">
        <f>J82/H82</f>
        <v>1.7272653694719652E-2</v>
      </c>
      <c r="L82" s="418">
        <f>M82/J82</f>
        <v>8.8754134509371557E-2</v>
      </c>
      <c r="M82" s="155">
        <v>322</v>
      </c>
      <c r="N82" s="159">
        <v>274</v>
      </c>
      <c r="O82" s="1362">
        <f>N82/M82</f>
        <v>0.85093167701863359</v>
      </c>
      <c r="P82" s="163">
        <f>E82/M82</f>
        <v>896.5647097879488</v>
      </c>
      <c r="Q82" s="159">
        <f>E82/N82</f>
        <v>1053.6271406997064</v>
      </c>
      <c r="R82" s="155">
        <f>N82*T81</f>
        <v>112340</v>
      </c>
      <c r="S82" s="421">
        <f>R82/E82</f>
        <v>0.3891319653437571</v>
      </c>
      <c r="T82" s="2290"/>
      <c r="U82" s="422">
        <v>46</v>
      </c>
      <c r="V82" s="416">
        <v>41</v>
      </c>
      <c r="W82" s="417">
        <f>V82/U82</f>
        <v>0.89130434782608692</v>
      </c>
      <c r="X82" s="157">
        <f>E82/U82</f>
        <v>6275.9529685156422</v>
      </c>
      <c r="Y82" s="156">
        <f>E82/V82</f>
        <v>7041.313086627305</v>
      </c>
      <c r="Z82" s="155">
        <f>V82*AB82</f>
        <v>12382</v>
      </c>
      <c r="AA82" s="1388">
        <f>Z82/E82</f>
        <v>4.2889727567085638E-2</v>
      </c>
      <c r="AB82" s="656">
        <v>302</v>
      </c>
    </row>
    <row r="83" spans="1:28" s="1359" customFormat="1" ht="16.5">
      <c r="A83" s="349"/>
      <c r="B83" s="2384"/>
      <c r="C83" s="1360" t="s">
        <v>883</v>
      </c>
      <c r="D83" s="184" t="s">
        <v>478</v>
      </c>
      <c r="E83" s="464">
        <f>F83+G83</f>
        <v>180681.84</v>
      </c>
      <c r="F83" s="183">
        <v>69903.839999999997</v>
      </c>
      <c r="G83" s="183">
        <v>110778</v>
      </c>
      <c r="H83" s="414">
        <v>90980</v>
      </c>
      <c r="I83" s="415">
        <f>E83/H83</f>
        <v>1.9859511980655089</v>
      </c>
      <c r="J83" s="416">
        <v>1626</v>
      </c>
      <c r="K83" s="417">
        <f>J83/H83</f>
        <v>1.7872059793361178E-2</v>
      </c>
      <c r="L83" s="418">
        <f>M83/J83</f>
        <v>5.8425584255842558E-2</v>
      </c>
      <c r="M83" s="155">
        <v>95</v>
      </c>
      <c r="N83" s="159">
        <v>62</v>
      </c>
      <c r="O83" s="1362">
        <f>N83/M83</f>
        <v>0.65263157894736845</v>
      </c>
      <c r="P83" s="163">
        <f>E83/M83</f>
        <v>1901.9141052631578</v>
      </c>
      <c r="Q83" s="159">
        <f>E83/N83</f>
        <v>2914.2232258064514</v>
      </c>
      <c r="R83" s="155">
        <f>N83*T81</f>
        <v>25420</v>
      </c>
      <c r="S83" s="421">
        <f>R83/E83</f>
        <v>0.14068929118720508</v>
      </c>
      <c r="T83" s="2290"/>
      <c r="U83" s="422">
        <v>40</v>
      </c>
      <c r="V83" s="416">
        <v>28</v>
      </c>
      <c r="W83" s="417">
        <f>V83/U83</f>
        <v>0.7</v>
      </c>
      <c r="X83" s="157">
        <f>E83/U83</f>
        <v>4517.0460000000003</v>
      </c>
      <c r="Y83" s="156">
        <f>E83/V83</f>
        <v>6452.9228571428566</v>
      </c>
      <c r="Z83" s="155">
        <f>V83*AB83</f>
        <v>7224</v>
      </c>
      <c r="AA83" s="1388">
        <f>Z83/E83</f>
        <v>3.9981881964451987E-2</v>
      </c>
      <c r="AB83" s="656">
        <v>258</v>
      </c>
    </row>
    <row r="84" spans="1:28" s="1359" customFormat="1" ht="15.75" customHeight="1">
      <c r="A84" s="348"/>
      <c r="B84" s="2384"/>
      <c r="C84" s="1363" t="s">
        <v>479</v>
      </c>
      <c r="D84" s="425"/>
      <c r="E84" s="469">
        <f>F84+G84</f>
        <v>813674.52738698246</v>
      </c>
      <c r="F84" s="470">
        <f>F81+F82+F83</f>
        <v>304399.52738698246</v>
      </c>
      <c r="G84" s="471">
        <f>G81+G82+G83</f>
        <v>509275</v>
      </c>
      <c r="H84" s="429">
        <f>SUM(H81:H83)</f>
        <v>472593</v>
      </c>
      <c r="I84" s="430">
        <f>E84/H84</f>
        <v>1.7217236128909705</v>
      </c>
      <c r="J84" s="1364">
        <f>SUM(J81:J83)</f>
        <v>11861</v>
      </c>
      <c r="K84" s="432">
        <f>J84/H84</f>
        <v>2.5097705636774138E-2</v>
      </c>
      <c r="L84" s="1365">
        <f>M84/J84</f>
        <v>8.6417671359919068E-2</v>
      </c>
      <c r="M84" s="431">
        <f>SUM(M81:M83)</f>
        <v>1025</v>
      </c>
      <c r="N84" s="431">
        <f>SUM(N81:N83)</f>
        <v>854</v>
      </c>
      <c r="O84" s="1366">
        <f>N84/M84</f>
        <v>0.83317073170731704</v>
      </c>
      <c r="P84" s="475">
        <f>E84/M84</f>
        <v>793.82880720681214</v>
      </c>
      <c r="Q84" s="431">
        <f>E84/N84</f>
        <v>952.78047703393736</v>
      </c>
      <c r="R84" s="431">
        <f>N84*T81</f>
        <v>350140</v>
      </c>
      <c r="S84" s="434">
        <f>R84/E84</f>
        <v>0.43031948059678399</v>
      </c>
      <c r="T84" s="2290"/>
      <c r="U84" s="1367">
        <f>SUM(U81:U83)</f>
        <v>356</v>
      </c>
      <c r="V84" s="1364">
        <f>SUM(V81:V83)</f>
        <v>325</v>
      </c>
      <c r="W84" s="432">
        <f>V84/U84</f>
        <v>0.9129213483146067</v>
      </c>
      <c r="X84" s="1368">
        <f>E84/U84</f>
        <v>2285.6026050196137</v>
      </c>
      <c r="Y84" s="1368">
        <f>E84/V84</f>
        <v>2503.6139304214844</v>
      </c>
      <c r="Z84" s="431">
        <f>V84*AB84</f>
        <v>133250</v>
      </c>
      <c r="AA84" s="1369">
        <f>Z84/E84</f>
        <v>0.16376326837699626</v>
      </c>
      <c r="AB84" s="2381">
        <v>410</v>
      </c>
    </row>
    <row r="85" spans="1:28" s="1359" customFormat="1" ht="15.75" customHeight="1">
      <c r="A85" s="348"/>
      <c r="B85" s="2385"/>
      <c r="C85" s="1370" t="s">
        <v>480</v>
      </c>
      <c r="D85" s="1389"/>
      <c r="E85" s="1371">
        <f>F85+G85</f>
        <v>813674.52738698246</v>
      </c>
      <c r="F85" s="1372">
        <f>F84</f>
        <v>304399.52738698246</v>
      </c>
      <c r="G85" s="1373">
        <f>G84</f>
        <v>509275</v>
      </c>
      <c r="H85" s="1374">
        <v>452197</v>
      </c>
      <c r="I85" s="1375">
        <f>E85/H85</f>
        <v>1.7993806402673669</v>
      </c>
      <c r="J85" s="1376">
        <v>10548</v>
      </c>
      <c r="K85" s="1377">
        <f>J85/H85</f>
        <v>2.3326116714617744E-2</v>
      </c>
      <c r="L85" s="1378">
        <f>M85/J85</f>
        <v>8.854759196056125E-2</v>
      </c>
      <c r="M85" s="146">
        <v>934</v>
      </c>
      <c r="N85" s="146">
        <v>782</v>
      </c>
      <c r="O85" s="1379">
        <f>N85/M85</f>
        <v>0.83725910064239828</v>
      </c>
      <c r="P85" s="147">
        <f>E85/M85</f>
        <v>871.17187086400691</v>
      </c>
      <c r="Q85" s="146">
        <f>E85/N85</f>
        <v>1040.5045107250414</v>
      </c>
      <c r="R85" s="146">
        <f>N85*T81</f>
        <v>320620</v>
      </c>
      <c r="S85" s="1380">
        <f>R85/E85</f>
        <v>0.39403961806403409</v>
      </c>
      <c r="T85" s="2291"/>
      <c r="U85" s="1381"/>
      <c r="V85" s="1376"/>
      <c r="W85" s="1377"/>
      <c r="X85" s="1382"/>
      <c r="Y85" s="1382"/>
      <c r="Z85" s="146"/>
      <c r="AA85" s="1383"/>
      <c r="AB85" s="2382"/>
    </row>
    <row r="86" spans="1:28" s="349" customFormat="1" ht="16.5">
      <c r="B86" s="233"/>
      <c r="C86" s="232" t="s">
        <v>461</v>
      </c>
      <c r="D86" s="231" t="s">
        <v>462</v>
      </c>
      <c r="E86" s="230">
        <f>SUM(F86:G86)</f>
        <v>3187283</v>
      </c>
      <c r="F86" s="183">
        <v>2217489</v>
      </c>
      <c r="G86" s="228">
        <v>969794</v>
      </c>
      <c r="H86" s="452"/>
      <c r="I86" s="453"/>
      <c r="J86" s="457"/>
      <c r="K86" s="454"/>
      <c r="O86" s="455"/>
      <c r="P86" s="455"/>
      <c r="Q86" s="455"/>
      <c r="R86" s="455"/>
      <c r="S86" s="455"/>
      <c r="T86" s="456"/>
      <c r="U86" s="457"/>
    </row>
    <row r="87" spans="1:28" s="349" customFormat="1" ht="16.5">
      <c r="B87" s="227"/>
      <c r="C87" s="226" t="s">
        <v>463</v>
      </c>
      <c r="D87" s="225" t="s">
        <v>69</v>
      </c>
      <c r="E87" s="224">
        <f>E84/E86</f>
        <v>0.25528781955884761</v>
      </c>
      <c r="F87" s="223">
        <f>F85/F86</f>
        <v>0.13727217018302343</v>
      </c>
      <c r="G87" s="1385">
        <f>G85/G86</f>
        <v>0.52513729719919899</v>
      </c>
      <c r="P87" s="455"/>
      <c r="Q87" s="455"/>
      <c r="R87" s="455"/>
      <c r="S87" s="455"/>
      <c r="T87" s="456"/>
      <c r="U87" s="463"/>
      <c r="W87" s="455"/>
      <c r="AB87" s="461"/>
    </row>
    <row r="88" spans="1:28" s="1359" customFormat="1" ht="16.5">
      <c r="A88" s="398"/>
      <c r="H88" s="398"/>
      <c r="I88" s="398"/>
      <c r="J88" s="398"/>
      <c r="K88" s="337"/>
      <c r="L88" s="337"/>
      <c r="M88" s="338"/>
      <c r="N88" s="338"/>
      <c r="O88" s="338"/>
      <c r="P88" s="338"/>
      <c r="Q88" s="339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</row>
    <row r="89" spans="1:28" s="1359" customFormat="1" ht="16.5">
      <c r="A89" s="398"/>
      <c r="H89" s="398"/>
      <c r="I89" s="398"/>
      <c r="J89" s="398"/>
      <c r="K89" s="337"/>
      <c r="L89" s="337"/>
      <c r="M89" s="338"/>
      <c r="N89" s="338"/>
      <c r="O89" s="338"/>
      <c r="P89" s="338"/>
      <c r="Q89" s="339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</row>
    <row r="90" spans="1:28" ht="14.5">
      <c r="B90" s="1390"/>
    </row>
    <row r="91" spans="1:28" ht="14.5">
      <c r="B91" s="248" t="s">
        <v>481</v>
      </c>
    </row>
    <row r="92" spans="1:28" ht="15" customHeight="1">
      <c r="B92" s="2371" t="s">
        <v>467</v>
      </c>
      <c r="C92" s="2372" t="s">
        <v>468</v>
      </c>
      <c r="D92" s="2374" t="s">
        <v>469</v>
      </c>
      <c r="E92" s="2376" t="s">
        <v>470</v>
      </c>
      <c r="F92" s="2376"/>
      <c r="G92" s="2376"/>
      <c r="H92" s="2346" t="s">
        <v>28</v>
      </c>
      <c r="I92" s="2346"/>
      <c r="J92" s="2346"/>
      <c r="K92" s="2346"/>
      <c r="L92" s="2346"/>
      <c r="M92" s="2346"/>
      <c r="N92" s="2346"/>
      <c r="O92" s="2346"/>
      <c r="P92" s="2346"/>
      <c r="Q92" s="2346"/>
      <c r="R92" s="2346"/>
      <c r="S92" s="2346"/>
      <c r="T92" s="2346"/>
      <c r="U92" s="2349" t="s">
        <v>27</v>
      </c>
      <c r="V92" s="2349"/>
      <c r="W92" s="2349"/>
      <c r="X92" s="2349"/>
      <c r="Y92" s="2349"/>
      <c r="Z92" s="2349"/>
      <c r="AA92" s="2349"/>
      <c r="AB92" s="2379"/>
    </row>
    <row r="93" spans="1:28" ht="66">
      <c r="B93" s="2371"/>
      <c r="C93" s="2372"/>
      <c r="D93" s="2374"/>
      <c r="E93" s="179" t="s">
        <v>471</v>
      </c>
      <c r="F93" s="178" t="s">
        <v>472</v>
      </c>
      <c r="G93" s="174" t="s">
        <v>473</v>
      </c>
      <c r="H93" s="406" t="s">
        <v>474</v>
      </c>
      <c r="I93" s="354" t="s">
        <v>475</v>
      </c>
      <c r="J93" s="351" t="s">
        <v>21</v>
      </c>
      <c r="K93" s="354" t="s">
        <v>20</v>
      </c>
      <c r="L93" s="354" t="s">
        <v>19</v>
      </c>
      <c r="M93" s="355" t="s">
        <v>18</v>
      </c>
      <c r="N93" s="354" t="s">
        <v>17</v>
      </c>
      <c r="O93" s="356" t="s">
        <v>16</v>
      </c>
      <c r="P93" s="357" t="s">
        <v>15</v>
      </c>
      <c r="Q93" s="354" t="s">
        <v>14</v>
      </c>
      <c r="R93" s="354" t="s">
        <v>13</v>
      </c>
      <c r="S93" s="354" t="s">
        <v>12</v>
      </c>
      <c r="T93" s="358" t="s">
        <v>11</v>
      </c>
      <c r="U93" s="407" t="s">
        <v>10</v>
      </c>
      <c r="V93" s="408" t="s">
        <v>9</v>
      </c>
      <c r="W93" s="409" t="s">
        <v>8</v>
      </c>
      <c r="X93" s="409" t="s">
        <v>7</v>
      </c>
      <c r="Y93" s="409" t="s">
        <v>6</v>
      </c>
      <c r="Z93" s="409" t="s">
        <v>5</v>
      </c>
      <c r="AA93" s="409" t="s">
        <v>4</v>
      </c>
      <c r="AB93" s="410" t="s">
        <v>3</v>
      </c>
    </row>
    <row r="94" spans="1:28" ht="16.5">
      <c r="B94" s="1391" t="s">
        <v>482</v>
      </c>
      <c r="C94" s="169" t="s">
        <v>881</v>
      </c>
      <c r="D94" s="184" t="s">
        <v>483</v>
      </c>
      <c r="E94" s="464">
        <f>F94+G94</f>
        <v>48219.802783044899</v>
      </c>
      <c r="F94" s="183">
        <v>48219.802783044899</v>
      </c>
      <c r="G94" s="183">
        <v>0</v>
      </c>
      <c r="H94" s="414">
        <v>69201</v>
      </c>
      <c r="I94" s="415">
        <f>E94/H94</f>
        <v>0.6968078898143798</v>
      </c>
      <c r="J94" s="416">
        <v>3740</v>
      </c>
      <c r="K94" s="417">
        <f>J94/H94</f>
        <v>5.4045461770783662E-2</v>
      </c>
      <c r="L94" s="418">
        <f>M94/J94</f>
        <v>0.11256684491978609</v>
      </c>
      <c r="M94" s="155">
        <v>421</v>
      </c>
      <c r="N94" s="159">
        <v>357</v>
      </c>
      <c r="O94" s="1362">
        <f>N94/M94</f>
        <v>0.84798099762470314</v>
      </c>
      <c r="P94" s="163">
        <f>E94/M94</f>
        <v>114.5363486533133</v>
      </c>
      <c r="Q94" s="159">
        <f>E94/N94</f>
        <v>135.06947558275883</v>
      </c>
      <c r="R94" s="155">
        <f>N94*T94</f>
        <v>146370</v>
      </c>
      <c r="S94" s="421">
        <f>R94/E94</f>
        <v>3.0354748786211707</v>
      </c>
      <c r="T94" s="2380">
        <v>410</v>
      </c>
      <c r="U94" s="422">
        <v>131</v>
      </c>
      <c r="V94" s="416">
        <v>100</v>
      </c>
      <c r="W94" s="417">
        <f>V94/U94</f>
        <v>0.76335877862595425</v>
      </c>
      <c r="X94" s="157">
        <f>E94/U94</f>
        <v>368.09009758049541</v>
      </c>
      <c r="Y94" s="156">
        <f>E94/V94</f>
        <v>482.19802783044901</v>
      </c>
      <c r="Z94" s="155">
        <f>V94*AB94</f>
        <v>46000</v>
      </c>
      <c r="AA94" s="1388">
        <f>Z94/E94</f>
        <v>0.95396491368841874</v>
      </c>
      <c r="AB94" s="656">
        <v>460</v>
      </c>
    </row>
    <row r="95" spans="1:28" ht="16.5">
      <c r="B95" s="1391" t="s">
        <v>484</v>
      </c>
      <c r="C95" s="169" t="s">
        <v>882</v>
      </c>
      <c r="D95" s="184" t="s">
        <v>485</v>
      </c>
      <c r="E95" s="464">
        <f>F95+G95</f>
        <v>481815.4</v>
      </c>
      <c r="F95" s="183">
        <v>341139.7</v>
      </c>
      <c r="G95" s="183">
        <v>140675.70000000001</v>
      </c>
      <c r="H95" s="414">
        <v>595469</v>
      </c>
      <c r="I95" s="415">
        <f>E95/H95</f>
        <v>0.80913599196599661</v>
      </c>
      <c r="J95" s="416">
        <v>15900</v>
      </c>
      <c r="K95" s="417">
        <f>J95/H95</f>
        <v>2.6701641899074511E-2</v>
      </c>
      <c r="L95" s="418">
        <f>M95/J95</f>
        <v>0.11</v>
      </c>
      <c r="M95" s="155">
        <v>1749</v>
      </c>
      <c r="N95" s="159">
        <v>1474</v>
      </c>
      <c r="O95" s="1362">
        <f>N95/M95</f>
        <v>0.84276729559748431</v>
      </c>
      <c r="P95" s="163">
        <f>E95/M95</f>
        <v>275.48050314465411</v>
      </c>
      <c r="Q95" s="159">
        <f>E95/N95</f>
        <v>326.87611940298507</v>
      </c>
      <c r="R95" s="155">
        <f>N95*T94</f>
        <v>604340</v>
      </c>
      <c r="S95" s="421">
        <f>R95/E95</f>
        <v>1.2542978078326263</v>
      </c>
      <c r="T95" s="2290"/>
      <c r="U95" s="422">
        <v>583</v>
      </c>
      <c r="V95" s="416">
        <v>520</v>
      </c>
      <c r="W95" s="417">
        <f>V95/U95</f>
        <v>0.89193825042881647</v>
      </c>
      <c r="X95" s="157">
        <f>E95/U95</f>
        <v>826.44150943396232</v>
      </c>
      <c r="Y95" s="156">
        <f>E95/V95</f>
        <v>926.568076923077</v>
      </c>
      <c r="Z95" s="155">
        <f>V95*AB95</f>
        <v>157040</v>
      </c>
      <c r="AA95" s="1388">
        <f>Z95/E95</f>
        <v>0.32593395727907409</v>
      </c>
      <c r="AB95" s="656">
        <v>302</v>
      </c>
    </row>
    <row r="96" spans="1:28" ht="16.5">
      <c r="B96" s="1391" t="s">
        <v>486</v>
      </c>
      <c r="C96" s="169" t="s">
        <v>883</v>
      </c>
      <c r="D96" s="184" t="s">
        <v>487</v>
      </c>
      <c r="E96" s="464">
        <f>F96+G96</f>
        <v>32751.53</v>
      </c>
      <c r="F96" s="183">
        <v>21353.53</v>
      </c>
      <c r="G96" s="183">
        <v>11398</v>
      </c>
      <c r="H96" s="414">
        <v>25182</v>
      </c>
      <c r="I96" s="415">
        <f>E96/H96</f>
        <v>1.3005928838058931</v>
      </c>
      <c r="J96" s="416">
        <v>269</v>
      </c>
      <c r="K96" s="417">
        <f>J96/H96</f>
        <v>1.0682233341275514E-2</v>
      </c>
      <c r="L96" s="418">
        <f>M96/J96</f>
        <v>8.9219330855018583E-2</v>
      </c>
      <c r="M96" s="155">
        <v>24</v>
      </c>
      <c r="N96" s="159">
        <v>11</v>
      </c>
      <c r="O96" s="1362">
        <f>N96/M96</f>
        <v>0.45833333333333331</v>
      </c>
      <c r="P96" s="163">
        <f>E96/M96</f>
        <v>1364.6470833333333</v>
      </c>
      <c r="Q96" s="159">
        <f>E96/N96</f>
        <v>2977.411818181818</v>
      </c>
      <c r="R96" s="155">
        <f>N96*T94</f>
        <v>4510</v>
      </c>
      <c r="S96" s="421">
        <f>R96/E96</f>
        <v>0.13770349049342123</v>
      </c>
      <c r="T96" s="2290"/>
      <c r="U96" s="422">
        <v>11</v>
      </c>
      <c r="V96" s="416">
        <v>8</v>
      </c>
      <c r="W96" s="417">
        <f>V96/U96</f>
        <v>0.72727272727272729</v>
      </c>
      <c r="X96" s="157">
        <f>E96/U96</f>
        <v>2977.411818181818</v>
      </c>
      <c r="Y96" s="156">
        <f>E96/V96</f>
        <v>4093.9412499999999</v>
      </c>
      <c r="Z96" s="155">
        <f>V96*AB96</f>
        <v>2064</v>
      </c>
      <c r="AA96" s="1388">
        <f>Z96/E96</f>
        <v>6.301995662492714E-2</v>
      </c>
      <c r="AB96" s="656">
        <v>258</v>
      </c>
    </row>
    <row r="97" spans="1:28" ht="16.5">
      <c r="B97" s="2338" t="s">
        <v>484</v>
      </c>
      <c r="C97" s="424" t="s">
        <v>479</v>
      </c>
      <c r="D97" s="425"/>
      <c r="E97" s="469">
        <f>F97+G97</f>
        <v>562786.73278304492</v>
      </c>
      <c r="F97" s="470">
        <f>F94+F95+F96</f>
        <v>410713.03278304497</v>
      </c>
      <c r="G97" s="471">
        <f>G94+G95+G96</f>
        <v>152073.70000000001</v>
      </c>
      <c r="H97" s="429">
        <f>SUM(H94:H96)</f>
        <v>689852</v>
      </c>
      <c r="I97" s="430">
        <f>E97/H97</f>
        <v>0.8158079309519215</v>
      </c>
      <c r="J97" s="1364">
        <f>SUM(J94:J96)</f>
        <v>19909</v>
      </c>
      <c r="K97" s="432">
        <f>J97/H97</f>
        <v>2.8859813409252998E-2</v>
      </c>
      <c r="L97" s="1365">
        <f>M97/J97</f>
        <v>0.11020141644482395</v>
      </c>
      <c r="M97" s="431">
        <f>SUM(M94:M96)</f>
        <v>2194</v>
      </c>
      <c r="N97" s="431">
        <f>SUM(N94:N96)</f>
        <v>1842</v>
      </c>
      <c r="O97" s="1366">
        <f>N97/M97</f>
        <v>0.83956244302643568</v>
      </c>
      <c r="P97" s="475">
        <f>E97/M97</f>
        <v>256.51172870694847</v>
      </c>
      <c r="Q97" s="431">
        <f>E97/N97</f>
        <v>305.53025666831974</v>
      </c>
      <c r="R97" s="431">
        <f>N97*T94</f>
        <v>755220</v>
      </c>
      <c r="S97" s="434">
        <f>R97/E97</f>
        <v>1.3419292886762815</v>
      </c>
      <c r="T97" s="2290"/>
      <c r="U97" s="1367">
        <f>SUM(U94:U96)</f>
        <v>725</v>
      </c>
      <c r="V97" s="1364">
        <f>SUM(V94:V96)</f>
        <v>628</v>
      </c>
      <c r="W97" s="432">
        <f>V97/U97</f>
        <v>0.86620689655172411</v>
      </c>
      <c r="X97" s="1368">
        <f>E97/U97</f>
        <v>776.25756245937225</v>
      </c>
      <c r="Y97" s="1368">
        <f>E97/V97</f>
        <v>896.15721780739636</v>
      </c>
      <c r="Z97" s="431">
        <f>V97*AB97</f>
        <v>257480</v>
      </c>
      <c r="AA97" s="1369">
        <f>Z97/E97</f>
        <v>0.45750900830005692</v>
      </c>
      <c r="AB97" s="2381">
        <v>410</v>
      </c>
    </row>
    <row r="98" spans="1:28" ht="16.5">
      <c r="B98" s="2289"/>
      <c r="C98" s="153" t="s">
        <v>480</v>
      </c>
      <c r="D98" s="1389"/>
      <c r="E98" s="1371">
        <f>F98+G98</f>
        <v>562786.73278304492</v>
      </c>
      <c r="F98" s="1372">
        <f>F97</f>
        <v>410713.03278304497</v>
      </c>
      <c r="G98" s="1373">
        <f>G97</f>
        <v>152073.70000000001</v>
      </c>
      <c r="H98" s="1374">
        <v>676789</v>
      </c>
      <c r="I98" s="1375">
        <f>E98/H98</f>
        <v>0.83155419603900904</v>
      </c>
      <c r="J98" s="1376">
        <v>19790</v>
      </c>
      <c r="K98" s="1377">
        <f>J98/H98</f>
        <v>2.9241018988192775E-2</v>
      </c>
      <c r="L98" s="1378">
        <f>M98/J98</f>
        <v>0.10823648307225872</v>
      </c>
      <c r="M98" s="146">
        <v>2142</v>
      </c>
      <c r="N98" s="146">
        <v>1842</v>
      </c>
      <c r="O98" s="1379">
        <f>N98/M98</f>
        <v>0.85994397759103647</v>
      </c>
      <c r="P98" s="147">
        <f>E98/M98</f>
        <v>262.73890419376511</v>
      </c>
      <c r="Q98" s="146">
        <f>E98/N98</f>
        <v>305.53025666831974</v>
      </c>
      <c r="R98" s="146">
        <f>N98*T94</f>
        <v>755220</v>
      </c>
      <c r="S98" s="1380">
        <f>R98/E98</f>
        <v>1.3419292886762815</v>
      </c>
      <c r="T98" s="2291"/>
      <c r="U98" s="1381"/>
      <c r="V98" s="1376"/>
      <c r="W98" s="1377"/>
      <c r="X98" s="1382"/>
      <c r="Y98" s="1382"/>
      <c r="Z98" s="146"/>
      <c r="AA98" s="1383"/>
      <c r="AB98" s="2382"/>
    </row>
    <row r="99" spans="1:28" ht="14.5">
      <c r="B99" s="1390"/>
    </row>
    <row r="100" spans="1:28" ht="14.5">
      <c r="B100" s="1390"/>
    </row>
    <row r="101" spans="1:28" ht="14.5">
      <c r="B101" s="1390"/>
    </row>
    <row r="102" spans="1:28" ht="14.5">
      <c r="B102" s="1390"/>
    </row>
    <row r="104" spans="1:28" s="1359" customFormat="1" ht="16.5">
      <c r="A104" s="398"/>
      <c r="B104" s="248" t="s">
        <v>488</v>
      </c>
      <c r="C104" s="594"/>
      <c r="D104" s="594"/>
      <c r="E104" s="593"/>
      <c r="F104" s="593"/>
      <c r="G104" s="593"/>
      <c r="H104" s="1358"/>
      <c r="I104" s="1358"/>
      <c r="J104" s="1358"/>
      <c r="K104" s="1358"/>
      <c r="L104" s="1358"/>
      <c r="M104" s="593"/>
      <c r="N104" s="593"/>
      <c r="O104" s="593"/>
      <c r="P104" s="593"/>
      <c r="Q104" s="593"/>
      <c r="R104" s="593"/>
      <c r="S104" s="593"/>
      <c r="T104" s="593"/>
      <c r="U104" s="593"/>
      <c r="V104" s="593"/>
      <c r="W104" s="593"/>
      <c r="X104" s="593"/>
      <c r="Y104" s="593"/>
      <c r="Z104" s="593"/>
      <c r="AA104" s="593"/>
      <c r="AB104" s="593"/>
    </row>
    <row r="105" spans="1:28" s="1359" customFormat="1" ht="16.5">
      <c r="A105" s="348"/>
      <c r="B105" s="2371" t="s">
        <v>467</v>
      </c>
      <c r="C105" s="2372" t="s">
        <v>468</v>
      </c>
      <c r="D105" s="2374" t="s">
        <v>469</v>
      </c>
      <c r="E105" s="2376" t="s">
        <v>470</v>
      </c>
      <c r="F105" s="2376"/>
      <c r="G105" s="2376"/>
      <c r="H105" s="2346" t="s">
        <v>28</v>
      </c>
      <c r="I105" s="2346"/>
      <c r="J105" s="2346"/>
      <c r="K105" s="2346"/>
      <c r="L105" s="2346"/>
      <c r="M105" s="2346"/>
      <c r="N105" s="2346"/>
      <c r="O105" s="2346"/>
      <c r="P105" s="2346"/>
      <c r="Q105" s="2346"/>
      <c r="R105" s="2346"/>
      <c r="S105" s="2346"/>
      <c r="T105" s="2346"/>
      <c r="U105" s="2349" t="s">
        <v>27</v>
      </c>
      <c r="V105" s="2349"/>
      <c r="W105" s="2349"/>
      <c r="X105" s="2349"/>
      <c r="Y105" s="2349"/>
      <c r="Z105" s="2349"/>
      <c r="AA105" s="2349"/>
      <c r="AB105" s="2379"/>
    </row>
    <row r="106" spans="1:28" s="1359" customFormat="1" ht="66">
      <c r="A106" s="349"/>
      <c r="B106" s="2371"/>
      <c r="C106" s="2372"/>
      <c r="D106" s="2374"/>
      <c r="E106" s="179" t="s">
        <v>471</v>
      </c>
      <c r="F106" s="178" t="s">
        <v>472</v>
      </c>
      <c r="G106" s="174" t="s">
        <v>473</v>
      </c>
      <c r="H106" s="406" t="s">
        <v>474</v>
      </c>
      <c r="I106" s="354" t="s">
        <v>475</v>
      </c>
      <c r="J106" s="351" t="s">
        <v>21</v>
      </c>
      <c r="K106" s="354" t="s">
        <v>20</v>
      </c>
      <c r="L106" s="354" t="s">
        <v>19</v>
      </c>
      <c r="M106" s="355" t="s">
        <v>18</v>
      </c>
      <c r="N106" s="354" t="s">
        <v>17</v>
      </c>
      <c r="O106" s="356" t="s">
        <v>16</v>
      </c>
      <c r="P106" s="357" t="s">
        <v>15</v>
      </c>
      <c r="Q106" s="354" t="s">
        <v>14</v>
      </c>
      <c r="R106" s="354" t="s">
        <v>13</v>
      </c>
      <c r="S106" s="354" t="s">
        <v>12</v>
      </c>
      <c r="T106" s="358" t="s">
        <v>11</v>
      </c>
      <c r="U106" s="407" t="s">
        <v>10</v>
      </c>
      <c r="V106" s="408" t="s">
        <v>9</v>
      </c>
      <c r="W106" s="409" t="s">
        <v>8</v>
      </c>
      <c r="X106" s="409" t="s">
        <v>7</v>
      </c>
      <c r="Y106" s="409" t="s">
        <v>6</v>
      </c>
      <c r="Z106" s="409" t="s">
        <v>5</v>
      </c>
      <c r="AA106" s="409" t="s">
        <v>4</v>
      </c>
      <c r="AB106" s="410" t="s">
        <v>3</v>
      </c>
    </row>
    <row r="107" spans="1:28" s="1359" customFormat="1" ht="16.5">
      <c r="A107" s="349"/>
      <c r="B107" s="1391" t="s">
        <v>489</v>
      </c>
      <c r="C107" s="169" t="s">
        <v>881</v>
      </c>
      <c r="D107" s="184" t="s">
        <v>483</v>
      </c>
      <c r="E107" s="464">
        <f>F107+G107</f>
        <v>21608.4837817853</v>
      </c>
      <c r="F107" s="183">
        <v>21608.4837817853</v>
      </c>
      <c r="G107" s="183">
        <v>0</v>
      </c>
      <c r="H107" s="414">
        <v>3225</v>
      </c>
      <c r="I107" s="415">
        <f>E107/H107</f>
        <v>6.7003050486155971</v>
      </c>
      <c r="J107" s="416">
        <v>245</v>
      </c>
      <c r="K107" s="417">
        <f>J107/H107</f>
        <v>7.5968992248062014E-2</v>
      </c>
      <c r="L107" s="418">
        <f>M107/J107</f>
        <v>8.9795918367346933E-2</v>
      </c>
      <c r="M107" s="155">
        <v>22</v>
      </c>
      <c r="N107" s="159">
        <v>12</v>
      </c>
      <c r="O107" s="1362">
        <f>N107/M107</f>
        <v>0.54545454545454541</v>
      </c>
      <c r="P107" s="163">
        <f>E107/M107</f>
        <v>982.20380826296821</v>
      </c>
      <c r="Q107" s="159">
        <f>E107/N107</f>
        <v>1800.7069818154416</v>
      </c>
      <c r="R107" s="155">
        <f>N107*T107</f>
        <v>4920</v>
      </c>
      <c r="S107" s="421">
        <f>R107/E107</f>
        <v>0.22768834915420003</v>
      </c>
      <c r="T107" s="2380">
        <v>410</v>
      </c>
      <c r="U107" s="422">
        <v>2</v>
      </c>
      <c r="V107" s="416">
        <v>0</v>
      </c>
      <c r="W107" s="417">
        <f>V107/U107</f>
        <v>0</v>
      </c>
      <c r="X107" s="157">
        <f>E107/U107</f>
        <v>10804.24189089265</v>
      </c>
      <c r="Y107" s="156" t="s">
        <v>490</v>
      </c>
      <c r="Z107" s="155">
        <f>V107*AB107</f>
        <v>0</v>
      </c>
      <c r="AA107" s="1388">
        <f>Z107/E107</f>
        <v>0</v>
      </c>
      <c r="AB107" s="656">
        <v>460</v>
      </c>
    </row>
    <row r="108" spans="1:28" s="1359" customFormat="1" ht="16.5">
      <c r="A108" s="349"/>
      <c r="B108" s="1391" t="s">
        <v>491</v>
      </c>
      <c r="C108" s="169" t="s">
        <v>882</v>
      </c>
      <c r="D108" s="184" t="s">
        <v>485</v>
      </c>
      <c r="E108" s="464">
        <f>F108+G108</f>
        <v>457833.63</v>
      </c>
      <c r="F108" s="183">
        <v>317157.93</v>
      </c>
      <c r="G108" s="183">
        <v>140675.70000000001</v>
      </c>
      <c r="H108" s="414">
        <v>511450</v>
      </c>
      <c r="I108" s="415">
        <f>E108/H108</f>
        <v>0.89516791475217516</v>
      </c>
      <c r="J108" s="416">
        <v>13542</v>
      </c>
      <c r="K108" s="417">
        <f>J108/H108</f>
        <v>2.6477661550493695E-2</v>
      </c>
      <c r="L108" s="418">
        <f>M108/J108</f>
        <v>0.11106188155368484</v>
      </c>
      <c r="M108" s="155">
        <v>1504</v>
      </c>
      <c r="N108" s="159">
        <v>1273</v>
      </c>
      <c r="O108" s="1362">
        <f>N108/M108</f>
        <v>0.84640957446808507</v>
      </c>
      <c r="P108" s="163">
        <f>E108/M108</f>
        <v>304.41065824468086</v>
      </c>
      <c r="Q108" s="159">
        <f>E108/N108</f>
        <v>359.64935585231734</v>
      </c>
      <c r="R108" s="155">
        <f>N108*T107</f>
        <v>521930</v>
      </c>
      <c r="S108" s="421">
        <f>R108/E108</f>
        <v>1.1399992613037186</v>
      </c>
      <c r="T108" s="2290"/>
      <c r="U108" s="422">
        <v>557</v>
      </c>
      <c r="V108" s="416">
        <v>495</v>
      </c>
      <c r="W108" s="417">
        <f>V108/U108</f>
        <v>0.88868940754039494</v>
      </c>
      <c r="X108" s="157">
        <f>E108/U108</f>
        <v>821.96342908438066</v>
      </c>
      <c r="Y108" s="156">
        <f>E108/V108</f>
        <v>924.91642424242423</v>
      </c>
      <c r="Z108" s="155">
        <f>V108*AB108</f>
        <v>149490</v>
      </c>
      <c r="AA108" s="1388">
        <f>Z108/E108</f>
        <v>0.32651598791464925</v>
      </c>
      <c r="AB108" s="656">
        <v>302</v>
      </c>
    </row>
    <row r="109" spans="1:28" s="1359" customFormat="1" ht="16.5">
      <c r="A109" s="349"/>
      <c r="B109" s="1391" t="s">
        <v>492</v>
      </c>
      <c r="C109" s="169" t="s">
        <v>883</v>
      </c>
      <c r="D109" s="184" t="s">
        <v>487</v>
      </c>
      <c r="E109" s="464">
        <f>F109+G109</f>
        <v>12761.69</v>
      </c>
      <c r="F109" s="183">
        <v>1363.69</v>
      </c>
      <c r="G109" s="183">
        <v>11398</v>
      </c>
      <c r="H109" s="414">
        <v>1337</v>
      </c>
      <c r="I109" s="415">
        <f>E109/H109</f>
        <v>9.5450186985789092</v>
      </c>
      <c r="J109" s="416">
        <v>165</v>
      </c>
      <c r="K109" s="417">
        <f>J109/H109</f>
        <v>0.12341062079281974</v>
      </c>
      <c r="L109" s="418">
        <f>M109/J109</f>
        <v>7.8787878787878782E-2</v>
      </c>
      <c r="M109" s="155">
        <v>13</v>
      </c>
      <c r="N109" s="159">
        <v>6</v>
      </c>
      <c r="O109" s="1362">
        <f>N109/M109</f>
        <v>0.46153846153846156</v>
      </c>
      <c r="P109" s="163">
        <f>E109/M109</f>
        <v>981.66846153846154</v>
      </c>
      <c r="Q109" s="159">
        <f>E109/N109</f>
        <v>2126.9483333333333</v>
      </c>
      <c r="R109" s="155">
        <f>N109*T107</f>
        <v>2460</v>
      </c>
      <c r="S109" s="421">
        <f>R109/E109</f>
        <v>0.19276443793886233</v>
      </c>
      <c r="T109" s="2290"/>
      <c r="U109" s="422">
        <v>0</v>
      </c>
      <c r="V109" s="416">
        <v>0</v>
      </c>
      <c r="W109" s="417" t="s">
        <v>490</v>
      </c>
      <c r="X109" s="157" t="s">
        <v>490</v>
      </c>
      <c r="Y109" s="156" t="s">
        <v>490</v>
      </c>
      <c r="Z109" s="155">
        <f>V109*AB109</f>
        <v>0</v>
      </c>
      <c r="AA109" s="1388">
        <f>Z109/E109</f>
        <v>0</v>
      </c>
      <c r="AB109" s="656">
        <v>258</v>
      </c>
    </row>
    <row r="110" spans="1:28" s="1359" customFormat="1" ht="15.75" customHeight="1">
      <c r="A110" s="348"/>
      <c r="B110" s="2338" t="s">
        <v>491</v>
      </c>
      <c r="C110" s="424" t="s">
        <v>479</v>
      </c>
      <c r="D110" s="425"/>
      <c r="E110" s="469">
        <f>F110+G110</f>
        <v>492203.8037817853</v>
      </c>
      <c r="F110" s="470">
        <f>F107+F108+F109</f>
        <v>340130.10378178529</v>
      </c>
      <c r="G110" s="471">
        <f>G107+G108+G109</f>
        <v>152073.70000000001</v>
      </c>
      <c r="H110" s="429">
        <f>SUM(H107:H109)</f>
        <v>516012</v>
      </c>
      <c r="I110" s="430">
        <f>E110/H110</f>
        <v>0.95386115784475034</v>
      </c>
      <c r="J110" s="1364">
        <f>SUM(J107:J109)</f>
        <v>13952</v>
      </c>
      <c r="K110" s="432">
        <f>J110/H110</f>
        <v>2.703813089618071E-2</v>
      </c>
      <c r="L110" s="1365">
        <f>M110/J110</f>
        <v>0.11030676605504587</v>
      </c>
      <c r="M110" s="431">
        <f>SUM(M107:M109)</f>
        <v>1539</v>
      </c>
      <c r="N110" s="431">
        <f>SUM(N107:N109)</f>
        <v>1291</v>
      </c>
      <c r="O110" s="1366">
        <f>N110/M110</f>
        <v>0.83885640025990904</v>
      </c>
      <c r="P110" s="475">
        <f>E110/M110</f>
        <v>319.82053527081564</v>
      </c>
      <c r="Q110" s="431">
        <f>E110/N110</f>
        <v>381.25778759239762</v>
      </c>
      <c r="R110" s="431">
        <f>N110*T107</f>
        <v>529310</v>
      </c>
      <c r="S110" s="434">
        <f>R110/E110</f>
        <v>1.0753878696855124</v>
      </c>
      <c r="T110" s="2290"/>
      <c r="U110" s="1367">
        <f>SUM(U107:U109)</f>
        <v>559</v>
      </c>
      <c r="V110" s="1364">
        <f>SUM(V107:V109)</f>
        <v>495</v>
      </c>
      <c r="W110" s="432">
        <f>V110/U110</f>
        <v>0.88550983899821112</v>
      </c>
      <c r="X110" s="1368">
        <f>E110/U110</f>
        <v>880.50769907296115</v>
      </c>
      <c r="Y110" s="1368">
        <f>E110/V110</f>
        <v>994.35111875108146</v>
      </c>
      <c r="Z110" s="431">
        <f>V110*AB110</f>
        <v>202950</v>
      </c>
      <c r="AA110" s="1369">
        <f>Z110/E110</f>
        <v>0.4123291986787983</v>
      </c>
      <c r="AB110" s="2381">
        <v>410</v>
      </c>
    </row>
    <row r="111" spans="1:28" s="1359" customFormat="1" ht="15.75" customHeight="1">
      <c r="A111" s="348"/>
      <c r="B111" s="2289"/>
      <c r="C111" s="153" t="s">
        <v>480</v>
      </c>
      <c r="D111" s="1389"/>
      <c r="E111" s="1371">
        <f>F111+G111</f>
        <v>492203.8037817853</v>
      </c>
      <c r="F111" s="1372">
        <f>F110</f>
        <v>340130.10378178529</v>
      </c>
      <c r="G111" s="1373">
        <f>G110</f>
        <v>152073.70000000001</v>
      </c>
      <c r="H111" s="1374">
        <v>514958</v>
      </c>
      <c r="I111" s="1375">
        <f>E111/H111</f>
        <v>0.95581349116196912</v>
      </c>
      <c r="J111" s="1376">
        <v>13655</v>
      </c>
      <c r="K111" s="1377">
        <f>J111/H111</f>
        <v>2.6516725635877102E-2</v>
      </c>
      <c r="L111" s="1378">
        <f>M111/J111</f>
        <v>0.110362504577078</v>
      </c>
      <c r="M111" s="146">
        <v>1507</v>
      </c>
      <c r="N111" s="146">
        <v>1279</v>
      </c>
      <c r="O111" s="1379">
        <f>N111/M111</f>
        <v>0.84870603848706039</v>
      </c>
      <c r="P111" s="147">
        <f>E111/M111</f>
        <v>326.61168134159607</v>
      </c>
      <c r="Q111" s="146">
        <f>E111/N111</f>
        <v>384.83487394979306</v>
      </c>
      <c r="R111" s="146">
        <f>N111*T107</f>
        <v>524390</v>
      </c>
      <c r="S111" s="1380">
        <f>R111/E111</f>
        <v>1.0653920103236021</v>
      </c>
      <c r="T111" s="2291"/>
      <c r="U111" s="1381"/>
      <c r="V111" s="1376"/>
      <c r="W111" s="1377"/>
      <c r="X111" s="1382"/>
      <c r="Y111" s="1382"/>
      <c r="Z111" s="146"/>
      <c r="AA111" s="1383"/>
      <c r="AB111" s="2382"/>
    </row>
    <row r="112" spans="1:28" s="1359" customFormat="1" ht="16.5">
      <c r="A112" s="398"/>
      <c r="H112" s="398"/>
      <c r="I112" s="398"/>
      <c r="J112" s="398"/>
      <c r="K112" s="337"/>
      <c r="L112" s="337"/>
      <c r="M112" s="338"/>
      <c r="N112" s="338"/>
      <c r="O112" s="338"/>
      <c r="P112" s="338"/>
      <c r="Q112" s="339"/>
      <c r="R112" s="398"/>
      <c r="S112" s="398"/>
      <c r="T112" s="398"/>
      <c r="U112" s="398"/>
      <c r="V112" s="398"/>
      <c r="W112" s="398"/>
      <c r="X112" s="398"/>
      <c r="Y112" s="398"/>
      <c r="Z112" s="398"/>
      <c r="AA112" s="398"/>
      <c r="AB112" s="398"/>
    </row>
    <row r="113" spans="1:28" s="1359" customFormat="1" ht="16.5">
      <c r="A113" s="398"/>
      <c r="B113" s="1865"/>
      <c r="C113" s="594"/>
      <c r="D113" s="594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</row>
    <row r="114" spans="1:28" s="1359" customFormat="1" ht="16.5">
      <c r="A114" s="398"/>
      <c r="B114" s="1865"/>
      <c r="C114" s="594"/>
      <c r="D114" s="594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  <c r="AA114" s="593"/>
      <c r="AB114" s="593"/>
    </row>
    <row r="115" spans="1:28" s="1359" customFormat="1" ht="16.5">
      <c r="A115" s="398"/>
      <c r="B115" s="248" t="s">
        <v>493</v>
      </c>
      <c r="C115" s="1866"/>
      <c r="D115" s="594"/>
      <c r="E115" s="593"/>
      <c r="F115" s="593"/>
      <c r="G115" s="593"/>
      <c r="H115" s="1358"/>
      <c r="I115" s="1358"/>
      <c r="J115" s="1358"/>
      <c r="K115" s="593"/>
      <c r="L115" s="593"/>
      <c r="M115" s="593"/>
      <c r="N115" s="593"/>
      <c r="O115" s="593"/>
      <c r="P115" s="593"/>
      <c r="Q115" s="593"/>
      <c r="R115" s="593"/>
      <c r="S115" s="593"/>
      <c r="T115" s="593"/>
      <c r="U115" s="593"/>
      <c r="V115" s="593"/>
      <c r="W115" s="593"/>
      <c r="X115" s="593"/>
      <c r="Y115" s="593"/>
      <c r="Z115" s="593"/>
      <c r="AA115" s="593"/>
      <c r="AB115" s="593"/>
    </row>
    <row r="116" spans="1:28" s="1359" customFormat="1" ht="16.5">
      <c r="A116" s="348"/>
      <c r="B116" s="2371" t="s">
        <v>467</v>
      </c>
      <c r="C116" s="2372" t="s">
        <v>468</v>
      </c>
      <c r="D116" s="2374" t="s">
        <v>469</v>
      </c>
      <c r="E116" s="2376" t="s">
        <v>470</v>
      </c>
      <c r="F116" s="2376"/>
      <c r="G116" s="2376"/>
      <c r="H116" s="2346" t="s">
        <v>28</v>
      </c>
      <c r="I116" s="2346"/>
      <c r="J116" s="2346"/>
      <c r="K116" s="2346"/>
      <c r="L116" s="2346"/>
      <c r="M116" s="2346"/>
      <c r="N116" s="2346"/>
      <c r="O116" s="2346"/>
      <c r="P116" s="2346"/>
      <c r="Q116" s="2346"/>
      <c r="R116" s="2346"/>
      <c r="S116" s="2346"/>
      <c r="T116" s="2346"/>
      <c r="U116" s="2349" t="s">
        <v>27</v>
      </c>
      <c r="V116" s="2349"/>
      <c r="W116" s="2349"/>
      <c r="X116" s="2349"/>
      <c r="Y116" s="2349"/>
      <c r="Z116" s="2349"/>
      <c r="AA116" s="2349"/>
      <c r="AB116" s="2379"/>
    </row>
    <row r="117" spans="1:28" s="1359" customFormat="1" ht="66">
      <c r="A117" s="349"/>
      <c r="B117" s="2371"/>
      <c r="C117" s="2372"/>
      <c r="D117" s="2374"/>
      <c r="E117" s="179" t="s">
        <v>471</v>
      </c>
      <c r="F117" s="178" t="s">
        <v>472</v>
      </c>
      <c r="G117" s="174" t="s">
        <v>473</v>
      </c>
      <c r="H117" s="406" t="s">
        <v>474</v>
      </c>
      <c r="I117" s="354" t="s">
        <v>475</v>
      </c>
      <c r="J117" s="351" t="s">
        <v>21</v>
      </c>
      <c r="K117" s="354" t="s">
        <v>20</v>
      </c>
      <c r="L117" s="354" t="s">
        <v>19</v>
      </c>
      <c r="M117" s="355" t="s">
        <v>18</v>
      </c>
      <c r="N117" s="354" t="s">
        <v>17</v>
      </c>
      <c r="O117" s="356" t="s">
        <v>16</v>
      </c>
      <c r="P117" s="357" t="s">
        <v>15</v>
      </c>
      <c r="Q117" s="354" t="s">
        <v>14</v>
      </c>
      <c r="R117" s="354" t="s">
        <v>13</v>
      </c>
      <c r="S117" s="354" t="s">
        <v>12</v>
      </c>
      <c r="T117" s="358" t="s">
        <v>11</v>
      </c>
      <c r="U117" s="407" t="s">
        <v>10</v>
      </c>
      <c r="V117" s="408" t="s">
        <v>9</v>
      </c>
      <c r="W117" s="409" t="s">
        <v>8</v>
      </c>
      <c r="X117" s="409" t="s">
        <v>7</v>
      </c>
      <c r="Y117" s="409" t="s">
        <v>6</v>
      </c>
      <c r="Z117" s="409" t="s">
        <v>5</v>
      </c>
      <c r="AA117" s="409" t="s">
        <v>4</v>
      </c>
      <c r="AB117" s="410" t="s">
        <v>3</v>
      </c>
    </row>
    <row r="118" spans="1:28" s="1359" customFormat="1" ht="16.5">
      <c r="A118" s="349"/>
      <c r="B118" s="1391" t="s">
        <v>494</v>
      </c>
      <c r="C118" s="1360" t="s">
        <v>881</v>
      </c>
      <c r="D118" s="184" t="s">
        <v>495</v>
      </c>
      <c r="E118" s="464">
        <f>F118+G118</f>
        <v>19198.527231661399</v>
      </c>
      <c r="F118" s="183">
        <v>19198.527231661399</v>
      </c>
      <c r="G118" s="183">
        <v>0</v>
      </c>
      <c r="H118" s="414">
        <v>1980</v>
      </c>
      <c r="I118" s="415">
        <f>E118/H118</f>
        <v>9.6962258745764647</v>
      </c>
      <c r="J118" s="416">
        <v>78</v>
      </c>
      <c r="K118" s="417">
        <f>J118/H118</f>
        <v>3.9393939393939391E-2</v>
      </c>
      <c r="L118" s="418">
        <f>M118/J118</f>
        <v>0.12820512820512819</v>
      </c>
      <c r="M118" s="155">
        <v>10</v>
      </c>
      <c r="N118" s="159">
        <v>3</v>
      </c>
      <c r="O118" s="1362">
        <f>N118/M118</f>
        <v>0.3</v>
      </c>
      <c r="P118" s="163">
        <f>E118/M118</f>
        <v>1919.8527231661399</v>
      </c>
      <c r="Q118" s="159">
        <f>E118/N118</f>
        <v>6399.5090772204667</v>
      </c>
      <c r="R118" s="155">
        <f>N118*T118</f>
        <v>1230</v>
      </c>
      <c r="S118" s="421">
        <f>R118/E118</f>
        <v>6.406741439893035E-2</v>
      </c>
      <c r="T118" s="2380">
        <v>410</v>
      </c>
      <c r="U118" s="422">
        <v>0</v>
      </c>
      <c r="V118" s="416">
        <v>0</v>
      </c>
      <c r="W118" s="417" t="s">
        <v>490</v>
      </c>
      <c r="X118" s="157" t="s">
        <v>490</v>
      </c>
      <c r="Y118" s="156" t="s">
        <v>490</v>
      </c>
      <c r="Z118" s="155">
        <f>V118*AB118</f>
        <v>0</v>
      </c>
      <c r="AA118" s="423">
        <f>Z118/E118</f>
        <v>0</v>
      </c>
      <c r="AB118" s="656">
        <v>460</v>
      </c>
    </row>
    <row r="119" spans="1:28" s="1359" customFormat="1" ht="16.5">
      <c r="A119" s="349"/>
      <c r="B119" s="1391" t="s">
        <v>496</v>
      </c>
      <c r="C119" s="1360" t="s">
        <v>882</v>
      </c>
      <c r="D119" s="184" t="s">
        <v>497</v>
      </c>
      <c r="E119" s="464">
        <f>F119+G119</f>
        <v>435227.57</v>
      </c>
      <c r="F119" s="183">
        <v>294551.87</v>
      </c>
      <c r="G119" s="183">
        <v>140675.70000000001</v>
      </c>
      <c r="H119" s="414">
        <v>486593</v>
      </c>
      <c r="I119" s="415">
        <f>E119/H119</f>
        <v>0.8944386170783386</v>
      </c>
      <c r="J119" s="416">
        <v>13077</v>
      </c>
      <c r="K119" s="417">
        <f>J119/H119</f>
        <v>2.6874615952140701E-2</v>
      </c>
      <c r="L119" s="418">
        <f>M119/J119</f>
        <v>0.11233463332568631</v>
      </c>
      <c r="M119" s="155">
        <v>1469</v>
      </c>
      <c r="N119" s="159">
        <v>1252</v>
      </c>
      <c r="O119" s="1362">
        <f>N119/M119</f>
        <v>0.85228046289993198</v>
      </c>
      <c r="P119" s="163">
        <f>E119/M119</f>
        <v>296.27472430224645</v>
      </c>
      <c r="Q119" s="159">
        <f>E119/N119</f>
        <v>347.62585463258785</v>
      </c>
      <c r="R119" s="155">
        <f>N119*T118</f>
        <v>513320</v>
      </c>
      <c r="S119" s="421">
        <f>R119/E119</f>
        <v>1.1794289594292016</v>
      </c>
      <c r="T119" s="2290"/>
      <c r="U119" s="422">
        <v>526</v>
      </c>
      <c r="V119" s="416">
        <v>473</v>
      </c>
      <c r="W119" s="417">
        <f>V119/U119</f>
        <v>0.89923954372623571</v>
      </c>
      <c r="X119" s="157">
        <f>E119/U119</f>
        <v>827.42884030418247</v>
      </c>
      <c r="Y119" s="156">
        <f>E119/V119</f>
        <v>920.14285412262154</v>
      </c>
      <c r="Z119" s="155">
        <f>V119*AB119</f>
        <v>142846</v>
      </c>
      <c r="AA119" s="1388">
        <f>Z119/E119</f>
        <v>0.32820990637151043</v>
      </c>
      <c r="AB119" s="656">
        <v>302</v>
      </c>
    </row>
    <row r="120" spans="1:28" s="1359" customFormat="1" ht="16.5">
      <c r="A120" s="349"/>
      <c r="B120" s="1391" t="s">
        <v>498</v>
      </c>
      <c r="C120" s="1360" t="s">
        <v>883</v>
      </c>
      <c r="D120" s="184" t="s">
        <v>499</v>
      </c>
      <c r="E120" s="464">
        <f>F120+G120</f>
        <v>11522.23</v>
      </c>
      <c r="F120" s="183">
        <v>124.23</v>
      </c>
      <c r="G120" s="183">
        <v>11398</v>
      </c>
      <c r="H120" s="414">
        <v>1292</v>
      </c>
      <c r="I120" s="415">
        <f>E120/H120</f>
        <v>8.9181346749225998</v>
      </c>
      <c r="J120" s="416">
        <v>10</v>
      </c>
      <c r="K120" s="417">
        <f>J120/H120</f>
        <v>7.7399380804953561E-3</v>
      </c>
      <c r="L120" s="418">
        <f>M120/J120</f>
        <v>0</v>
      </c>
      <c r="M120" s="155">
        <v>0</v>
      </c>
      <c r="N120" s="159">
        <v>0</v>
      </c>
      <c r="O120" s="1362" t="s">
        <v>490</v>
      </c>
      <c r="P120" s="163" t="s">
        <v>490</v>
      </c>
      <c r="Q120" s="159" t="s">
        <v>490</v>
      </c>
      <c r="R120" s="155">
        <f>N120*T118</f>
        <v>0</v>
      </c>
      <c r="S120" s="421">
        <f>R120/E120</f>
        <v>0</v>
      </c>
      <c r="T120" s="2290"/>
      <c r="U120" s="422">
        <v>0</v>
      </c>
      <c r="V120" s="416">
        <v>0</v>
      </c>
      <c r="W120" s="417" t="s">
        <v>490</v>
      </c>
      <c r="X120" s="157" t="s">
        <v>490</v>
      </c>
      <c r="Y120" s="156" t="s">
        <v>490</v>
      </c>
      <c r="Z120" s="155">
        <f>V120*AB120</f>
        <v>0</v>
      </c>
      <c r="AA120" s="1388">
        <f>Z120/E120</f>
        <v>0</v>
      </c>
      <c r="AB120" s="656">
        <v>258</v>
      </c>
    </row>
    <row r="121" spans="1:28" s="1359" customFormat="1" ht="15.75" customHeight="1">
      <c r="A121" s="348"/>
      <c r="B121" s="2338" t="s">
        <v>496</v>
      </c>
      <c r="C121" s="424" t="s">
        <v>479</v>
      </c>
      <c r="D121" s="425"/>
      <c r="E121" s="469">
        <f>F121+G121</f>
        <v>465948.32723166136</v>
      </c>
      <c r="F121" s="470">
        <f>F118+F119+F120</f>
        <v>313874.62723166135</v>
      </c>
      <c r="G121" s="471">
        <f>G118+G119+G120</f>
        <v>152073.70000000001</v>
      </c>
      <c r="H121" s="429">
        <f>SUM(H118:H120)</f>
        <v>489865</v>
      </c>
      <c r="I121" s="430">
        <f>E121/H121</f>
        <v>0.95117701250683628</v>
      </c>
      <c r="J121" s="1364">
        <f>SUM(J118:J120)</f>
        <v>13165</v>
      </c>
      <c r="K121" s="432">
        <f>J121/H121</f>
        <v>2.6874751206965183E-2</v>
      </c>
      <c r="L121" s="1365">
        <f>M121/J121</f>
        <v>0.11234333459931636</v>
      </c>
      <c r="M121" s="431">
        <f>SUM(M118:M120)</f>
        <v>1479</v>
      </c>
      <c r="N121" s="431">
        <f>SUM(N118:N120)</f>
        <v>1255</v>
      </c>
      <c r="O121" s="1366">
        <f>N121/M121</f>
        <v>0.84854631507775524</v>
      </c>
      <c r="P121" s="475">
        <f>E121/M121</f>
        <v>315.04281760085286</v>
      </c>
      <c r="Q121" s="431">
        <f>E121/N121</f>
        <v>371.27356751526804</v>
      </c>
      <c r="R121" s="431">
        <f>N121*T118</f>
        <v>514550</v>
      </c>
      <c r="S121" s="434">
        <f>R121/E121</f>
        <v>1.1043070012872367</v>
      </c>
      <c r="T121" s="2290"/>
      <c r="U121" s="1367">
        <f>SUM(U118:U120)</f>
        <v>526</v>
      </c>
      <c r="V121" s="1364">
        <f>SUM(V118:V120)</f>
        <v>473</v>
      </c>
      <c r="W121" s="432">
        <f>V121/U121</f>
        <v>0.89923954372623571</v>
      </c>
      <c r="X121" s="1368">
        <f>E121/U121</f>
        <v>885.8333217331965</v>
      </c>
      <c r="Y121" s="1368">
        <f>E121/V121</f>
        <v>985.09160091260333</v>
      </c>
      <c r="Z121" s="431">
        <f>V121*AB121</f>
        <v>193930</v>
      </c>
      <c r="AA121" s="1369">
        <f>Z121/E121</f>
        <v>0.41620494948913378</v>
      </c>
      <c r="AB121" s="2381">
        <v>410</v>
      </c>
    </row>
    <row r="122" spans="1:28" s="1359" customFormat="1" ht="15.75" customHeight="1">
      <c r="A122" s="348"/>
      <c r="B122" s="2289"/>
      <c r="C122" s="153" t="s">
        <v>480</v>
      </c>
      <c r="D122" s="1389"/>
      <c r="E122" s="1371">
        <f>F122+G122</f>
        <v>465948.32723166136</v>
      </c>
      <c r="F122" s="1372">
        <f>F121</f>
        <v>313874.62723166135</v>
      </c>
      <c r="G122" s="1373">
        <f>G121</f>
        <v>152073.70000000001</v>
      </c>
      <c r="H122" s="1374">
        <v>487546</v>
      </c>
      <c r="I122" s="1375">
        <f>E122/H122</f>
        <v>0.95570126148437551</v>
      </c>
      <c r="J122" s="1376">
        <v>13104</v>
      </c>
      <c r="K122" s="1377">
        <f>J122/H122</f>
        <v>2.6877463870075849E-2</v>
      </c>
      <c r="L122" s="1378">
        <f>M122/J122</f>
        <v>0.11256105006105006</v>
      </c>
      <c r="M122" s="146">
        <v>1475</v>
      </c>
      <c r="N122" s="146">
        <v>1253</v>
      </c>
      <c r="O122" s="1379">
        <f>N122/M122</f>
        <v>0.84949152542372885</v>
      </c>
      <c r="P122" s="147">
        <f>E122/M122</f>
        <v>315.89717100451617</v>
      </c>
      <c r="Q122" s="146">
        <f>E122/N122</f>
        <v>371.86618294625805</v>
      </c>
      <c r="R122" s="146">
        <f>N122*T118</f>
        <v>513730</v>
      </c>
      <c r="S122" s="1380">
        <f>R122/E122</f>
        <v>1.1025471494923564</v>
      </c>
      <c r="T122" s="2291"/>
      <c r="U122" s="1381"/>
      <c r="V122" s="1376"/>
      <c r="W122" s="1377"/>
      <c r="X122" s="1382"/>
      <c r="Y122" s="1382"/>
      <c r="Z122" s="146"/>
      <c r="AA122" s="1383"/>
      <c r="AB122" s="2382"/>
    </row>
    <row r="123" spans="1:28" s="1359" customFormat="1" ht="16.5">
      <c r="A123" s="398"/>
      <c r="H123" s="398"/>
      <c r="I123" s="398"/>
      <c r="J123" s="1393"/>
      <c r="K123" s="337"/>
      <c r="L123" s="337"/>
      <c r="M123" s="338"/>
      <c r="N123" s="338"/>
      <c r="O123" s="338"/>
      <c r="P123" s="338"/>
      <c r="Q123" s="339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</row>
    <row r="124" spans="1:28" s="1359" customFormat="1" ht="16.5">
      <c r="A124" s="398"/>
      <c r="H124" s="1393"/>
      <c r="I124" s="398"/>
      <c r="J124" s="398"/>
      <c r="K124" s="337"/>
      <c r="L124" s="337"/>
      <c r="M124" s="338"/>
      <c r="N124" s="338"/>
      <c r="O124" s="338"/>
      <c r="P124" s="338"/>
      <c r="Q124" s="339"/>
      <c r="R124" s="398"/>
      <c r="S124" s="398"/>
      <c r="T124" s="398"/>
      <c r="U124" s="398"/>
      <c r="V124" s="398"/>
      <c r="W124" s="398"/>
      <c r="X124" s="398"/>
      <c r="Y124" s="398"/>
      <c r="Z124" s="398"/>
      <c r="AA124" s="398"/>
      <c r="AB124" s="398"/>
    </row>
    <row r="127" spans="1:28" ht="14.5">
      <c r="B127" s="248" t="s">
        <v>500</v>
      </c>
    </row>
    <row r="128" spans="1:28" ht="16.5">
      <c r="B128" s="2371" t="s">
        <v>467</v>
      </c>
      <c r="C128" s="2372" t="s">
        <v>468</v>
      </c>
      <c r="D128" s="2374" t="s">
        <v>469</v>
      </c>
      <c r="E128" s="2376" t="s">
        <v>470</v>
      </c>
      <c r="F128" s="2376"/>
      <c r="G128" s="2376"/>
      <c r="H128" s="2346" t="s">
        <v>28</v>
      </c>
      <c r="I128" s="2346"/>
      <c r="J128" s="2346"/>
      <c r="K128" s="2346"/>
      <c r="L128" s="2346"/>
      <c r="M128" s="2346"/>
      <c r="N128" s="2346"/>
      <c r="O128" s="2346"/>
      <c r="P128" s="2346"/>
      <c r="Q128" s="2346"/>
      <c r="R128" s="2346"/>
      <c r="S128" s="2346"/>
      <c r="T128" s="2346"/>
      <c r="U128" s="2349" t="s">
        <v>501</v>
      </c>
      <c r="V128" s="2349"/>
      <c r="W128" s="2349"/>
      <c r="X128" s="2349"/>
      <c r="Y128" s="2349"/>
      <c r="Z128" s="2349"/>
      <c r="AA128" s="2349"/>
      <c r="AB128" s="2379"/>
    </row>
    <row r="129" spans="2:28" ht="66">
      <c r="B129" s="2371"/>
      <c r="C129" s="2372"/>
      <c r="D129" s="2374"/>
      <c r="E129" s="179" t="s">
        <v>471</v>
      </c>
      <c r="F129" s="178" t="s">
        <v>472</v>
      </c>
      <c r="G129" s="174" t="s">
        <v>473</v>
      </c>
      <c r="H129" s="406" t="s">
        <v>474</v>
      </c>
      <c r="I129" s="354" t="s">
        <v>475</v>
      </c>
      <c r="J129" s="351" t="s">
        <v>502</v>
      </c>
      <c r="K129" s="354" t="s">
        <v>20</v>
      </c>
      <c r="L129" s="354" t="s">
        <v>19</v>
      </c>
      <c r="M129" s="355" t="s">
        <v>18</v>
      </c>
      <c r="N129" s="354" t="s">
        <v>17</v>
      </c>
      <c r="O129" s="356" t="s">
        <v>16</v>
      </c>
      <c r="P129" s="357" t="s">
        <v>15</v>
      </c>
      <c r="Q129" s="354" t="s">
        <v>14</v>
      </c>
      <c r="R129" s="354" t="s">
        <v>13</v>
      </c>
      <c r="S129" s="354" t="s">
        <v>12</v>
      </c>
      <c r="T129" s="358" t="s">
        <v>11</v>
      </c>
      <c r="U129" s="1394" t="s">
        <v>10</v>
      </c>
      <c r="V129" s="1395" t="s">
        <v>9</v>
      </c>
      <c r="W129" s="1396" t="s">
        <v>8</v>
      </c>
      <c r="X129" s="1396" t="s">
        <v>7</v>
      </c>
      <c r="Y129" s="1396" t="s">
        <v>6</v>
      </c>
      <c r="Z129" s="1396" t="s">
        <v>5</v>
      </c>
      <c r="AA129" s="1396" t="s">
        <v>4</v>
      </c>
      <c r="AB129" s="1397" t="s">
        <v>3</v>
      </c>
    </row>
    <row r="130" spans="2:28" ht="16.5">
      <c r="B130" s="2338" t="s">
        <v>503</v>
      </c>
      <c r="C130" s="169" t="s">
        <v>881</v>
      </c>
      <c r="D130" s="184" t="s">
        <v>503</v>
      </c>
      <c r="E130" s="464">
        <f>F130+G130</f>
        <v>469146.26882164303</v>
      </c>
      <c r="F130" s="183">
        <v>380146.26882164303</v>
      </c>
      <c r="G130" s="183">
        <v>89000</v>
      </c>
      <c r="H130" s="414">
        <v>200772</v>
      </c>
      <c r="I130" s="415">
        <f>E130/H130</f>
        <v>2.3367116371886669</v>
      </c>
      <c r="J130" s="416">
        <v>8250</v>
      </c>
      <c r="K130" s="417">
        <f>J130/H130</f>
        <v>4.1091387245233396E-2</v>
      </c>
      <c r="L130" s="418">
        <f>M130/J130</f>
        <v>0.15709090909090909</v>
      </c>
      <c r="M130" s="155">
        <v>1296</v>
      </c>
      <c r="N130" s="159">
        <v>1055</v>
      </c>
      <c r="O130" s="1362">
        <f>N130/M130</f>
        <v>0.81404320987654322</v>
      </c>
      <c r="P130" s="163">
        <f>E130/M130</f>
        <v>361.99557779447764</v>
      </c>
      <c r="Q130" s="159">
        <f>E130/N130</f>
        <v>444.68840646601234</v>
      </c>
      <c r="R130" s="155">
        <f>N130*T130</f>
        <v>529937.05000000005</v>
      </c>
      <c r="S130" s="421">
        <f>R130/E130</f>
        <v>1.1295774584993408</v>
      </c>
      <c r="T130" s="1349">
        <v>502.31</v>
      </c>
      <c r="U130" s="422">
        <v>534</v>
      </c>
      <c r="V130" s="416">
        <v>455</v>
      </c>
      <c r="W130" s="417">
        <f>V130/U130</f>
        <v>0.85205992509363293</v>
      </c>
      <c r="X130" s="157">
        <f>E130/U130</f>
        <v>878.55106520906929</v>
      </c>
      <c r="Y130" s="156">
        <f>E130/V130</f>
        <v>1031.0907007069077</v>
      </c>
      <c r="Z130" s="155">
        <f>V130*AB130</f>
        <v>229165.30000000002</v>
      </c>
      <c r="AA130" s="423">
        <f>Z130/E130</f>
        <v>0.48847303118406038</v>
      </c>
      <c r="AB130" s="656">
        <v>503.66</v>
      </c>
    </row>
    <row r="131" spans="2:28" ht="16.5">
      <c r="B131" s="2289"/>
      <c r="C131" s="437" t="s">
        <v>504</v>
      </c>
      <c r="D131" s="438"/>
      <c r="E131" s="472">
        <f t="shared" ref="E131:AB131" si="0">E130</f>
        <v>469146.26882164303</v>
      </c>
      <c r="F131" s="473">
        <f t="shared" si="0"/>
        <v>380146.26882164303</v>
      </c>
      <c r="G131" s="474">
        <f t="shared" si="0"/>
        <v>89000</v>
      </c>
      <c r="H131" s="144">
        <f t="shared" si="0"/>
        <v>200772</v>
      </c>
      <c r="I131" s="442">
        <f t="shared" si="0"/>
        <v>2.3367116371886669</v>
      </c>
      <c r="J131" s="443">
        <f t="shared" si="0"/>
        <v>8250</v>
      </c>
      <c r="K131" s="444">
        <f t="shared" si="0"/>
        <v>4.1091387245233396E-2</v>
      </c>
      <c r="L131" s="445">
        <f t="shared" si="0"/>
        <v>0.15709090909090909</v>
      </c>
      <c r="M131" s="141">
        <f t="shared" si="0"/>
        <v>1296</v>
      </c>
      <c r="N131" s="141">
        <f t="shared" si="0"/>
        <v>1055</v>
      </c>
      <c r="O131" s="1398">
        <f t="shared" si="0"/>
        <v>0.81404320987654322</v>
      </c>
      <c r="P131" s="478">
        <f t="shared" si="0"/>
        <v>361.99557779447764</v>
      </c>
      <c r="Q131" s="141">
        <f t="shared" si="0"/>
        <v>444.68840646601234</v>
      </c>
      <c r="R131" s="141">
        <f t="shared" si="0"/>
        <v>529937.05000000005</v>
      </c>
      <c r="S131" s="447">
        <f t="shared" si="0"/>
        <v>1.1295774584993408</v>
      </c>
      <c r="T131" s="1399">
        <f t="shared" si="0"/>
        <v>502.31</v>
      </c>
      <c r="U131" s="448">
        <f t="shared" si="0"/>
        <v>534</v>
      </c>
      <c r="V131" s="443">
        <f t="shared" si="0"/>
        <v>455</v>
      </c>
      <c r="W131" s="444">
        <f t="shared" si="0"/>
        <v>0.85205992509363293</v>
      </c>
      <c r="X131" s="480">
        <f t="shared" si="0"/>
        <v>878.55106520906929</v>
      </c>
      <c r="Y131" s="480">
        <f t="shared" si="0"/>
        <v>1031.0907007069077</v>
      </c>
      <c r="Z131" s="141">
        <f t="shared" si="0"/>
        <v>229165.30000000002</v>
      </c>
      <c r="AA131" s="449">
        <f t="shared" si="0"/>
        <v>0.48847303118406038</v>
      </c>
      <c r="AB131" s="479">
        <f t="shared" si="0"/>
        <v>503.66</v>
      </c>
    </row>
    <row r="134" spans="2:28" ht="14.5">
      <c r="B134" s="1400"/>
    </row>
    <row r="135" spans="2:28" ht="14.5">
      <c r="B135" s="1400"/>
    </row>
    <row r="136" spans="2:28" ht="16.5">
      <c r="B136" s="248" t="s">
        <v>505</v>
      </c>
      <c r="C136" s="1866"/>
      <c r="D136" s="594"/>
      <c r="E136" s="593"/>
      <c r="F136" s="593"/>
      <c r="G136" s="593"/>
      <c r="H136" s="593"/>
      <c r="I136" s="593"/>
      <c r="J136" s="593"/>
      <c r="K136" s="593"/>
      <c r="L136" s="593"/>
      <c r="M136" s="593"/>
      <c r="N136" s="593"/>
      <c r="O136" s="593"/>
      <c r="P136" s="593"/>
      <c r="Q136" s="593"/>
      <c r="R136" s="593"/>
      <c r="S136" s="593"/>
      <c r="T136" s="593"/>
      <c r="U136" s="593"/>
      <c r="V136" s="593"/>
      <c r="W136" s="593"/>
      <c r="X136" s="593"/>
      <c r="Y136" s="593"/>
      <c r="Z136" s="593"/>
      <c r="AA136" s="593"/>
      <c r="AB136" s="593"/>
    </row>
    <row r="137" spans="2:28" ht="16.5">
      <c r="B137" s="2371" t="s">
        <v>467</v>
      </c>
      <c r="C137" s="2372" t="s">
        <v>468</v>
      </c>
      <c r="D137" s="2374" t="s">
        <v>469</v>
      </c>
      <c r="E137" s="2376" t="s">
        <v>470</v>
      </c>
      <c r="F137" s="2376"/>
      <c r="G137" s="2376"/>
      <c r="H137" s="2346" t="s">
        <v>28</v>
      </c>
      <c r="I137" s="2346"/>
      <c r="J137" s="2346"/>
      <c r="K137" s="2346"/>
      <c r="L137" s="2346"/>
      <c r="M137" s="2346"/>
      <c r="N137" s="2346"/>
      <c r="O137" s="2346"/>
      <c r="P137" s="2346"/>
      <c r="Q137" s="2346"/>
      <c r="R137" s="2346"/>
      <c r="S137" s="2346"/>
      <c r="T137" s="2346"/>
      <c r="U137" s="2349" t="s">
        <v>27</v>
      </c>
      <c r="V137" s="2349"/>
      <c r="W137" s="2349"/>
      <c r="X137" s="2349"/>
      <c r="Y137" s="2349"/>
      <c r="Z137" s="2349"/>
      <c r="AA137" s="2349"/>
      <c r="AB137" s="2379"/>
    </row>
    <row r="138" spans="2:28" ht="66">
      <c r="B138" s="2371"/>
      <c r="C138" s="2372"/>
      <c r="D138" s="2374"/>
      <c r="E138" s="179" t="s">
        <v>471</v>
      </c>
      <c r="F138" s="178" t="s">
        <v>472</v>
      </c>
      <c r="G138" s="174" t="s">
        <v>473</v>
      </c>
      <c r="H138" s="406" t="s">
        <v>474</v>
      </c>
      <c r="I138" s="354" t="s">
        <v>475</v>
      </c>
      <c r="J138" s="351" t="s">
        <v>21</v>
      </c>
      <c r="K138" s="354" t="s">
        <v>20</v>
      </c>
      <c r="L138" s="354" t="s">
        <v>19</v>
      </c>
      <c r="M138" s="355" t="s">
        <v>18</v>
      </c>
      <c r="N138" s="354" t="s">
        <v>17</v>
      </c>
      <c r="O138" s="356" t="s">
        <v>16</v>
      </c>
      <c r="P138" s="357" t="s">
        <v>15</v>
      </c>
      <c r="Q138" s="354" t="s">
        <v>14</v>
      </c>
      <c r="R138" s="354" t="s">
        <v>13</v>
      </c>
      <c r="S138" s="354" t="s">
        <v>12</v>
      </c>
      <c r="T138" s="358" t="s">
        <v>11</v>
      </c>
      <c r="U138" s="407" t="s">
        <v>10</v>
      </c>
      <c r="V138" s="408" t="s">
        <v>9</v>
      </c>
      <c r="W138" s="409" t="s">
        <v>8</v>
      </c>
      <c r="X138" s="409" t="s">
        <v>7</v>
      </c>
      <c r="Y138" s="409" t="s">
        <v>6</v>
      </c>
      <c r="Z138" s="409" t="s">
        <v>5</v>
      </c>
      <c r="AA138" s="409" t="s">
        <v>4</v>
      </c>
      <c r="AB138" s="410" t="s">
        <v>3</v>
      </c>
    </row>
    <row r="139" spans="2:28" ht="16.5">
      <c r="B139" s="2338" t="s">
        <v>506</v>
      </c>
      <c r="C139" s="169" t="s">
        <v>881</v>
      </c>
      <c r="D139" s="184" t="s">
        <v>507</v>
      </c>
      <c r="E139" s="464">
        <f>F139+G139</f>
        <v>718823.06</v>
      </c>
      <c r="F139" s="183">
        <v>118823.06</v>
      </c>
      <c r="G139" s="183">
        <v>600000</v>
      </c>
      <c r="H139" s="414">
        <v>886605</v>
      </c>
      <c r="I139" s="415">
        <f>E139/H139</f>
        <v>0.81075908662820539</v>
      </c>
      <c r="J139" s="416">
        <v>23124</v>
      </c>
      <c r="K139" s="417">
        <f>J139/H139</f>
        <v>2.6081513187947283E-2</v>
      </c>
      <c r="L139" s="418">
        <f>M139/J139</f>
        <v>8.3506313786542122E-2</v>
      </c>
      <c r="M139" s="155">
        <v>1931</v>
      </c>
      <c r="N139" s="159">
        <v>1645</v>
      </c>
      <c r="O139" s="1362">
        <f>N139/M139</f>
        <v>0.85189021232522011</v>
      </c>
      <c r="P139" s="163">
        <f>E139/M139</f>
        <v>372.25430346970484</v>
      </c>
      <c r="Q139" s="159">
        <f>E139/N139</f>
        <v>436.97450455927054</v>
      </c>
      <c r="R139" s="155">
        <f>N139*T139</f>
        <v>534625</v>
      </c>
      <c r="S139" s="421">
        <f>R139/E139</f>
        <v>0.74375048568976065</v>
      </c>
      <c r="T139" s="2380">
        <v>325</v>
      </c>
      <c r="U139" s="422">
        <v>1158</v>
      </c>
      <c r="V139" s="416">
        <v>1027</v>
      </c>
      <c r="W139" s="417">
        <f>V139/U139</f>
        <v>0.886873920552677</v>
      </c>
      <c r="X139" s="157">
        <f>E139/U139</f>
        <v>620.74530224525051</v>
      </c>
      <c r="Y139" s="156">
        <f>E139/V139</f>
        <v>699.92508276533601</v>
      </c>
      <c r="Z139" s="155">
        <f>V139*AB139</f>
        <v>390260</v>
      </c>
      <c r="AA139" s="423">
        <f>Z139/E139</f>
        <v>0.54291524815578396</v>
      </c>
      <c r="AB139" s="656">
        <v>380</v>
      </c>
    </row>
    <row r="140" spans="2:28" ht="16.5">
      <c r="B140" s="2338"/>
      <c r="C140" s="169" t="s">
        <v>884</v>
      </c>
      <c r="D140" s="184" t="s">
        <v>508</v>
      </c>
      <c r="E140" s="464">
        <f>F140+G140</f>
        <v>947334.96</v>
      </c>
      <c r="F140" s="183">
        <v>47334.96</v>
      </c>
      <c r="G140" s="183">
        <v>900000</v>
      </c>
      <c r="H140" s="414">
        <v>117016</v>
      </c>
      <c r="I140" s="415">
        <f>E140/H140</f>
        <v>8.0957728857592119</v>
      </c>
      <c r="J140" s="416">
        <v>4549</v>
      </c>
      <c r="K140" s="417">
        <f>J140/H140</f>
        <v>3.8875025637519656E-2</v>
      </c>
      <c r="L140" s="418">
        <f>M140/J140</f>
        <v>6.7267531325566052E-2</v>
      </c>
      <c r="M140" s="155">
        <v>306</v>
      </c>
      <c r="N140" s="159">
        <v>255</v>
      </c>
      <c r="O140" s="1362">
        <f>N140/M140</f>
        <v>0.83333333333333337</v>
      </c>
      <c r="P140" s="163">
        <f>E140/M140</f>
        <v>3095.8658823529408</v>
      </c>
      <c r="Q140" s="159">
        <f>E140/N140</f>
        <v>3715.0390588235291</v>
      </c>
      <c r="R140" s="155">
        <f>N140*T139</f>
        <v>82875</v>
      </c>
      <c r="S140" s="421">
        <f>R140/E140</f>
        <v>8.7482256539967662E-2</v>
      </c>
      <c r="T140" s="2369"/>
      <c r="U140" s="422">
        <v>118</v>
      </c>
      <c r="V140" s="416">
        <v>105</v>
      </c>
      <c r="W140" s="417">
        <f>V140/U140</f>
        <v>0.88983050847457623</v>
      </c>
      <c r="X140" s="157">
        <f>E140/U140</f>
        <v>8028.262372881356</v>
      </c>
      <c r="Y140" s="156">
        <f>E140/V140</f>
        <v>9022.2377142857131</v>
      </c>
      <c r="Z140" s="155">
        <f>V140*AB140</f>
        <v>40950</v>
      </c>
      <c r="AA140" s="1388">
        <f>Z140/E140</f>
        <v>4.3226526760925199E-2</v>
      </c>
      <c r="AB140" s="656">
        <v>390</v>
      </c>
    </row>
    <row r="141" spans="2:28" ht="16.5">
      <c r="B141" s="2338"/>
      <c r="C141" s="424" t="s">
        <v>479</v>
      </c>
      <c r="D141" s="425"/>
      <c r="E141" s="469">
        <f>F141+G141</f>
        <v>1666158.02</v>
      </c>
      <c r="F141" s="470">
        <f>F139+F140</f>
        <v>166158.01999999999</v>
      </c>
      <c r="G141" s="471">
        <f>G139+G140</f>
        <v>1500000</v>
      </c>
      <c r="H141" s="429">
        <f>SUM(H139:H140)</f>
        <v>1003621</v>
      </c>
      <c r="I141" s="430">
        <f>E141/H141</f>
        <v>1.6601466290561875</v>
      </c>
      <c r="J141" s="1364">
        <f>SUM(J139:J140)</f>
        <v>27673</v>
      </c>
      <c r="K141" s="432">
        <f>J141/H141</f>
        <v>2.7573157596343639E-2</v>
      </c>
      <c r="L141" s="1365">
        <f>M141/J141</f>
        <v>8.0836916850359555E-2</v>
      </c>
      <c r="M141" s="431">
        <f>SUM(M139:M140)</f>
        <v>2237</v>
      </c>
      <c r="N141" s="431">
        <f>SUM(N139:N140)</f>
        <v>1900</v>
      </c>
      <c r="O141" s="1366">
        <f>N141/M141</f>
        <v>0.84935181046043806</v>
      </c>
      <c r="P141" s="475">
        <f>E141/M141</f>
        <v>744.81806884219941</v>
      </c>
      <c r="Q141" s="431">
        <f>E141/N141</f>
        <v>876.92527368421054</v>
      </c>
      <c r="R141" s="431">
        <f>N141*T139</f>
        <v>617500</v>
      </c>
      <c r="S141" s="434">
        <f>R141/E141</f>
        <v>0.37061310667279923</v>
      </c>
      <c r="T141" s="1401"/>
      <c r="U141" s="1367">
        <f>SUM(U139:U140)</f>
        <v>1276</v>
      </c>
      <c r="V141" s="1364">
        <f>SUM(V139:V140)</f>
        <v>1132</v>
      </c>
      <c r="W141" s="432">
        <f>V141/U141</f>
        <v>0.88714733542319746</v>
      </c>
      <c r="X141" s="1368">
        <f>E141/U141</f>
        <v>1305.7664733542319</v>
      </c>
      <c r="Y141" s="1368">
        <f>E141/V141</f>
        <v>1471.8710424028268</v>
      </c>
      <c r="Z141" s="431">
        <f>V141*AB141</f>
        <v>367900</v>
      </c>
      <c r="AA141" s="1369">
        <f>Z141/E141</f>
        <v>0.22080738776505723</v>
      </c>
      <c r="AB141" s="476">
        <v>325</v>
      </c>
    </row>
    <row r="142" spans="2:28" ht="16.5">
      <c r="B142" s="2289"/>
      <c r="C142" s="153" t="s">
        <v>480</v>
      </c>
      <c r="D142" s="1389"/>
      <c r="E142" s="1371">
        <f>F142+G142</f>
        <v>1666158.02</v>
      </c>
      <c r="F142" s="1372">
        <f>F141</f>
        <v>166158.01999999999</v>
      </c>
      <c r="G142" s="1373">
        <f>G141</f>
        <v>1500000</v>
      </c>
      <c r="H142" s="1374">
        <v>993201</v>
      </c>
      <c r="I142" s="1375">
        <f>E142/H142</f>
        <v>1.6775637761137978</v>
      </c>
      <c r="J142" s="1376">
        <v>26629</v>
      </c>
      <c r="K142" s="1377">
        <f>J142/H142</f>
        <v>2.6811289960441038E-2</v>
      </c>
      <c r="L142" s="1378">
        <f>M142/J142</f>
        <v>7.9687558676630743E-2</v>
      </c>
      <c r="M142" s="146">
        <v>2122</v>
      </c>
      <c r="N142" s="146">
        <v>1796</v>
      </c>
      <c r="O142" s="1379">
        <f>N142/M142</f>
        <v>0.84637134778510836</v>
      </c>
      <c r="P142" s="147">
        <f>E142/M142</f>
        <v>785.18285579641849</v>
      </c>
      <c r="Q142" s="146">
        <f>E142/N142</f>
        <v>927.70491091314034</v>
      </c>
      <c r="R142" s="146">
        <f>N142*T139</f>
        <v>583700</v>
      </c>
      <c r="S142" s="1380">
        <f>R142/E142</f>
        <v>0.35032691557070916</v>
      </c>
      <c r="T142" s="1402"/>
      <c r="U142" s="1381"/>
      <c r="V142" s="1376"/>
      <c r="W142" s="1377"/>
      <c r="X142" s="1382"/>
      <c r="Y142" s="1382"/>
      <c r="Z142" s="146"/>
      <c r="AA142" s="1383"/>
      <c r="AB142" s="1384"/>
    </row>
    <row r="143" spans="2:28" ht="14.5">
      <c r="B143" s="1400"/>
    </row>
    <row r="144" spans="2:28" ht="14.5">
      <c r="B144" s="1400"/>
    </row>
    <row r="145" spans="2:28" ht="14.5">
      <c r="B145" s="1400"/>
    </row>
    <row r="146" spans="2:28" ht="14.5">
      <c r="B146" s="248" t="s">
        <v>509</v>
      </c>
    </row>
    <row r="147" spans="2:28" ht="16.5">
      <c r="B147" s="2371" t="s">
        <v>467</v>
      </c>
      <c r="C147" s="2372" t="s">
        <v>468</v>
      </c>
      <c r="D147" s="2374" t="s">
        <v>469</v>
      </c>
      <c r="E147" s="2376" t="s">
        <v>470</v>
      </c>
      <c r="F147" s="2376"/>
      <c r="G147" s="2376"/>
      <c r="H147" s="2346" t="s">
        <v>28</v>
      </c>
      <c r="I147" s="2346"/>
      <c r="J147" s="2346"/>
      <c r="K147" s="2346"/>
      <c r="L147" s="2346"/>
      <c r="M147" s="2346"/>
      <c r="N147" s="2346"/>
      <c r="O147" s="2346"/>
      <c r="P147" s="2346"/>
      <c r="Q147" s="2346"/>
      <c r="R147" s="2346"/>
      <c r="S147" s="2346"/>
      <c r="T147" s="2346"/>
      <c r="U147" s="2349" t="s">
        <v>27</v>
      </c>
      <c r="V147" s="2349"/>
      <c r="W147" s="2349"/>
      <c r="X147" s="2349"/>
      <c r="Y147" s="2349"/>
      <c r="Z147" s="2349"/>
      <c r="AA147" s="2349"/>
      <c r="AB147" s="2379"/>
    </row>
    <row r="148" spans="2:28" ht="66">
      <c r="B148" s="2371"/>
      <c r="C148" s="2372"/>
      <c r="D148" s="2374"/>
      <c r="E148" s="179" t="s">
        <v>471</v>
      </c>
      <c r="F148" s="178" t="s">
        <v>472</v>
      </c>
      <c r="G148" s="174" t="s">
        <v>473</v>
      </c>
      <c r="H148" s="406" t="s">
        <v>474</v>
      </c>
      <c r="I148" s="354" t="s">
        <v>475</v>
      </c>
      <c r="J148" s="351" t="s">
        <v>21</v>
      </c>
      <c r="K148" s="354" t="s">
        <v>20</v>
      </c>
      <c r="L148" s="354" t="s">
        <v>19</v>
      </c>
      <c r="M148" s="355" t="s">
        <v>18</v>
      </c>
      <c r="N148" s="354" t="s">
        <v>17</v>
      </c>
      <c r="O148" s="356" t="s">
        <v>16</v>
      </c>
      <c r="P148" s="357" t="s">
        <v>15</v>
      </c>
      <c r="Q148" s="354" t="s">
        <v>14</v>
      </c>
      <c r="R148" s="354" t="s">
        <v>13</v>
      </c>
      <c r="S148" s="354" t="s">
        <v>12</v>
      </c>
      <c r="T148" s="358" t="s">
        <v>11</v>
      </c>
      <c r="U148" s="407" t="s">
        <v>10</v>
      </c>
      <c r="V148" s="408" t="s">
        <v>9</v>
      </c>
      <c r="W148" s="409" t="s">
        <v>8</v>
      </c>
      <c r="X148" s="409" t="s">
        <v>7</v>
      </c>
      <c r="Y148" s="409" t="s">
        <v>6</v>
      </c>
      <c r="Z148" s="409" t="s">
        <v>5</v>
      </c>
      <c r="AA148" s="409" t="s">
        <v>4</v>
      </c>
      <c r="AB148" s="410" t="s">
        <v>3</v>
      </c>
    </row>
    <row r="149" spans="2:28" ht="16.5">
      <c r="B149" s="2338" t="s">
        <v>509</v>
      </c>
      <c r="C149" s="169" t="s">
        <v>881</v>
      </c>
      <c r="D149" s="184" t="s">
        <v>507</v>
      </c>
      <c r="E149" s="464">
        <v>767903</v>
      </c>
      <c r="F149" s="183">
        <v>501994</v>
      </c>
      <c r="G149" s="183">
        <v>265909</v>
      </c>
      <c r="H149" s="414">
        <v>806001</v>
      </c>
      <c r="I149" s="415">
        <v>0.95273206857063453</v>
      </c>
      <c r="J149" s="416">
        <v>16212</v>
      </c>
      <c r="K149" s="417">
        <v>2.0114118965112948E-2</v>
      </c>
      <c r="L149" s="418">
        <v>4.7125585985689611E-2</v>
      </c>
      <c r="M149" s="155">
        <v>764</v>
      </c>
      <c r="N149" s="159">
        <v>610</v>
      </c>
      <c r="O149" s="1362">
        <v>0.79842931937172779</v>
      </c>
      <c r="P149" s="163">
        <v>1005.1086387434555</v>
      </c>
      <c r="Q149" s="159">
        <v>1258.8573770491803</v>
      </c>
      <c r="R149" s="155">
        <v>198250</v>
      </c>
      <c r="S149" s="421">
        <v>0.2581706283215458</v>
      </c>
      <c r="T149" s="2380">
        <v>325</v>
      </c>
      <c r="U149" s="422">
        <v>367</v>
      </c>
      <c r="V149" s="416">
        <v>327</v>
      </c>
      <c r="W149" s="417">
        <v>0.89100817438692093</v>
      </c>
      <c r="X149" s="157">
        <v>2092.3787465940054</v>
      </c>
      <c r="Y149" s="156">
        <v>2348.327217125382</v>
      </c>
      <c r="Z149" s="155">
        <v>124260</v>
      </c>
      <c r="AA149" s="423">
        <v>0.1618173128637341</v>
      </c>
      <c r="AB149" s="656">
        <v>380</v>
      </c>
    </row>
    <row r="150" spans="2:28" ht="16.5">
      <c r="B150" s="2338"/>
      <c r="C150" s="169" t="s">
        <v>884</v>
      </c>
      <c r="D150" s="184" t="s">
        <v>508</v>
      </c>
      <c r="E150" s="464">
        <v>985563</v>
      </c>
      <c r="F150" s="183">
        <v>315563</v>
      </c>
      <c r="G150" s="183">
        <v>670000</v>
      </c>
      <c r="H150" s="414">
        <v>680976</v>
      </c>
      <c r="I150" s="415">
        <v>1.4472800803552548</v>
      </c>
      <c r="J150" s="416">
        <v>34947</v>
      </c>
      <c r="K150" s="417">
        <v>5.1318989215478956E-2</v>
      </c>
      <c r="L150" s="418">
        <v>5.8603027441554351E-2</v>
      </c>
      <c r="M150" s="155">
        <v>2048</v>
      </c>
      <c r="N150" s="159">
        <v>1702</v>
      </c>
      <c r="O150" s="1362">
        <v>0.8310546875</v>
      </c>
      <c r="P150" s="163">
        <v>481.23193359375</v>
      </c>
      <c r="Q150" s="159">
        <v>579.06169212690952</v>
      </c>
      <c r="R150" s="155">
        <v>553150</v>
      </c>
      <c r="S150" s="421">
        <v>0.56125280677135814</v>
      </c>
      <c r="T150" s="2369"/>
      <c r="U150" s="422">
        <v>1617</v>
      </c>
      <c r="V150" s="416">
        <v>1405</v>
      </c>
      <c r="W150" s="417">
        <v>0.86889301175015465</v>
      </c>
      <c r="X150" s="157">
        <v>609.50092764378473</v>
      </c>
      <c r="Y150" s="156">
        <v>701.46832740213529</v>
      </c>
      <c r="Z150" s="155">
        <v>547950</v>
      </c>
      <c r="AA150" s="423">
        <v>0.55597663467480007</v>
      </c>
      <c r="AB150" s="656">
        <v>390</v>
      </c>
    </row>
    <row r="151" spans="2:28" ht="16.5">
      <c r="B151" s="2338"/>
      <c r="C151" s="424" t="s">
        <v>479</v>
      </c>
      <c r="D151" s="425"/>
      <c r="E151" s="469">
        <v>1753466</v>
      </c>
      <c r="F151" s="470">
        <v>817557</v>
      </c>
      <c r="G151" s="471">
        <v>935909</v>
      </c>
      <c r="H151" s="429">
        <v>1486977</v>
      </c>
      <c r="I151" s="430">
        <v>1.1792152803977465</v>
      </c>
      <c r="J151" s="1364">
        <v>51159</v>
      </c>
      <c r="K151" s="432">
        <v>3.4404701619460153E-2</v>
      </c>
      <c r="L151" s="1365">
        <v>5.4965890654625774E-2</v>
      </c>
      <c r="M151" s="431">
        <v>2812</v>
      </c>
      <c r="N151" s="431">
        <v>2312</v>
      </c>
      <c r="O151" s="1366">
        <v>0.82219061166429586</v>
      </c>
      <c r="P151" s="475">
        <v>623.5654338549075</v>
      </c>
      <c r="Q151" s="431">
        <v>758.41955017301041</v>
      </c>
      <c r="R151" s="431">
        <v>751400</v>
      </c>
      <c r="S151" s="434">
        <v>0.42852270873800802</v>
      </c>
      <c r="T151" s="1401"/>
      <c r="U151" s="1367">
        <v>1984</v>
      </c>
      <c r="V151" s="1364">
        <v>1732</v>
      </c>
      <c r="W151" s="432">
        <v>0.87298387096774188</v>
      </c>
      <c r="X151" s="1368">
        <v>883.80342741935488</v>
      </c>
      <c r="Y151" s="1368">
        <v>1012.3937644341802</v>
      </c>
      <c r="Z151" s="431">
        <v>562900</v>
      </c>
      <c r="AA151" s="1369">
        <v>0.32102133716878456</v>
      </c>
      <c r="AB151" s="476">
        <v>325</v>
      </c>
    </row>
    <row r="152" spans="2:28" ht="16.5">
      <c r="B152" s="2289"/>
      <c r="C152" s="153" t="s">
        <v>480</v>
      </c>
      <c r="D152" s="1389"/>
      <c r="E152" s="1371">
        <v>1753466</v>
      </c>
      <c r="F152" s="1372">
        <v>817557</v>
      </c>
      <c r="G152" s="1373">
        <v>935909</v>
      </c>
      <c r="H152" s="1374">
        <v>1457451</v>
      </c>
      <c r="I152" s="1375">
        <v>1.2031045983707171</v>
      </c>
      <c r="J152" s="1376">
        <v>49072</v>
      </c>
      <c r="K152" s="1377">
        <v>3.3669742584827897E-2</v>
      </c>
      <c r="L152" s="1378">
        <v>5.3839256602543205E-2</v>
      </c>
      <c r="M152" s="146">
        <v>2642</v>
      </c>
      <c r="N152" s="146">
        <v>2182</v>
      </c>
      <c r="O152" s="1379">
        <v>0.82588947766843301</v>
      </c>
      <c r="P152" s="147">
        <v>663.68887206661623</v>
      </c>
      <c r="Q152" s="146">
        <v>803.60494958753441</v>
      </c>
      <c r="R152" s="146">
        <v>709150</v>
      </c>
      <c r="S152" s="1380">
        <v>0.4044275737311131</v>
      </c>
      <c r="T152" s="1402"/>
      <c r="U152" s="1381"/>
      <c r="V152" s="1376"/>
      <c r="W152" s="1377"/>
      <c r="X152" s="1382"/>
      <c r="Y152" s="1382"/>
      <c r="Z152" s="146"/>
      <c r="AA152" s="1383"/>
      <c r="AB152" s="1384"/>
    </row>
    <row r="156" spans="2:28" ht="14.5">
      <c r="B156" s="248" t="s">
        <v>510</v>
      </c>
    </row>
    <row r="157" spans="2:28" ht="16.5">
      <c r="B157" s="2371" t="s">
        <v>32</v>
      </c>
      <c r="C157" s="2372" t="s">
        <v>511</v>
      </c>
      <c r="D157" s="2374" t="s">
        <v>30</v>
      </c>
      <c r="E157" s="2376" t="s">
        <v>512</v>
      </c>
      <c r="F157" s="2377"/>
      <c r="G157" s="2378"/>
      <c r="H157" s="2346" t="s">
        <v>28</v>
      </c>
      <c r="I157" s="2346"/>
      <c r="J157" s="2346"/>
      <c r="K157" s="2346"/>
      <c r="L157" s="2346"/>
      <c r="M157" s="2346"/>
      <c r="N157" s="2346"/>
      <c r="O157" s="2346"/>
      <c r="P157" s="2346"/>
      <c r="Q157" s="2346"/>
      <c r="R157" s="2346"/>
      <c r="S157" s="2346"/>
      <c r="T157" s="2346"/>
      <c r="U157" s="2349" t="s">
        <v>27</v>
      </c>
      <c r="V157" s="2349"/>
      <c r="W157" s="2349"/>
      <c r="X157" s="2349"/>
      <c r="Y157" s="2349"/>
      <c r="Z157" s="2349"/>
      <c r="AA157" s="2349"/>
      <c r="AB157" s="2379"/>
    </row>
    <row r="158" spans="2:28" ht="66">
      <c r="B158" s="2371"/>
      <c r="C158" s="2373"/>
      <c r="D158" s="2375"/>
      <c r="E158" s="179" t="s">
        <v>26</v>
      </c>
      <c r="F158" s="178" t="s">
        <v>138</v>
      </c>
      <c r="G158" s="174" t="s">
        <v>24</v>
      </c>
      <c r="H158" s="406" t="s">
        <v>23</v>
      </c>
      <c r="I158" s="354" t="s">
        <v>22</v>
      </c>
      <c r="J158" s="351" t="s">
        <v>21</v>
      </c>
      <c r="K158" s="354" t="s">
        <v>20</v>
      </c>
      <c r="L158" s="354" t="s">
        <v>19</v>
      </c>
      <c r="M158" s="355" t="s">
        <v>18</v>
      </c>
      <c r="N158" s="354" t="s">
        <v>17</v>
      </c>
      <c r="O158" s="356" t="s">
        <v>16</v>
      </c>
      <c r="P158" s="357" t="s">
        <v>15</v>
      </c>
      <c r="Q158" s="354" t="s">
        <v>14</v>
      </c>
      <c r="R158" s="354" t="s">
        <v>13</v>
      </c>
      <c r="S158" s="354" t="s">
        <v>12</v>
      </c>
      <c r="T158" s="352" t="s">
        <v>11</v>
      </c>
      <c r="U158" s="407" t="s">
        <v>10</v>
      </c>
      <c r="V158" s="408" t="s">
        <v>9</v>
      </c>
      <c r="W158" s="409" t="s">
        <v>8</v>
      </c>
      <c r="X158" s="409" t="s">
        <v>7</v>
      </c>
      <c r="Y158" s="409" t="s">
        <v>6</v>
      </c>
      <c r="Z158" s="409" t="s">
        <v>5</v>
      </c>
      <c r="AA158" s="409" t="s">
        <v>4</v>
      </c>
      <c r="AB158" s="410" t="s">
        <v>3</v>
      </c>
    </row>
    <row r="159" spans="2:28" ht="16.5">
      <c r="B159" s="2288" t="s">
        <v>172</v>
      </c>
      <c r="C159" s="169" t="s">
        <v>885</v>
      </c>
      <c r="D159" s="184" t="s">
        <v>513</v>
      </c>
      <c r="E159" s="464">
        <f>SUM(F159:G159)</f>
        <v>445463.31</v>
      </c>
      <c r="F159" s="465">
        <v>245463.31</v>
      </c>
      <c r="G159" s="182">
        <v>200000</v>
      </c>
      <c r="H159" s="414">
        <v>253964</v>
      </c>
      <c r="I159" s="415">
        <f>E159/H159</f>
        <v>1.7540411633144855</v>
      </c>
      <c r="J159" s="416">
        <v>20514</v>
      </c>
      <c r="K159" s="417">
        <f>J159/H159</f>
        <v>8.0775227985068754E-2</v>
      </c>
      <c r="L159" s="418">
        <f>M159/J159</f>
        <v>0.24646582821487764</v>
      </c>
      <c r="M159" s="155">
        <v>5056</v>
      </c>
      <c r="N159" s="159">
        <v>4038</v>
      </c>
      <c r="O159" s="1362">
        <f>N159/M159</f>
        <v>0.79865506329113922</v>
      </c>
      <c r="P159" s="163">
        <f>E159/M159</f>
        <v>88.105876186708855</v>
      </c>
      <c r="Q159" s="159">
        <f>E159/N159</f>
        <v>110.31780832095096</v>
      </c>
      <c r="R159" s="155" t="e">
        <f>N159*#REF!</f>
        <v>#REF!</v>
      </c>
      <c r="S159" s="421" t="e">
        <f>R159/E159</f>
        <v>#REF!</v>
      </c>
      <c r="T159" s="2369">
        <v>325</v>
      </c>
      <c r="U159" s="422">
        <v>1508</v>
      </c>
      <c r="V159" s="416">
        <v>1192</v>
      </c>
      <c r="W159" s="417">
        <f>V159/U159</f>
        <v>0.79045092838196285</v>
      </c>
      <c r="X159" s="157">
        <f>E159/U159</f>
        <v>295.40007294429711</v>
      </c>
      <c r="Y159" s="156">
        <f>E159/V159</f>
        <v>373.71083053691274</v>
      </c>
      <c r="Z159" s="155">
        <f>V159*AB159</f>
        <v>452960</v>
      </c>
      <c r="AA159" s="423">
        <f>Z159/E159</f>
        <v>1.0168289729630033</v>
      </c>
      <c r="AB159" s="656">
        <v>380</v>
      </c>
    </row>
    <row r="160" spans="2:28" ht="16.5">
      <c r="B160" s="2338"/>
      <c r="C160" s="169" t="s">
        <v>884</v>
      </c>
      <c r="D160" s="184" t="s">
        <v>513</v>
      </c>
      <c r="E160" s="464">
        <f>SUM(F160:G160)</f>
        <v>772755.39</v>
      </c>
      <c r="F160" s="465">
        <v>472755.39</v>
      </c>
      <c r="G160" s="182">
        <v>300000</v>
      </c>
      <c r="H160" s="414">
        <v>284108</v>
      </c>
      <c r="I160" s="415">
        <f>E160/H160</f>
        <v>2.7199353414898559</v>
      </c>
      <c r="J160" s="416">
        <v>12206</v>
      </c>
      <c r="K160" s="417">
        <f>J160/H160</f>
        <v>4.2962535373871909E-2</v>
      </c>
      <c r="L160" s="418">
        <f>M160/J160</f>
        <v>0.13411436998197607</v>
      </c>
      <c r="M160" s="155">
        <v>1637</v>
      </c>
      <c r="N160" s="159">
        <v>1173</v>
      </c>
      <c r="O160" s="1362">
        <f>N160/M160</f>
        <v>0.7165546731826512</v>
      </c>
      <c r="P160" s="163">
        <f>E160/M160</f>
        <v>472.05582773365916</v>
      </c>
      <c r="Q160" s="159">
        <f>E160/N160</f>
        <v>658.78549872122767</v>
      </c>
      <c r="R160" s="155" t="e">
        <f>N160*#REF!</f>
        <v>#REF!</v>
      </c>
      <c r="S160" s="421" t="e">
        <f>R160/E160</f>
        <v>#REF!</v>
      </c>
      <c r="T160" s="2370"/>
      <c r="U160" s="422">
        <v>86</v>
      </c>
      <c r="V160" s="416">
        <v>52</v>
      </c>
      <c r="W160" s="417">
        <f>V160/U160</f>
        <v>0.60465116279069764</v>
      </c>
      <c r="X160" s="157">
        <f>E160/U160</f>
        <v>8985.5277906976753</v>
      </c>
      <c r="Y160" s="156">
        <f>E160/V160</f>
        <v>14860.680576923078</v>
      </c>
      <c r="Z160" s="155">
        <f>V160*AB160</f>
        <v>20280</v>
      </c>
      <c r="AA160" s="1388">
        <f>Z160/E160</f>
        <v>2.6243750949443392E-2</v>
      </c>
      <c r="AB160" s="656">
        <v>390</v>
      </c>
    </row>
    <row r="161" spans="2:28" ht="16.5">
      <c r="B161" s="2338"/>
      <c r="C161" s="169" t="s">
        <v>883</v>
      </c>
      <c r="D161" s="184" t="s">
        <v>513</v>
      </c>
      <c r="E161" s="464">
        <f>SUM(F161:G161)</f>
        <v>171125.49</v>
      </c>
      <c r="F161" s="465">
        <v>121125.49</v>
      </c>
      <c r="G161" s="182">
        <v>50000</v>
      </c>
      <c r="H161" s="414">
        <v>79972</v>
      </c>
      <c r="I161" s="415">
        <f>E161/H161</f>
        <v>2.1398175611464012</v>
      </c>
      <c r="J161" s="416">
        <v>4558</v>
      </c>
      <c r="K161" s="417">
        <f>J161/H161</f>
        <v>5.6994948231881157E-2</v>
      </c>
      <c r="L161" s="418">
        <f>M161/J161</f>
        <v>0.20491443615620886</v>
      </c>
      <c r="M161" s="155">
        <v>934</v>
      </c>
      <c r="N161" s="159">
        <v>664</v>
      </c>
      <c r="O161" s="1362">
        <f>N161/M161</f>
        <v>0.71092077087794436</v>
      </c>
      <c r="P161" s="163">
        <f>E161/M161</f>
        <v>183.21786937901499</v>
      </c>
      <c r="Q161" s="159">
        <f>E161/N161</f>
        <v>257.71911144578314</v>
      </c>
      <c r="R161" s="155" t="e">
        <f>N161*#REF!</f>
        <v>#REF!</v>
      </c>
      <c r="S161" s="421" t="e">
        <f>R161/E161</f>
        <v>#REF!</v>
      </c>
      <c r="T161" s="2370"/>
      <c r="U161" s="422">
        <v>536</v>
      </c>
      <c r="V161" s="416">
        <v>360</v>
      </c>
      <c r="W161" s="417">
        <f>V161/U161</f>
        <v>0.67164179104477617</v>
      </c>
      <c r="X161" s="157">
        <f>E161/U161</f>
        <v>319.26397388059701</v>
      </c>
      <c r="Y161" s="156">
        <f>E161/V161</f>
        <v>475.34858333333329</v>
      </c>
      <c r="Z161" s="155">
        <f>V161*AB161</f>
        <v>82800</v>
      </c>
      <c r="AA161" s="423">
        <f>Z161/E161</f>
        <v>0.48385544432918792</v>
      </c>
      <c r="AB161" s="656">
        <v>230</v>
      </c>
    </row>
    <row r="162" spans="2:28" ht="16.5">
      <c r="B162" s="2338"/>
      <c r="C162" s="424" t="s">
        <v>145</v>
      </c>
      <c r="D162" s="425"/>
      <c r="E162" s="469">
        <f>SUM(F162:G162)</f>
        <v>1389344.19</v>
      </c>
      <c r="F162" s="470">
        <f>SUM(F159:F161)</f>
        <v>839344.19</v>
      </c>
      <c r="G162" s="471">
        <f>SUM(G159:G161)</f>
        <v>550000</v>
      </c>
      <c r="H162" s="429">
        <f>SUM(H159:H161)</f>
        <v>618044</v>
      </c>
      <c r="I162" s="430">
        <f>E162/H162</f>
        <v>2.2479697076583545</v>
      </c>
      <c r="J162" s="431">
        <f>SUM(J159:J161)</f>
        <v>37278</v>
      </c>
      <c r="K162" s="432">
        <f>J162/H162</f>
        <v>6.0316093999779948E-2</v>
      </c>
      <c r="L162" s="432">
        <f>M162/J162</f>
        <v>0.20459788615269059</v>
      </c>
      <c r="M162" s="431">
        <f>SUM(M159:M161)</f>
        <v>7627</v>
      </c>
      <c r="N162" s="431">
        <f>SUM(N159:N161)</f>
        <v>5875</v>
      </c>
      <c r="O162" s="1366">
        <f>N162/M162</f>
        <v>0.77028976006293426</v>
      </c>
      <c r="P162" s="475">
        <f>E162/M162</f>
        <v>182.16129408679689</v>
      </c>
      <c r="Q162" s="475">
        <f>E162/N162</f>
        <v>236.48411744680851</v>
      </c>
      <c r="R162" s="431" t="e">
        <f>N162*#REF!</f>
        <v>#REF!</v>
      </c>
      <c r="S162" s="434" t="e">
        <f>R162/E162</f>
        <v>#REF!</v>
      </c>
      <c r="T162" s="476"/>
      <c r="U162" s="429">
        <f>SUM(U159:U161)</f>
        <v>2130</v>
      </c>
      <c r="V162" s="431">
        <f>SUM(V159:V161)</f>
        <v>1604</v>
      </c>
      <c r="W162" s="432">
        <f>V162/U162</f>
        <v>0.7530516431924883</v>
      </c>
      <c r="X162" s="477">
        <f>E162/U162</f>
        <v>652.27426760563378</v>
      </c>
      <c r="Y162" s="477">
        <f>E162/V162</f>
        <v>866.17468204488773</v>
      </c>
      <c r="Z162" s="431">
        <f>V162*AB162</f>
        <v>521300</v>
      </c>
      <c r="AA162" s="436">
        <f>Z162/E162</f>
        <v>0.37521299887539028</v>
      </c>
      <c r="AB162" s="476">
        <f>T159</f>
        <v>325</v>
      </c>
    </row>
    <row r="163" spans="2:28" ht="16.5">
      <c r="B163" s="2289"/>
      <c r="C163" s="437" t="s">
        <v>146</v>
      </c>
      <c r="D163" s="438"/>
      <c r="E163" s="472">
        <f>E162</f>
        <v>1389344.19</v>
      </c>
      <c r="F163" s="473">
        <f>F162</f>
        <v>839344.19</v>
      </c>
      <c r="G163" s="474">
        <f>G162</f>
        <v>550000</v>
      </c>
      <c r="H163" s="144">
        <v>589903</v>
      </c>
      <c r="I163" s="442">
        <f>E163/H163</f>
        <v>2.3552078731588075</v>
      </c>
      <c r="J163" s="443">
        <v>34266</v>
      </c>
      <c r="K163" s="444">
        <f>J163/H163</f>
        <v>5.8087516083152657E-2</v>
      </c>
      <c r="L163" s="445">
        <f>M163/J163</f>
        <v>0.19996497986342146</v>
      </c>
      <c r="M163" s="141">
        <v>6852</v>
      </c>
      <c r="N163" s="141">
        <v>5315</v>
      </c>
      <c r="O163" s="1398">
        <f>N163/M163</f>
        <v>0.77568593111500295</v>
      </c>
      <c r="P163" s="478">
        <f>E163/M163</f>
        <v>202.7647679509632</v>
      </c>
      <c r="Q163" s="141">
        <f>E163/N163</f>
        <v>261.40060018814677</v>
      </c>
      <c r="R163" s="141" t="e">
        <f>N163*#REF!</f>
        <v>#REF!</v>
      </c>
      <c r="S163" s="447" t="e">
        <f>R163/E163</f>
        <v>#REF!</v>
      </c>
      <c r="T163" s="479"/>
      <c r="U163" s="448">
        <v>2653</v>
      </c>
      <c r="V163" s="443">
        <v>1947</v>
      </c>
      <c r="W163" s="444">
        <f>V163/U163</f>
        <v>0.73388616660384476</v>
      </c>
      <c r="X163" s="480">
        <f>E163/U163</f>
        <v>523.68797210704861</v>
      </c>
      <c r="Y163" s="480">
        <f>E163/V163</f>
        <v>713.58201848998453</v>
      </c>
      <c r="Z163" s="141">
        <f>V163*AB163</f>
        <v>632775</v>
      </c>
      <c r="AA163" s="449">
        <f>Z163/E163</f>
        <v>0.45544869626582596</v>
      </c>
      <c r="AB163" s="479">
        <f>T159</f>
        <v>325</v>
      </c>
    </row>
    <row r="164" spans="2:28" ht="16.5">
      <c r="B164" s="601"/>
      <c r="C164" s="400"/>
      <c r="D164" s="400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  <c r="AA164" s="398"/>
      <c r="AB164" s="398"/>
    </row>
    <row r="165" spans="2:28" ht="16.5">
      <c r="B165" s="601"/>
      <c r="C165" s="400"/>
      <c r="D165" s="400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  <c r="AA165" s="398"/>
      <c r="AB165" s="398"/>
    </row>
    <row r="166" spans="2:28" ht="16.5"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  <c r="AA166" s="398"/>
      <c r="AB166" s="398"/>
    </row>
    <row r="167" spans="2:28" ht="16.5"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  <c r="AA167" s="398"/>
      <c r="AB167" s="398"/>
    </row>
    <row r="168" spans="2:28" ht="16.5">
      <c r="B168" s="248" t="s">
        <v>174</v>
      </c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</row>
    <row r="169" spans="2:28" ht="16.5">
      <c r="B169" s="2371" t="s">
        <v>32</v>
      </c>
      <c r="C169" s="2372" t="s">
        <v>511</v>
      </c>
      <c r="D169" s="2374" t="s">
        <v>30</v>
      </c>
      <c r="E169" s="2376" t="s">
        <v>29</v>
      </c>
      <c r="F169" s="2377"/>
      <c r="G169" s="2378"/>
      <c r="H169" s="2346" t="s">
        <v>28</v>
      </c>
      <c r="I169" s="2346"/>
      <c r="J169" s="2346"/>
      <c r="K169" s="2346"/>
      <c r="L169" s="2346"/>
      <c r="M169" s="2346"/>
      <c r="N169" s="2346"/>
      <c r="O169" s="2346"/>
      <c r="P169" s="2346"/>
      <c r="Q169" s="2346"/>
      <c r="R169" s="2346"/>
      <c r="S169" s="2346"/>
      <c r="T169" s="2346"/>
      <c r="U169" s="2349" t="s">
        <v>27</v>
      </c>
      <c r="V169" s="2349"/>
      <c r="W169" s="2349"/>
      <c r="X169" s="2349"/>
      <c r="Y169" s="2349"/>
      <c r="Z169" s="2349"/>
      <c r="AA169" s="2349"/>
      <c r="AB169" s="2379"/>
    </row>
    <row r="170" spans="2:28" ht="66">
      <c r="B170" s="2371"/>
      <c r="C170" s="2373"/>
      <c r="D170" s="2375"/>
      <c r="E170" s="179" t="s">
        <v>26</v>
      </c>
      <c r="F170" s="178" t="s">
        <v>138</v>
      </c>
      <c r="G170" s="174" t="s">
        <v>24</v>
      </c>
      <c r="H170" s="406" t="s">
        <v>23</v>
      </c>
      <c r="I170" s="354" t="s">
        <v>22</v>
      </c>
      <c r="J170" s="351" t="s">
        <v>21</v>
      </c>
      <c r="K170" s="354" t="s">
        <v>20</v>
      </c>
      <c r="L170" s="354" t="s">
        <v>19</v>
      </c>
      <c r="M170" s="355" t="s">
        <v>18</v>
      </c>
      <c r="N170" s="354" t="s">
        <v>17</v>
      </c>
      <c r="O170" s="356" t="s">
        <v>16</v>
      </c>
      <c r="P170" s="357" t="s">
        <v>15</v>
      </c>
      <c r="Q170" s="354" t="s">
        <v>14</v>
      </c>
      <c r="R170" s="354" t="s">
        <v>13</v>
      </c>
      <c r="S170" s="354" t="s">
        <v>12</v>
      </c>
      <c r="T170" s="352" t="s">
        <v>11</v>
      </c>
      <c r="U170" s="407" t="s">
        <v>10</v>
      </c>
      <c r="V170" s="408" t="s">
        <v>9</v>
      </c>
      <c r="W170" s="409" t="s">
        <v>8</v>
      </c>
      <c r="X170" s="409" t="s">
        <v>7</v>
      </c>
      <c r="Y170" s="409" t="s">
        <v>6</v>
      </c>
      <c r="Z170" s="409" t="s">
        <v>5</v>
      </c>
      <c r="AA170" s="409" t="s">
        <v>4</v>
      </c>
      <c r="AB170" s="410" t="s">
        <v>3</v>
      </c>
    </row>
    <row r="171" spans="2:28" ht="16.5">
      <c r="B171" s="2288" t="s">
        <v>174</v>
      </c>
      <c r="C171" s="169" t="s">
        <v>885</v>
      </c>
      <c r="D171" s="184" t="s">
        <v>513</v>
      </c>
      <c r="E171" s="464">
        <f>SUM(F171:G171)</f>
        <v>354424.32999999996</v>
      </c>
      <c r="F171" s="465">
        <v>154424.32999999999</v>
      </c>
      <c r="G171" s="182">
        <v>200000</v>
      </c>
      <c r="H171" s="414">
        <v>193252</v>
      </c>
      <c r="I171" s="415">
        <f>E171/H171</f>
        <v>1.8340008382836916</v>
      </c>
      <c r="J171" s="416">
        <v>14176</v>
      </c>
      <c r="K171" s="417">
        <f>J171/H171</f>
        <v>7.3354997619688278E-2</v>
      </c>
      <c r="L171" s="418">
        <f>M171/J171</f>
        <v>0.2727849887133183</v>
      </c>
      <c r="M171" s="155">
        <v>3867</v>
      </c>
      <c r="N171" s="159">
        <v>3119</v>
      </c>
      <c r="O171" s="1362">
        <f>N171/M171</f>
        <v>0.8065683992759245</v>
      </c>
      <c r="P171" s="163">
        <f>E171/M171</f>
        <v>91.653563485906375</v>
      </c>
      <c r="Q171" s="159">
        <f>E171/N171</f>
        <v>113.63396280859249</v>
      </c>
      <c r="R171" s="155" t="e">
        <f>N171*#REF!</f>
        <v>#REF!</v>
      </c>
      <c r="S171" s="421" t="e">
        <f>R171/E171</f>
        <v>#REF!</v>
      </c>
      <c r="T171" s="2369">
        <v>325</v>
      </c>
      <c r="U171" s="422">
        <v>1364</v>
      </c>
      <c r="V171" s="416">
        <v>1091</v>
      </c>
      <c r="W171" s="417">
        <f>V171/U171</f>
        <v>0.79985337243401755</v>
      </c>
      <c r="X171" s="157">
        <f>E171/U171</f>
        <v>259.84188416422285</v>
      </c>
      <c r="Y171" s="156">
        <f>E171/V171</f>
        <v>324.86189734188815</v>
      </c>
      <c r="Z171" s="155">
        <f>V171*AB171</f>
        <v>414580</v>
      </c>
      <c r="AA171" s="423">
        <f>Z171/E171</f>
        <v>1.1697278231435186</v>
      </c>
      <c r="AB171" s="656">
        <v>380</v>
      </c>
    </row>
    <row r="172" spans="2:28" ht="16.5">
      <c r="B172" s="2338"/>
      <c r="C172" s="169" t="s">
        <v>884</v>
      </c>
      <c r="D172" s="184" t="s">
        <v>513</v>
      </c>
      <c r="E172" s="464">
        <f>SUM(F172:G172)</f>
        <v>615514.83000000007</v>
      </c>
      <c r="F172" s="465">
        <v>315514.83</v>
      </c>
      <c r="G172" s="182">
        <v>300000</v>
      </c>
      <c r="H172" s="414">
        <v>234174</v>
      </c>
      <c r="I172" s="415">
        <f>E172/H172</f>
        <v>2.6284507673781037</v>
      </c>
      <c r="J172" s="416">
        <v>7886</v>
      </c>
      <c r="K172" s="417">
        <f>J172/H172</f>
        <v>3.3675813711172037E-2</v>
      </c>
      <c r="L172" s="418">
        <f>M172/J172</f>
        <v>0.14088257671823484</v>
      </c>
      <c r="M172" s="155">
        <v>1111</v>
      </c>
      <c r="N172" s="159">
        <v>758</v>
      </c>
      <c r="O172" s="1362">
        <f>N172/M172</f>
        <v>0.68226822682268229</v>
      </c>
      <c r="P172" s="163">
        <f>E172/M172</f>
        <v>554.01874887488759</v>
      </c>
      <c r="Q172" s="159">
        <f>E172/N172</f>
        <v>812.02484168865442</v>
      </c>
      <c r="R172" s="155" t="e">
        <f>N172*#REF!</f>
        <v>#REF!</v>
      </c>
      <c r="S172" s="421" t="e">
        <f>R172/E172</f>
        <v>#REF!</v>
      </c>
      <c r="T172" s="2370"/>
      <c r="U172" s="422">
        <v>78</v>
      </c>
      <c r="V172" s="416">
        <v>48</v>
      </c>
      <c r="W172" s="417">
        <f>V172/U172</f>
        <v>0.61538461538461542</v>
      </c>
      <c r="X172" s="157">
        <f>E172/U172</f>
        <v>7891.2157692307701</v>
      </c>
      <c r="Y172" s="156">
        <f>E172/V172</f>
        <v>12823.225625000001</v>
      </c>
      <c r="Z172" s="155">
        <f>V172*AB172</f>
        <v>18720</v>
      </c>
      <c r="AA172" s="1388">
        <f>Z172/E172</f>
        <v>3.0413564527762876E-2</v>
      </c>
      <c r="AB172" s="656">
        <v>390</v>
      </c>
    </row>
    <row r="173" spans="2:28" ht="16.5">
      <c r="B173" s="2338"/>
      <c r="C173" s="169" t="s">
        <v>883</v>
      </c>
      <c r="D173" s="184" t="s">
        <v>513</v>
      </c>
      <c r="E173" s="464">
        <f>SUM(F173:G173)</f>
        <v>158524.69</v>
      </c>
      <c r="F173" s="465">
        <v>108524.69</v>
      </c>
      <c r="G173" s="182">
        <v>50000</v>
      </c>
      <c r="H173" s="414">
        <v>71122</v>
      </c>
      <c r="I173" s="415">
        <f>E173/H173</f>
        <v>2.2289121509518854</v>
      </c>
      <c r="J173" s="416">
        <v>3335</v>
      </c>
      <c r="K173" s="417">
        <f>J173/H173</f>
        <v>4.689125727622958E-2</v>
      </c>
      <c r="L173" s="418">
        <f>M173/J173</f>
        <v>0.20959520239880061</v>
      </c>
      <c r="M173" s="155">
        <v>699</v>
      </c>
      <c r="N173" s="159">
        <v>509</v>
      </c>
      <c r="O173" s="1362">
        <f>N173/M173</f>
        <v>0.72818311874105868</v>
      </c>
      <c r="P173" s="163">
        <f>E173/M173</f>
        <v>226.78782546494992</v>
      </c>
      <c r="Q173" s="159">
        <f>E173/N173</f>
        <v>311.44339882121807</v>
      </c>
      <c r="R173" s="155" t="e">
        <f>N173*#REF!</f>
        <v>#REF!</v>
      </c>
      <c r="S173" s="421" t="e">
        <f>R173/E173</f>
        <v>#REF!</v>
      </c>
      <c r="T173" s="2370"/>
      <c r="U173" s="422">
        <v>419</v>
      </c>
      <c r="V173" s="416">
        <v>281</v>
      </c>
      <c r="W173" s="417">
        <f>V173/U173</f>
        <v>0.6706443914081146</v>
      </c>
      <c r="X173" s="157">
        <f>E173/U173</f>
        <v>378.34054892601432</v>
      </c>
      <c r="Y173" s="156">
        <f>E173/V173</f>
        <v>564.1448042704626</v>
      </c>
      <c r="Z173" s="155">
        <f>V173*AB173</f>
        <v>64630</v>
      </c>
      <c r="AA173" s="423">
        <f>Z173/E173</f>
        <v>0.40769674427371533</v>
      </c>
      <c r="AB173" s="656">
        <v>230</v>
      </c>
    </row>
    <row r="174" spans="2:28" ht="16.5">
      <c r="B174" s="2338"/>
      <c r="C174" s="424" t="s">
        <v>145</v>
      </c>
      <c r="D174" s="425"/>
      <c r="E174" s="469">
        <f>SUM(F174:G174)</f>
        <v>1128463.8500000001</v>
      </c>
      <c r="F174" s="470">
        <f>SUM(F171:F173)</f>
        <v>578463.85000000009</v>
      </c>
      <c r="G174" s="471">
        <f>SUM(G171:G173)</f>
        <v>550000</v>
      </c>
      <c r="H174" s="429">
        <f>SUM(H171:H173)</f>
        <v>498548</v>
      </c>
      <c r="I174" s="430">
        <f>E174/H174</f>
        <v>2.2635009066328622</v>
      </c>
      <c r="J174" s="431">
        <f>SUM(J171:J173)</f>
        <v>25397</v>
      </c>
      <c r="K174" s="432">
        <f>J174/H174</f>
        <v>5.094193538034452E-2</v>
      </c>
      <c r="L174" s="432">
        <f>M174/J174</f>
        <v>0.22353033822892468</v>
      </c>
      <c r="M174" s="431">
        <f>SUM(M171:M173)</f>
        <v>5677</v>
      </c>
      <c r="N174" s="431">
        <f>SUM(N171:N173)</f>
        <v>4386</v>
      </c>
      <c r="O174" s="1366">
        <f>N174/M174</f>
        <v>0.77259115730139161</v>
      </c>
      <c r="P174" s="475">
        <f>E174/M174</f>
        <v>198.77820151488464</v>
      </c>
      <c r="Q174" s="475">
        <f>E174/N174</f>
        <v>257.28769949840404</v>
      </c>
      <c r="R174" s="431" t="e">
        <f>N174*#REF!</f>
        <v>#REF!</v>
      </c>
      <c r="S174" s="434" t="e">
        <f>R174/E174</f>
        <v>#REF!</v>
      </c>
      <c r="T174" s="476"/>
      <c r="U174" s="429">
        <f>SUM(U171:U173)</f>
        <v>1861</v>
      </c>
      <c r="V174" s="431">
        <f>SUM(V171:V173)</f>
        <v>1420</v>
      </c>
      <c r="W174" s="432">
        <f>V174/U174</f>
        <v>0.76303062869425042</v>
      </c>
      <c r="X174" s="477">
        <f>E174/U174</f>
        <v>606.37498656636217</v>
      </c>
      <c r="Y174" s="477">
        <f>E174/V174</f>
        <v>794.69285211267618</v>
      </c>
      <c r="Z174" s="431">
        <f>V174*AB174</f>
        <v>461500</v>
      </c>
      <c r="AA174" s="436">
        <f>Z174/E174</f>
        <v>0.40896303412820884</v>
      </c>
      <c r="AB174" s="476">
        <f>T171</f>
        <v>325</v>
      </c>
    </row>
    <row r="175" spans="2:28" ht="16.5">
      <c r="B175" s="2289"/>
      <c r="C175" s="437" t="s">
        <v>146</v>
      </c>
      <c r="D175" s="438"/>
      <c r="E175" s="472">
        <f>E174</f>
        <v>1128463.8500000001</v>
      </c>
      <c r="F175" s="473">
        <f>F174</f>
        <v>578463.85000000009</v>
      </c>
      <c r="G175" s="474">
        <f>G174</f>
        <v>550000</v>
      </c>
      <c r="H175" s="144">
        <v>477394</v>
      </c>
      <c r="I175" s="442">
        <f>E175/H175</f>
        <v>2.363799817341651</v>
      </c>
      <c r="J175" s="443">
        <v>23666</v>
      </c>
      <c r="K175" s="444">
        <f>J175/H175</f>
        <v>4.9573308420298536E-2</v>
      </c>
      <c r="L175" s="445">
        <f>M175/J175</f>
        <v>0.21934420687906703</v>
      </c>
      <c r="M175" s="141">
        <v>5191</v>
      </c>
      <c r="N175" s="141">
        <v>4016</v>
      </c>
      <c r="O175" s="1398">
        <f>N175/M175</f>
        <v>0.77364669620497017</v>
      </c>
      <c r="P175" s="478">
        <f>E175/M175</f>
        <v>217.38852822192257</v>
      </c>
      <c r="Q175" s="141">
        <f>E175/N175</f>
        <v>280.99199452191237</v>
      </c>
      <c r="R175" s="141" t="e">
        <f>N175*#REF!</f>
        <v>#REF!</v>
      </c>
      <c r="S175" s="447" t="e">
        <f>R175/E175</f>
        <v>#REF!</v>
      </c>
      <c r="T175" s="479"/>
      <c r="U175" s="448">
        <v>2185</v>
      </c>
      <c r="V175" s="443">
        <v>1625</v>
      </c>
      <c r="W175" s="444">
        <f>V175/U175</f>
        <v>0.74370709382151035</v>
      </c>
      <c r="X175" s="480">
        <f>E175/U175</f>
        <v>516.45942791762013</v>
      </c>
      <c r="Y175" s="480">
        <f>E175/V175</f>
        <v>694.43929230769231</v>
      </c>
      <c r="Z175" s="141">
        <f>V175*AB175</f>
        <v>528125</v>
      </c>
      <c r="AA175" s="449">
        <f>Z175/E175</f>
        <v>0.46800347215376015</v>
      </c>
      <c r="AB175" s="479">
        <f>T171</f>
        <v>325</v>
      </c>
    </row>
    <row r="176" spans="2:28" ht="16.5"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  <c r="AA176" s="398"/>
      <c r="AB176" s="398"/>
    </row>
    <row r="177" spans="2:28" ht="16.5"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  <c r="AA177" s="398"/>
      <c r="AB177" s="398"/>
    </row>
    <row r="178" spans="2:28" ht="16.5"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</row>
    <row r="179" spans="2:28" ht="16.5"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  <c r="AA179" s="398"/>
      <c r="AB179" s="398"/>
    </row>
    <row r="180" spans="2:28" ht="16.5">
      <c r="B180" s="248" t="s">
        <v>175</v>
      </c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  <c r="AA180" s="398"/>
      <c r="AB180" s="398"/>
    </row>
    <row r="181" spans="2:28" ht="16.5">
      <c r="B181" s="2371" t="s">
        <v>32</v>
      </c>
      <c r="C181" s="2372" t="s">
        <v>511</v>
      </c>
      <c r="D181" s="2374" t="s">
        <v>30</v>
      </c>
      <c r="E181" s="2376" t="s">
        <v>29</v>
      </c>
      <c r="F181" s="2377"/>
      <c r="G181" s="2378"/>
      <c r="H181" s="2346" t="s">
        <v>28</v>
      </c>
      <c r="I181" s="2346"/>
      <c r="J181" s="2346"/>
      <c r="K181" s="2346"/>
      <c r="L181" s="2346"/>
      <c r="M181" s="2346"/>
      <c r="N181" s="2346"/>
      <c r="O181" s="2346"/>
      <c r="P181" s="2346"/>
      <c r="Q181" s="2346"/>
      <c r="R181" s="2346"/>
      <c r="S181" s="2346"/>
      <c r="T181" s="2346"/>
      <c r="U181" s="2349" t="s">
        <v>27</v>
      </c>
      <c r="V181" s="2349"/>
      <c r="W181" s="2349"/>
      <c r="X181" s="2349"/>
      <c r="Y181" s="2349"/>
      <c r="Z181" s="2349"/>
      <c r="AA181" s="2349"/>
      <c r="AB181" s="2379"/>
    </row>
    <row r="182" spans="2:28" ht="66">
      <c r="B182" s="2371"/>
      <c r="C182" s="2373"/>
      <c r="D182" s="2375"/>
      <c r="E182" s="179" t="s">
        <v>26</v>
      </c>
      <c r="F182" s="178" t="s">
        <v>138</v>
      </c>
      <c r="G182" s="174" t="s">
        <v>24</v>
      </c>
      <c r="H182" s="406" t="s">
        <v>23</v>
      </c>
      <c r="I182" s="354" t="s">
        <v>22</v>
      </c>
      <c r="J182" s="351" t="s">
        <v>21</v>
      </c>
      <c r="K182" s="354" t="s">
        <v>20</v>
      </c>
      <c r="L182" s="354" t="s">
        <v>19</v>
      </c>
      <c r="M182" s="355" t="s">
        <v>18</v>
      </c>
      <c r="N182" s="354" t="s">
        <v>17</v>
      </c>
      <c r="O182" s="356" t="s">
        <v>16</v>
      </c>
      <c r="P182" s="357" t="s">
        <v>15</v>
      </c>
      <c r="Q182" s="354" t="s">
        <v>14</v>
      </c>
      <c r="R182" s="354" t="s">
        <v>13</v>
      </c>
      <c r="S182" s="354" t="s">
        <v>12</v>
      </c>
      <c r="T182" s="352" t="s">
        <v>11</v>
      </c>
      <c r="U182" s="407" t="s">
        <v>10</v>
      </c>
      <c r="V182" s="408" t="s">
        <v>9</v>
      </c>
      <c r="W182" s="409" t="s">
        <v>8</v>
      </c>
      <c r="X182" s="409" t="s">
        <v>7</v>
      </c>
      <c r="Y182" s="409" t="s">
        <v>6</v>
      </c>
      <c r="Z182" s="409" t="s">
        <v>5</v>
      </c>
      <c r="AA182" s="409" t="s">
        <v>4</v>
      </c>
      <c r="AB182" s="410" t="s">
        <v>3</v>
      </c>
    </row>
    <row r="183" spans="2:28" ht="16.5">
      <c r="B183" s="2288" t="s">
        <v>175</v>
      </c>
      <c r="C183" s="169" t="s">
        <v>885</v>
      </c>
      <c r="D183" s="184" t="s">
        <v>513</v>
      </c>
      <c r="E183" s="464">
        <f>SUM(F183:G183)</f>
        <v>315849.03000000003</v>
      </c>
      <c r="F183" s="465">
        <v>115849.03</v>
      </c>
      <c r="G183" s="182">
        <v>200000</v>
      </c>
      <c r="H183" s="414">
        <v>116195</v>
      </c>
      <c r="I183" s="415">
        <f>E183/H183</f>
        <v>2.7182669650157067</v>
      </c>
      <c r="J183" s="416">
        <v>9912</v>
      </c>
      <c r="K183" s="417">
        <f>J183/H183</f>
        <v>8.5304875424932231E-2</v>
      </c>
      <c r="L183" s="418">
        <f>M183/J183</f>
        <v>0.31295399515738498</v>
      </c>
      <c r="M183" s="155">
        <v>3102</v>
      </c>
      <c r="N183" s="159">
        <v>2508</v>
      </c>
      <c r="O183" s="1362">
        <f>N183/M183</f>
        <v>0.80851063829787229</v>
      </c>
      <c r="P183" s="163">
        <f>E183/M183</f>
        <v>101.82109284332689</v>
      </c>
      <c r="Q183" s="159">
        <f>E183/N183</f>
        <v>125.93661483253589</v>
      </c>
      <c r="R183" s="155" t="e">
        <f>N183*#REF!</f>
        <v>#REF!</v>
      </c>
      <c r="S183" s="421" t="e">
        <f>R183/E183</f>
        <v>#REF!</v>
      </c>
      <c r="T183" s="2369">
        <v>325</v>
      </c>
      <c r="U183" s="422">
        <v>1153</v>
      </c>
      <c r="V183" s="416">
        <v>917</v>
      </c>
      <c r="W183" s="417">
        <f>V183/U183</f>
        <v>0.79531656548135299</v>
      </c>
      <c r="X183" s="157">
        <f>E183/U183</f>
        <v>273.9367129228101</v>
      </c>
      <c r="Y183" s="156">
        <f>E183/V183</f>
        <v>344.43732824427485</v>
      </c>
      <c r="Z183" s="155">
        <f>V183*AB183</f>
        <v>348460</v>
      </c>
      <c r="AA183" s="423">
        <f>Z183/E183</f>
        <v>1.1032485994970445</v>
      </c>
      <c r="AB183" s="656">
        <v>380</v>
      </c>
    </row>
    <row r="184" spans="2:28" ht="16.5">
      <c r="B184" s="2338"/>
      <c r="C184" s="169" t="s">
        <v>884</v>
      </c>
      <c r="D184" s="184" t="s">
        <v>513</v>
      </c>
      <c r="E184" s="464">
        <f>SUM(F184:G184)</f>
        <v>542317.4</v>
      </c>
      <c r="F184" s="465">
        <v>242317.4</v>
      </c>
      <c r="G184" s="182">
        <v>300000</v>
      </c>
      <c r="H184" s="414">
        <v>174959</v>
      </c>
      <c r="I184" s="415">
        <f>E184/H184</f>
        <v>3.0996827828234044</v>
      </c>
      <c r="J184" s="416">
        <v>5324</v>
      </c>
      <c r="K184" s="417">
        <f>J184/H184</f>
        <v>3.0429986453969216E-2</v>
      </c>
      <c r="L184" s="418">
        <f>M184/J184</f>
        <v>0.14406461307287755</v>
      </c>
      <c r="M184" s="155">
        <v>767</v>
      </c>
      <c r="N184" s="159">
        <v>526</v>
      </c>
      <c r="O184" s="1362">
        <f>N184/M184</f>
        <v>0.68578878748370276</v>
      </c>
      <c r="P184" s="163">
        <f>E184/M184</f>
        <v>707.06310299869619</v>
      </c>
      <c r="Q184" s="159">
        <f>E184/N184</f>
        <v>1031.0216730038023</v>
      </c>
      <c r="R184" s="155" t="e">
        <f>N184*#REF!</f>
        <v>#REF!</v>
      </c>
      <c r="S184" s="421" t="e">
        <f>R184/E184</f>
        <v>#REF!</v>
      </c>
      <c r="T184" s="2370"/>
      <c r="U184" s="422">
        <v>55</v>
      </c>
      <c r="V184" s="416">
        <v>33</v>
      </c>
      <c r="W184" s="417">
        <f>V184/U184</f>
        <v>0.6</v>
      </c>
      <c r="X184" s="157">
        <f>E184/U184</f>
        <v>9860.3163636363643</v>
      </c>
      <c r="Y184" s="156">
        <f>E184/V184</f>
        <v>16433.860606060607</v>
      </c>
      <c r="Z184" s="155">
        <f>V184*AB184</f>
        <v>12870</v>
      </c>
      <c r="AA184" s="423">
        <f>Z184/E184</f>
        <v>2.3731490083113687E-2</v>
      </c>
      <c r="AB184" s="656">
        <v>390</v>
      </c>
    </row>
    <row r="185" spans="2:28" ht="16.5">
      <c r="B185" s="2338"/>
      <c r="C185" s="169" t="s">
        <v>883</v>
      </c>
      <c r="D185" s="184" t="s">
        <v>513</v>
      </c>
      <c r="E185" s="464">
        <f>SUM(F185:G185)</f>
        <v>149733.41</v>
      </c>
      <c r="F185" s="465">
        <v>99733.41</v>
      </c>
      <c r="G185" s="182">
        <v>50000</v>
      </c>
      <c r="H185" s="414">
        <v>66172</v>
      </c>
      <c r="I185" s="415">
        <f>E185/H185</f>
        <v>2.2627910596626974</v>
      </c>
      <c r="J185" s="416">
        <v>2670</v>
      </c>
      <c r="K185" s="417">
        <f>J185/H185</f>
        <v>4.0349392492292815E-2</v>
      </c>
      <c r="L185" s="418">
        <f>M185/J185</f>
        <v>0.21048689138576779</v>
      </c>
      <c r="M185" s="155">
        <v>562</v>
      </c>
      <c r="N185" s="159">
        <v>406</v>
      </c>
      <c r="O185" s="1362">
        <f>N185/M185</f>
        <v>0.72241992882562278</v>
      </c>
      <c r="P185" s="163">
        <f>E185/M185</f>
        <v>266.42955516014234</v>
      </c>
      <c r="Q185" s="159">
        <f>E185/N185</f>
        <v>368.80150246305419</v>
      </c>
      <c r="R185" s="155" t="e">
        <f>N185*#REF!</f>
        <v>#REF!</v>
      </c>
      <c r="S185" s="421" t="e">
        <f>R185/E185</f>
        <v>#REF!</v>
      </c>
      <c r="T185" s="2370"/>
      <c r="U185" s="422">
        <v>323</v>
      </c>
      <c r="V185" s="416">
        <v>229</v>
      </c>
      <c r="W185" s="417">
        <f>V185/U185</f>
        <v>0.70897832817337458</v>
      </c>
      <c r="X185" s="157">
        <f>E185/U185</f>
        <v>463.57092879256965</v>
      </c>
      <c r="Y185" s="156">
        <f>E185/V185</f>
        <v>653.85768558951963</v>
      </c>
      <c r="Z185" s="155">
        <f>V185*AB185</f>
        <v>52670</v>
      </c>
      <c r="AA185" s="423">
        <f>Z185/E185</f>
        <v>0.35175850199364322</v>
      </c>
      <c r="AB185" s="656">
        <v>230</v>
      </c>
    </row>
    <row r="186" spans="2:28" ht="16.5">
      <c r="B186" s="2338"/>
      <c r="C186" s="424" t="s">
        <v>145</v>
      </c>
      <c r="D186" s="425"/>
      <c r="E186" s="469">
        <f>SUM(F186:G186)</f>
        <v>1007899.84</v>
      </c>
      <c r="F186" s="470">
        <f>SUM(F183:F185)</f>
        <v>457899.83999999997</v>
      </c>
      <c r="G186" s="471">
        <f>SUM(G183:G185)</f>
        <v>550000</v>
      </c>
      <c r="H186" s="429">
        <f>SUM(H183:H185)</f>
        <v>357326</v>
      </c>
      <c r="I186" s="430">
        <f>E186/H186</f>
        <v>2.8206731108287668</v>
      </c>
      <c r="J186" s="431">
        <f>SUM(J183:J185)</f>
        <v>17906</v>
      </c>
      <c r="K186" s="432">
        <f>J186/H186</f>
        <v>5.0111103026368078E-2</v>
      </c>
      <c r="L186" s="432">
        <f>M186/J186</f>
        <v>0.24745895230648945</v>
      </c>
      <c r="M186" s="431">
        <f>SUM(M183:M185)</f>
        <v>4431</v>
      </c>
      <c r="N186" s="431">
        <f>SUM(N183:N185)</f>
        <v>3440</v>
      </c>
      <c r="O186" s="1366">
        <f>N186/M186</f>
        <v>0.77634845407357256</v>
      </c>
      <c r="P186" s="475">
        <f>E186/M186</f>
        <v>227.46554728052357</v>
      </c>
      <c r="Q186" s="475">
        <f>E186/N186</f>
        <v>292.99413953488369</v>
      </c>
      <c r="R186" s="431" t="e">
        <f>N186*#REF!</f>
        <v>#REF!</v>
      </c>
      <c r="S186" s="434" t="e">
        <f>R186/E186</f>
        <v>#REF!</v>
      </c>
      <c r="T186" s="476"/>
      <c r="U186" s="429">
        <f>SUM(U183:U185)</f>
        <v>1531</v>
      </c>
      <c r="V186" s="431">
        <f>SUM(V183:V185)</f>
        <v>1179</v>
      </c>
      <c r="W186" s="432">
        <f>V186/U186</f>
        <v>0.77008491182233829</v>
      </c>
      <c r="X186" s="477">
        <f>E186/U186</f>
        <v>658.32778576094051</v>
      </c>
      <c r="Y186" s="477">
        <f>E186/V186</f>
        <v>854.87687871077185</v>
      </c>
      <c r="Z186" s="431">
        <f>V186*AB186</f>
        <v>383175</v>
      </c>
      <c r="AA186" s="436">
        <f>Z186/E186</f>
        <v>0.38017170436300496</v>
      </c>
      <c r="AB186" s="476">
        <f>T183</f>
        <v>325</v>
      </c>
    </row>
    <row r="187" spans="2:28" ht="16.5">
      <c r="B187" s="2289"/>
      <c r="C187" s="437" t="s">
        <v>146</v>
      </c>
      <c r="D187" s="438"/>
      <c r="E187" s="472">
        <f>E186</f>
        <v>1007899.84</v>
      </c>
      <c r="F187" s="473">
        <f>F186</f>
        <v>457899.83999999997</v>
      </c>
      <c r="G187" s="474">
        <f>G186</f>
        <v>550000</v>
      </c>
      <c r="H187" s="144">
        <v>343503</v>
      </c>
      <c r="I187" s="442">
        <f>E187/H187</f>
        <v>2.9341806039539682</v>
      </c>
      <c r="J187" s="443">
        <v>16816</v>
      </c>
      <c r="K187" s="444">
        <f>J187/H187</f>
        <v>4.8954448723883055E-2</v>
      </c>
      <c r="L187" s="445">
        <f>M187/J187</f>
        <v>0.24405328258801143</v>
      </c>
      <c r="M187" s="141">
        <v>4104</v>
      </c>
      <c r="N187" s="141">
        <v>3200</v>
      </c>
      <c r="O187" s="1398">
        <f>N187/M187</f>
        <v>0.77972709551656916</v>
      </c>
      <c r="P187" s="478">
        <f>E187/M187</f>
        <v>245.58962962962963</v>
      </c>
      <c r="Q187" s="141">
        <f>E187/N187</f>
        <v>314.96870000000001</v>
      </c>
      <c r="R187" s="141" t="e">
        <f>N187*#REF!</f>
        <v>#REF!</v>
      </c>
      <c r="S187" s="447" t="e">
        <f>R187/E187</f>
        <v>#REF!</v>
      </c>
      <c r="T187" s="479"/>
      <c r="U187" s="448">
        <v>1754</v>
      </c>
      <c r="V187" s="443">
        <v>1321</v>
      </c>
      <c r="W187" s="444">
        <f>V187/U187</f>
        <v>0.75313568985176738</v>
      </c>
      <c r="X187" s="480">
        <f>E187/U187</f>
        <v>574.62932725199539</v>
      </c>
      <c r="Y187" s="480">
        <f>E187/V187</f>
        <v>762.98246782740341</v>
      </c>
      <c r="Z187" s="141">
        <f>V187*AB187</f>
        <v>429325</v>
      </c>
      <c r="AA187" s="449">
        <f>Z187/E187</f>
        <v>0.42595998427780285</v>
      </c>
      <c r="AB187" s="479">
        <f>T183</f>
        <v>325</v>
      </c>
    </row>
    <row r="188" spans="2:28" ht="16.5"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  <c r="AA188" s="398"/>
      <c r="AB188" s="398"/>
    </row>
    <row r="189" spans="2:28" ht="16.5"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398"/>
      <c r="AB189" s="398"/>
    </row>
    <row r="190" spans="2:28" ht="16.5"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  <c r="AA190" s="398"/>
      <c r="AB190" s="398"/>
    </row>
    <row r="191" spans="2:28" ht="16.5"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  <c r="AA191" s="398"/>
      <c r="AB191" s="398"/>
    </row>
    <row r="192" spans="2:28" ht="16.5">
      <c r="B192" s="248" t="s">
        <v>176</v>
      </c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  <c r="AA192" s="398"/>
      <c r="AB192" s="398"/>
    </row>
    <row r="193" spans="2:28" ht="16.5">
      <c r="B193" s="2357" t="s">
        <v>32</v>
      </c>
      <c r="C193" s="2359" t="s">
        <v>511</v>
      </c>
      <c r="D193" s="2361" t="s">
        <v>30</v>
      </c>
      <c r="E193" s="2363" t="s">
        <v>29</v>
      </c>
      <c r="F193" s="2364"/>
      <c r="G193" s="2365"/>
      <c r="H193" s="2366" t="s">
        <v>28</v>
      </c>
      <c r="I193" s="2367"/>
      <c r="J193" s="2367"/>
      <c r="K193" s="2367"/>
      <c r="L193" s="2367"/>
      <c r="M193" s="2367"/>
      <c r="N193" s="2367"/>
      <c r="O193" s="2367"/>
      <c r="P193" s="2367"/>
      <c r="Q193" s="2367"/>
      <c r="R193" s="2367"/>
      <c r="S193" s="2367"/>
      <c r="T193" s="2368"/>
      <c r="U193" s="2366" t="s">
        <v>27</v>
      </c>
      <c r="V193" s="2367"/>
      <c r="W193" s="2367"/>
      <c r="X193" s="2367"/>
      <c r="Y193" s="2367"/>
      <c r="Z193" s="2367"/>
      <c r="AA193" s="2367"/>
      <c r="AB193" s="2368"/>
    </row>
    <row r="194" spans="2:28" ht="66">
      <c r="B194" s="2358"/>
      <c r="C194" s="2360"/>
      <c r="D194" s="2362"/>
      <c r="E194" s="1403" t="s">
        <v>26</v>
      </c>
      <c r="F194" s="1404" t="s">
        <v>138</v>
      </c>
      <c r="G194" s="1405" t="s">
        <v>24</v>
      </c>
      <c r="H194" s="1406" t="s">
        <v>23</v>
      </c>
      <c r="I194" s="1407" t="s">
        <v>22</v>
      </c>
      <c r="J194" s="1404" t="s">
        <v>21</v>
      </c>
      <c r="K194" s="1407" t="s">
        <v>20</v>
      </c>
      <c r="L194" s="1407" t="s">
        <v>19</v>
      </c>
      <c r="M194" s="1406" t="s">
        <v>18</v>
      </c>
      <c r="N194" s="1407" t="s">
        <v>17</v>
      </c>
      <c r="O194" s="1407" t="s">
        <v>16</v>
      </c>
      <c r="P194" s="1408" t="s">
        <v>15</v>
      </c>
      <c r="Q194" s="1407" t="s">
        <v>14</v>
      </c>
      <c r="R194" s="1407" t="s">
        <v>13</v>
      </c>
      <c r="S194" s="1407" t="s">
        <v>12</v>
      </c>
      <c r="T194" s="1409" t="s">
        <v>11</v>
      </c>
      <c r="U194" s="1410" t="s">
        <v>10</v>
      </c>
      <c r="V194" s="1408" t="s">
        <v>9</v>
      </c>
      <c r="W194" s="1411" t="s">
        <v>8</v>
      </c>
      <c r="X194" s="1411" t="s">
        <v>7</v>
      </c>
      <c r="Y194" s="1411" t="s">
        <v>6</v>
      </c>
      <c r="Z194" s="1411" t="s">
        <v>5</v>
      </c>
      <c r="AA194" s="1411" t="s">
        <v>4</v>
      </c>
      <c r="AB194" s="1412" t="s">
        <v>3</v>
      </c>
    </row>
    <row r="195" spans="2:28" ht="16.5">
      <c r="B195" s="2354" t="s">
        <v>514</v>
      </c>
      <c r="C195" s="1413" t="s">
        <v>885</v>
      </c>
      <c r="D195" s="36" t="s">
        <v>513</v>
      </c>
      <c r="E195" s="1414">
        <f>SUM(F195:G195)</f>
        <v>448460</v>
      </c>
      <c r="F195" s="1415">
        <v>248460</v>
      </c>
      <c r="G195" s="1416">
        <v>200000</v>
      </c>
      <c r="H195" s="1417">
        <v>66005</v>
      </c>
      <c r="I195" s="1418">
        <f>E195/H195</f>
        <v>6.7943337625937428</v>
      </c>
      <c r="J195" s="1419">
        <v>5799</v>
      </c>
      <c r="K195" s="1420">
        <f>J195/H195</f>
        <v>8.7856980531777901E-2</v>
      </c>
      <c r="L195" s="1420">
        <f>M195/J195</f>
        <v>0.2933264355923435</v>
      </c>
      <c r="M195" s="1421">
        <v>1701</v>
      </c>
      <c r="N195" s="1419">
        <v>1376</v>
      </c>
      <c r="O195" s="1422">
        <f>N195/M195</f>
        <v>0.80893592004703119</v>
      </c>
      <c r="P195" s="1423">
        <f>E195/M195</f>
        <v>263.64491475602586</v>
      </c>
      <c r="Q195" s="1424">
        <f>E195/N195</f>
        <v>325.9156976744186</v>
      </c>
      <c r="R195" s="1421" t="e">
        <f>N195*#REF!</f>
        <v>#REF!</v>
      </c>
      <c r="S195" s="1425" t="e">
        <f>R195/E195</f>
        <v>#REF!</v>
      </c>
      <c r="T195" s="2356">
        <v>325</v>
      </c>
      <c r="U195" s="1426">
        <v>633</v>
      </c>
      <c r="V195" s="1427">
        <v>499</v>
      </c>
      <c r="W195" s="1428">
        <f>V195/U195</f>
        <v>0.78830963665086884</v>
      </c>
      <c r="X195" s="1429">
        <f>E195/U195</f>
        <v>708.46761453396527</v>
      </c>
      <c r="Y195" s="1430">
        <f>E195/V195</f>
        <v>898.71743486973946</v>
      </c>
      <c r="Z195" s="1431">
        <f>V195*AB195</f>
        <v>189620</v>
      </c>
      <c r="AA195" s="1432">
        <f>Z195/E195</f>
        <v>0.42282477812959907</v>
      </c>
      <c r="AB195" s="973">
        <v>380</v>
      </c>
    </row>
    <row r="196" spans="2:28" ht="16.5">
      <c r="B196" s="2354"/>
      <c r="C196" s="1413" t="s">
        <v>884</v>
      </c>
      <c r="D196" s="36" t="s">
        <v>513</v>
      </c>
      <c r="E196" s="1414">
        <f>SUM(F196:G196)</f>
        <v>544211</v>
      </c>
      <c r="F196" s="1415">
        <v>244211</v>
      </c>
      <c r="G196" s="1416">
        <v>300000</v>
      </c>
      <c r="H196" s="1417">
        <v>87850</v>
      </c>
      <c r="I196" s="1418">
        <f>E196/H196</f>
        <v>6.1947751849743877</v>
      </c>
      <c r="J196" s="1419">
        <v>2231</v>
      </c>
      <c r="K196" s="1420">
        <f>J196/H196</f>
        <v>2.5395560614684121E-2</v>
      </c>
      <c r="L196" s="1420">
        <f>M196/J196</f>
        <v>0.17212012550425818</v>
      </c>
      <c r="M196" s="1421">
        <v>384</v>
      </c>
      <c r="N196" s="1419">
        <v>258</v>
      </c>
      <c r="O196" s="1422">
        <f>N196/M196</f>
        <v>0.671875</v>
      </c>
      <c r="P196" s="1423">
        <f>E196/M196</f>
        <v>1417.2161458333333</v>
      </c>
      <c r="Q196" s="1424">
        <f>E196/N196</f>
        <v>2109.3449612403101</v>
      </c>
      <c r="R196" s="1421" t="e">
        <f>N196*#REF!</f>
        <v>#REF!</v>
      </c>
      <c r="S196" s="1425" t="e">
        <f>R196/E196</f>
        <v>#REF!</v>
      </c>
      <c r="T196" s="2356"/>
      <c r="U196" s="1433">
        <v>18</v>
      </c>
      <c r="V196" s="937" t="s">
        <v>167</v>
      </c>
      <c r="W196" s="1428" t="e">
        <f>V196/U196</f>
        <v>#VALUE!</v>
      </c>
      <c r="X196" s="1429">
        <f>E196/U196</f>
        <v>30233.944444444445</v>
      </c>
      <c r="Y196" s="1430" t="e">
        <f>E196/V196</f>
        <v>#VALUE!</v>
      </c>
      <c r="Z196" s="1431" t="e">
        <f>V196*AB196</f>
        <v>#VALUE!</v>
      </c>
      <c r="AA196" s="1432" t="e">
        <f>Z196/E196</f>
        <v>#VALUE!</v>
      </c>
      <c r="AB196" s="973">
        <v>390</v>
      </c>
    </row>
    <row r="197" spans="2:28" ht="16.5">
      <c r="B197" s="2354"/>
      <c r="C197" s="36" t="s">
        <v>883</v>
      </c>
      <c r="D197" s="36" t="s">
        <v>513</v>
      </c>
      <c r="E197" s="1414">
        <f>SUM(F197:G197)</f>
        <v>200097</v>
      </c>
      <c r="F197" s="1434">
        <v>150097</v>
      </c>
      <c r="G197" s="1416">
        <v>50000</v>
      </c>
      <c r="H197" s="1435">
        <v>45641</v>
      </c>
      <c r="I197" s="1436">
        <f>E197/H197</f>
        <v>4.3841502158147279</v>
      </c>
      <c r="J197" s="1427">
        <v>1537</v>
      </c>
      <c r="K197" s="1428">
        <f>J197/H197</f>
        <v>3.3675861615652593E-2</v>
      </c>
      <c r="L197" s="1428">
        <f>M197/J197</f>
        <v>0.2114508783344177</v>
      </c>
      <c r="M197" s="1431">
        <v>325</v>
      </c>
      <c r="N197" s="1427">
        <v>226</v>
      </c>
      <c r="O197" s="1437">
        <f>N197/M197</f>
        <v>0.69538461538461538</v>
      </c>
      <c r="P197" s="1438">
        <f>E197/M197</f>
        <v>615.6830769230769</v>
      </c>
      <c r="Q197" s="1439">
        <f>E197/N197</f>
        <v>885.38495575221236</v>
      </c>
      <c r="R197" s="1431" t="e">
        <f>N197*#REF!</f>
        <v>#REF!</v>
      </c>
      <c r="S197" s="1440" t="e">
        <f>R197/E197</f>
        <v>#REF!</v>
      </c>
      <c r="T197" s="2356"/>
      <c r="U197" s="1426">
        <v>192</v>
      </c>
      <c r="V197" s="1427">
        <v>131</v>
      </c>
      <c r="W197" s="1428">
        <f>V197/U197</f>
        <v>0.68229166666666663</v>
      </c>
      <c r="X197" s="1429">
        <f>E197/U197</f>
        <v>1042.171875</v>
      </c>
      <c r="Y197" s="1430">
        <f>E197/V197</f>
        <v>1527.4580152671756</v>
      </c>
      <c r="Z197" s="1431">
        <f>V197*AB197</f>
        <v>30130</v>
      </c>
      <c r="AA197" s="1432">
        <f>Z197/E197</f>
        <v>0.15057697016946781</v>
      </c>
      <c r="AB197" s="973">
        <v>230</v>
      </c>
    </row>
    <row r="198" spans="2:28" ht="16.5">
      <c r="B198" s="2355"/>
      <c r="C198" s="1441" t="s">
        <v>0</v>
      </c>
      <c r="D198" s="1441"/>
      <c r="E198" s="1442">
        <f>SUM(F198:G198)</f>
        <v>1192768</v>
      </c>
      <c r="F198" s="1443">
        <f>SUM(F195:F197)</f>
        <v>642768</v>
      </c>
      <c r="G198" s="1444">
        <f>SUM(G195:G197)</f>
        <v>550000</v>
      </c>
      <c r="H198" s="1445">
        <f>SUM(H195:H197)</f>
        <v>199496</v>
      </c>
      <c r="I198" s="1446">
        <f>E198/H198</f>
        <v>5.9789068452500302</v>
      </c>
      <c r="J198" s="1447">
        <f>SUM(J195:J197)</f>
        <v>9567</v>
      </c>
      <c r="K198" s="1448">
        <f>J198/H198</f>
        <v>4.7955848738821832E-2</v>
      </c>
      <c r="L198" s="1448">
        <f>M198/J198</f>
        <v>0.25190759903836102</v>
      </c>
      <c r="M198" s="1447">
        <f>SUM(M195:M197)</f>
        <v>2410</v>
      </c>
      <c r="N198" s="1447">
        <f>SUM(N195:N197)</f>
        <v>1860</v>
      </c>
      <c r="O198" s="1448">
        <f>N198/M198</f>
        <v>0.77178423236514526</v>
      </c>
      <c r="P198" s="1449">
        <f>E198/M198</f>
        <v>494.92448132780083</v>
      </c>
      <c r="Q198" s="1449">
        <f>E198/N198</f>
        <v>641.27311827956987</v>
      </c>
      <c r="R198" s="1447" t="e">
        <f>N198*#REF!</f>
        <v>#REF!</v>
      </c>
      <c r="S198" s="1450" t="e">
        <f>R198/E198</f>
        <v>#REF!</v>
      </c>
      <c r="T198" s="1447"/>
      <c r="U198" s="1445">
        <f>SUM(U195:U197)</f>
        <v>843</v>
      </c>
      <c r="V198" s="1447">
        <f>SUM(V195:V197)</f>
        <v>630</v>
      </c>
      <c r="W198" s="1448">
        <f>V198/U198</f>
        <v>0.74733096085409256</v>
      </c>
      <c r="X198" s="1451">
        <f>E198/U198</f>
        <v>1414.908659549229</v>
      </c>
      <c r="Y198" s="1451">
        <f>E198/V198</f>
        <v>1893.2825396825397</v>
      </c>
      <c r="Z198" s="1447">
        <f>V198*AB198</f>
        <v>204750</v>
      </c>
      <c r="AA198" s="1452">
        <f>Z198/E198</f>
        <v>0.1716595347963728</v>
      </c>
      <c r="AB198" s="1453">
        <f>T195</f>
        <v>325</v>
      </c>
    </row>
    <row r="199" spans="2:28" ht="16.5">
      <c r="B199" s="1454"/>
      <c r="C199" s="1454"/>
      <c r="D199" s="1454"/>
      <c r="E199" s="1454"/>
      <c r="F199" s="1454"/>
      <c r="G199" s="1454"/>
      <c r="H199" s="1454"/>
      <c r="I199" s="1454"/>
      <c r="J199" s="1454"/>
      <c r="K199" s="1454"/>
      <c r="L199" s="1454"/>
      <c r="M199" s="1454"/>
      <c r="N199" s="1454"/>
      <c r="O199" s="1454"/>
      <c r="P199" s="1454"/>
      <c r="Q199" s="1454"/>
      <c r="R199" s="1454"/>
      <c r="S199" s="1454"/>
      <c r="T199" s="1454"/>
      <c r="U199" s="1454"/>
      <c r="V199" s="1454"/>
      <c r="W199" s="1454"/>
      <c r="X199" s="1454"/>
      <c r="Y199" s="1454"/>
      <c r="Z199" s="1454"/>
      <c r="AA199" s="1454"/>
      <c r="AB199" s="1454"/>
    </row>
    <row r="200" spans="2:28" ht="16.5">
      <c r="B200" s="1454"/>
      <c r="C200" s="1454"/>
      <c r="D200" s="1454"/>
      <c r="E200" s="1454"/>
      <c r="F200" s="1454"/>
      <c r="G200" s="1454"/>
      <c r="H200" s="1454"/>
      <c r="I200" s="1454"/>
      <c r="J200" s="1454"/>
      <c r="K200" s="1454"/>
      <c r="L200" s="1454"/>
      <c r="M200" s="1454"/>
      <c r="N200" s="1454"/>
      <c r="O200" s="1454"/>
      <c r="P200" s="1454"/>
      <c r="Q200" s="1454"/>
      <c r="R200" s="1454"/>
      <c r="S200" s="1454"/>
      <c r="T200" s="1454"/>
      <c r="U200" s="1454"/>
      <c r="V200" s="1454"/>
      <c r="W200" s="1454"/>
      <c r="X200" s="1454"/>
      <c r="Y200" s="1454"/>
      <c r="Z200" s="1454"/>
      <c r="AA200" s="1454"/>
      <c r="AB200" s="1454"/>
    </row>
    <row r="201" spans="2:28" ht="16.5">
      <c r="B201" s="1454"/>
      <c r="C201" s="1454"/>
      <c r="D201" s="1454"/>
      <c r="E201" s="1454"/>
      <c r="F201" s="1454"/>
      <c r="G201" s="1454"/>
      <c r="H201" s="1454"/>
      <c r="I201" s="1454"/>
      <c r="J201" s="1454"/>
      <c r="K201" s="1454"/>
      <c r="L201" s="1454"/>
      <c r="M201" s="1454"/>
      <c r="N201" s="1454"/>
      <c r="O201" s="1454"/>
      <c r="P201" s="1454"/>
      <c r="Q201" s="1454"/>
      <c r="R201" s="1454"/>
      <c r="S201" s="1454"/>
      <c r="T201" s="1454"/>
      <c r="U201" s="1454"/>
      <c r="V201" s="1454"/>
      <c r="W201" s="1454"/>
      <c r="X201" s="1454"/>
      <c r="Y201" s="1454"/>
      <c r="Z201" s="1454"/>
      <c r="AA201" s="1454"/>
      <c r="AB201" s="1454"/>
    </row>
    <row r="202" spans="2:28" ht="16.5">
      <c r="C202" s="1454"/>
      <c r="D202" s="1454"/>
      <c r="E202" s="1454"/>
      <c r="F202" s="1454"/>
      <c r="G202" s="1454"/>
      <c r="H202" s="1454"/>
      <c r="I202" s="1454"/>
      <c r="J202" s="1454"/>
      <c r="K202" s="1454"/>
      <c r="L202" s="1454"/>
      <c r="M202" s="1454"/>
      <c r="N202" s="1454"/>
      <c r="O202" s="1454"/>
      <c r="P202" s="1454"/>
      <c r="Q202" s="1454"/>
      <c r="R202" s="1454"/>
      <c r="S202" s="1454"/>
      <c r="T202" s="1454"/>
      <c r="U202" s="1454"/>
      <c r="V202" s="1454"/>
      <c r="W202" s="1454"/>
      <c r="X202" s="1454"/>
      <c r="Y202" s="1454"/>
      <c r="Z202" s="1454"/>
      <c r="AA202" s="1454"/>
      <c r="AB202" s="1454"/>
    </row>
    <row r="203" spans="2:28" ht="16.5">
      <c r="B203" s="248" t="s">
        <v>515</v>
      </c>
      <c r="C203" s="1454"/>
      <c r="D203" s="1454"/>
      <c r="E203" s="1454"/>
      <c r="F203" s="1454"/>
      <c r="G203" s="1454"/>
      <c r="H203" s="1454"/>
      <c r="I203" s="1454"/>
      <c r="J203" s="1454"/>
      <c r="K203" s="1454"/>
      <c r="L203" s="1454"/>
      <c r="M203" s="1454"/>
      <c r="N203" s="1454"/>
      <c r="O203" s="1454"/>
      <c r="P203" s="1454"/>
      <c r="Q203" s="1454"/>
      <c r="R203" s="1454"/>
      <c r="S203" s="1454"/>
      <c r="T203" s="1454"/>
      <c r="U203" s="1454"/>
      <c r="V203" s="1454"/>
      <c r="W203" s="1454"/>
      <c r="X203" s="1454"/>
      <c r="Y203" s="1454"/>
      <c r="Z203" s="1454"/>
      <c r="AA203" s="1454"/>
      <c r="AB203" s="1454"/>
    </row>
    <row r="204" spans="2:28" ht="16.5">
      <c r="B204" s="2357" t="s">
        <v>32</v>
      </c>
      <c r="C204" s="2359" t="s">
        <v>511</v>
      </c>
      <c r="D204" s="2361" t="s">
        <v>30</v>
      </c>
      <c r="E204" s="2363" t="s">
        <v>29</v>
      </c>
      <c r="F204" s="2364"/>
      <c r="G204" s="2365"/>
      <c r="H204" s="2366" t="s">
        <v>28</v>
      </c>
      <c r="I204" s="2367"/>
      <c r="J204" s="2367"/>
      <c r="K204" s="2367"/>
      <c r="L204" s="2367"/>
      <c r="M204" s="2367"/>
      <c r="N204" s="2367"/>
      <c r="O204" s="2367"/>
      <c r="P204" s="2367"/>
      <c r="Q204" s="2367"/>
      <c r="R204" s="2367"/>
      <c r="S204" s="2367"/>
      <c r="T204" s="2368"/>
      <c r="U204" s="2366" t="s">
        <v>27</v>
      </c>
      <c r="V204" s="2367"/>
      <c r="W204" s="2367"/>
      <c r="X204" s="2367"/>
      <c r="Y204" s="2367"/>
      <c r="Z204" s="2367"/>
      <c r="AA204" s="2367"/>
      <c r="AB204" s="2368"/>
    </row>
    <row r="205" spans="2:28" ht="66">
      <c r="B205" s="2358"/>
      <c r="C205" s="2360"/>
      <c r="D205" s="2362"/>
      <c r="E205" s="1403" t="s">
        <v>26</v>
      </c>
      <c r="F205" s="1404" t="s">
        <v>138</v>
      </c>
      <c r="G205" s="1405" t="s">
        <v>24</v>
      </c>
      <c r="H205" s="1406" t="s">
        <v>23</v>
      </c>
      <c r="I205" s="1407" t="s">
        <v>22</v>
      </c>
      <c r="J205" s="1404" t="s">
        <v>21</v>
      </c>
      <c r="K205" s="1407" t="s">
        <v>20</v>
      </c>
      <c r="L205" s="1407" t="s">
        <v>19</v>
      </c>
      <c r="M205" s="1406" t="s">
        <v>18</v>
      </c>
      <c r="N205" s="1407" t="s">
        <v>17</v>
      </c>
      <c r="O205" s="1407" t="s">
        <v>16</v>
      </c>
      <c r="P205" s="1408" t="s">
        <v>15</v>
      </c>
      <c r="Q205" s="1407" t="s">
        <v>14</v>
      </c>
      <c r="R205" s="1407" t="s">
        <v>13</v>
      </c>
      <c r="S205" s="1407" t="s">
        <v>12</v>
      </c>
      <c r="T205" s="1409" t="s">
        <v>11</v>
      </c>
      <c r="U205" s="1410" t="s">
        <v>10</v>
      </c>
      <c r="V205" s="1408" t="s">
        <v>9</v>
      </c>
      <c r="W205" s="1411" t="s">
        <v>8</v>
      </c>
      <c r="X205" s="1411" t="s">
        <v>7</v>
      </c>
      <c r="Y205" s="1411" t="s">
        <v>6</v>
      </c>
      <c r="Z205" s="1411" t="s">
        <v>5</v>
      </c>
      <c r="AA205" s="1411" t="s">
        <v>4</v>
      </c>
      <c r="AB205" s="1412" t="s">
        <v>3</v>
      </c>
    </row>
    <row r="206" spans="2:28" ht="16.5">
      <c r="B206" s="2354" t="s">
        <v>516</v>
      </c>
      <c r="C206" s="1413" t="s">
        <v>885</v>
      </c>
      <c r="D206" s="36" t="s">
        <v>513</v>
      </c>
      <c r="E206" s="1414">
        <f>SUM(F206:G206)</f>
        <v>201173.45</v>
      </c>
      <c r="F206" s="1415">
        <v>1173.45</v>
      </c>
      <c r="G206" s="1416">
        <v>200000</v>
      </c>
      <c r="H206" s="1417">
        <v>20902</v>
      </c>
      <c r="I206" s="1418">
        <f>E206/H206</f>
        <v>9.6246029088125535</v>
      </c>
      <c r="J206" s="1419">
        <v>734</v>
      </c>
      <c r="K206" s="1420">
        <f>J206/H206</f>
        <v>3.5116256817529425E-2</v>
      </c>
      <c r="L206" s="1420">
        <f>M206/J206</f>
        <v>0</v>
      </c>
      <c r="M206" s="1421"/>
      <c r="N206" s="1419"/>
      <c r="O206" s="1422" t="e">
        <f>N206/M206</f>
        <v>#DIV/0!</v>
      </c>
      <c r="P206" s="1423" t="e">
        <f>E206/M206</f>
        <v>#DIV/0!</v>
      </c>
      <c r="Q206" s="1424" t="e">
        <f>E206/N206</f>
        <v>#DIV/0!</v>
      </c>
      <c r="R206" s="1421" t="e">
        <f>N206*#REF!</f>
        <v>#REF!</v>
      </c>
      <c r="S206" s="1425" t="e">
        <f>R206/E206</f>
        <v>#REF!</v>
      </c>
      <c r="T206" s="2356">
        <v>324.8</v>
      </c>
      <c r="U206" s="1426"/>
      <c r="V206" s="1427"/>
      <c r="W206" s="1428" t="e">
        <f>V206/U206</f>
        <v>#DIV/0!</v>
      </c>
      <c r="X206" s="1429" t="e">
        <f>E206/U206</f>
        <v>#DIV/0!</v>
      </c>
      <c r="Y206" s="1430" t="e">
        <f>E206/V206</f>
        <v>#DIV/0!</v>
      </c>
      <c r="Z206" s="1431">
        <f>V206*AB206</f>
        <v>0</v>
      </c>
      <c r="AA206" s="1432">
        <f>Z206/E206</f>
        <v>0</v>
      </c>
      <c r="AB206" s="973">
        <v>380</v>
      </c>
    </row>
    <row r="207" spans="2:28" ht="16.5">
      <c r="B207" s="2354"/>
      <c r="C207" s="1413" t="s">
        <v>884</v>
      </c>
      <c r="D207" s="36" t="s">
        <v>513</v>
      </c>
      <c r="E207" s="1414">
        <f>SUM(F207:G207)</f>
        <v>344405.49</v>
      </c>
      <c r="F207" s="1415">
        <v>44405.49</v>
      </c>
      <c r="G207" s="1416">
        <v>300000</v>
      </c>
      <c r="H207" s="1417">
        <v>31491</v>
      </c>
      <c r="I207" s="1418">
        <f>E207/H207</f>
        <v>10.936632371153662</v>
      </c>
      <c r="J207" s="1419">
        <v>657</v>
      </c>
      <c r="K207" s="1420">
        <f>J207/H207</f>
        <v>2.0863103743926838E-2</v>
      </c>
      <c r="L207" s="1420">
        <f>M207/J207</f>
        <v>0</v>
      </c>
      <c r="M207" s="1421"/>
      <c r="N207" s="1419"/>
      <c r="O207" s="1422" t="e">
        <f>N207/M207</f>
        <v>#DIV/0!</v>
      </c>
      <c r="P207" s="1423" t="e">
        <f>E207/M207</f>
        <v>#DIV/0!</v>
      </c>
      <c r="Q207" s="1424" t="e">
        <f>E207/N207</f>
        <v>#DIV/0!</v>
      </c>
      <c r="R207" s="1421" t="e">
        <f>N207*#REF!</f>
        <v>#REF!</v>
      </c>
      <c r="S207" s="1425" t="e">
        <f>R207/E207</f>
        <v>#REF!</v>
      </c>
      <c r="T207" s="2356"/>
      <c r="U207" s="1433"/>
      <c r="V207" s="937"/>
      <c r="W207" s="1428" t="e">
        <f>V207/U207</f>
        <v>#DIV/0!</v>
      </c>
      <c r="X207" s="1429" t="e">
        <f>E207/U207</f>
        <v>#DIV/0!</v>
      </c>
      <c r="Y207" s="1430" t="e">
        <f>E207/V207</f>
        <v>#DIV/0!</v>
      </c>
      <c r="Z207" s="1431">
        <f>V207*AB207</f>
        <v>0</v>
      </c>
      <c r="AA207" s="1432">
        <f>Z207/E207</f>
        <v>0</v>
      </c>
      <c r="AB207" s="973">
        <v>390</v>
      </c>
    </row>
    <row r="208" spans="2:28" ht="16.5">
      <c r="B208" s="2354"/>
      <c r="C208" s="36" t="s">
        <v>883</v>
      </c>
      <c r="D208" s="36" t="s">
        <v>513</v>
      </c>
      <c r="E208" s="1414">
        <f>SUM(F208:G208)</f>
        <v>51749.42</v>
      </c>
      <c r="F208" s="1434">
        <v>1749.42</v>
      </c>
      <c r="G208" s="1416">
        <v>50000</v>
      </c>
      <c r="H208" s="1435">
        <v>1807</v>
      </c>
      <c r="I208" s="1436">
        <f>E208/H208</f>
        <v>28.638306585500828</v>
      </c>
      <c r="J208" s="1427">
        <v>385</v>
      </c>
      <c r="K208" s="1428">
        <f>J208/H208</f>
        <v>0.21306032097399003</v>
      </c>
      <c r="L208" s="1428">
        <f>M208/J208</f>
        <v>0</v>
      </c>
      <c r="M208" s="1431"/>
      <c r="N208" s="1427"/>
      <c r="O208" s="1437" t="e">
        <f>N208/M208</f>
        <v>#DIV/0!</v>
      </c>
      <c r="P208" s="1438" t="e">
        <f>E208/M208</f>
        <v>#DIV/0!</v>
      </c>
      <c r="Q208" s="1439" t="e">
        <f>E208/N208</f>
        <v>#DIV/0!</v>
      </c>
      <c r="R208" s="1431" t="e">
        <f>N208*#REF!</f>
        <v>#REF!</v>
      </c>
      <c r="S208" s="1440" t="e">
        <f>R208/E208</f>
        <v>#REF!</v>
      </c>
      <c r="T208" s="2356"/>
      <c r="U208" s="1426"/>
      <c r="V208" s="1427"/>
      <c r="W208" s="1428" t="e">
        <f>V208/U208</f>
        <v>#DIV/0!</v>
      </c>
      <c r="X208" s="1429" t="e">
        <f>E208/U208</f>
        <v>#DIV/0!</v>
      </c>
      <c r="Y208" s="1430" t="e">
        <f>E208/V208</f>
        <v>#DIV/0!</v>
      </c>
      <c r="Z208" s="1431">
        <f>V208*AB208</f>
        <v>0</v>
      </c>
      <c r="AA208" s="1432">
        <f>Z208/E208</f>
        <v>0</v>
      </c>
      <c r="AB208" s="973">
        <v>230</v>
      </c>
    </row>
    <row r="209" spans="2:28" ht="16.5">
      <c r="B209" s="2355"/>
      <c r="C209" s="1441" t="s">
        <v>0</v>
      </c>
      <c r="D209" s="1441"/>
      <c r="E209" s="1442">
        <f>SUM(F209:G209)</f>
        <v>597328.36</v>
      </c>
      <c r="F209" s="1443">
        <f>SUM(F206:F208)</f>
        <v>47328.359999999993</v>
      </c>
      <c r="G209" s="1444">
        <f>SUM(G206:G208)</f>
        <v>550000</v>
      </c>
      <c r="H209" s="1445">
        <f>SUM(H206:H208)</f>
        <v>54200</v>
      </c>
      <c r="I209" s="1446">
        <f>E209/H209</f>
        <v>11.020818450184501</v>
      </c>
      <c r="J209" s="1447">
        <f>SUM(J206:J208)</f>
        <v>1776</v>
      </c>
      <c r="K209" s="1448">
        <f>J209/H209</f>
        <v>3.2767527675276756E-2</v>
      </c>
      <c r="L209" s="1448">
        <f>M209/J209</f>
        <v>0</v>
      </c>
      <c r="M209" s="1447">
        <f>SUM(M206:M208)</f>
        <v>0</v>
      </c>
      <c r="N209" s="1447">
        <f>SUM(N206:N208)</f>
        <v>0</v>
      </c>
      <c r="O209" s="1448" t="e">
        <f>N209/M209</f>
        <v>#DIV/0!</v>
      </c>
      <c r="P209" s="1449" t="e">
        <f>E209/M209</f>
        <v>#DIV/0!</v>
      </c>
      <c r="Q209" s="1449" t="e">
        <f>E209/N209</f>
        <v>#DIV/0!</v>
      </c>
      <c r="R209" s="1447" t="e">
        <f>N209*#REF!</f>
        <v>#REF!</v>
      </c>
      <c r="S209" s="1450" t="e">
        <f>R209/E209</f>
        <v>#REF!</v>
      </c>
      <c r="T209" s="1447">
        <f>T206</f>
        <v>324.8</v>
      </c>
      <c r="U209" s="1445">
        <f>SUM(U206:U208)</f>
        <v>0</v>
      </c>
      <c r="V209" s="1447">
        <f>SUM(V206:V208)</f>
        <v>0</v>
      </c>
      <c r="W209" s="1448" t="e">
        <f>V209/U209</f>
        <v>#DIV/0!</v>
      </c>
      <c r="X209" s="1451" t="e">
        <f>E209/U209</f>
        <v>#DIV/0!</v>
      </c>
      <c r="Y209" s="1451" t="e">
        <f>E209/V209</f>
        <v>#DIV/0!</v>
      </c>
      <c r="Z209" s="1447">
        <f>V209*AB209</f>
        <v>0</v>
      </c>
      <c r="AA209" s="1452">
        <f>Z209/E209</f>
        <v>0</v>
      </c>
      <c r="AB209" s="1453">
        <f>T209</f>
        <v>324.8</v>
      </c>
    </row>
    <row r="210" spans="2:28" ht="16.5">
      <c r="B210" s="1454"/>
      <c r="C210" s="1454"/>
      <c r="D210" s="1454"/>
      <c r="E210" s="1454"/>
      <c r="F210" s="1454"/>
      <c r="G210" s="1454"/>
      <c r="H210" s="1454"/>
      <c r="I210" s="1454"/>
      <c r="J210" s="1454"/>
      <c r="K210" s="1454"/>
      <c r="L210" s="1454"/>
      <c r="M210" s="1454"/>
      <c r="N210" s="1454"/>
      <c r="O210" s="1454"/>
      <c r="P210" s="1454"/>
      <c r="Q210" s="1454"/>
      <c r="R210" s="1454"/>
      <c r="S210" s="1454"/>
      <c r="T210" s="1454"/>
      <c r="U210" s="1454"/>
      <c r="V210" s="1454"/>
      <c r="W210" s="1454"/>
      <c r="X210" s="1454"/>
      <c r="Y210" s="1454"/>
      <c r="Z210" s="1454"/>
      <c r="AA210" s="1454"/>
      <c r="AB210" s="1454"/>
    </row>
  </sheetData>
  <mergeCells count="163">
    <mergeCell ref="H13:J13"/>
    <mergeCell ref="K13:W13"/>
    <mergeCell ref="X13:AE13"/>
    <mergeCell ref="B15:B16"/>
    <mergeCell ref="B21:B22"/>
    <mergeCell ref="C21:C22"/>
    <mergeCell ref="D21:D22"/>
    <mergeCell ref="E21:E22"/>
    <mergeCell ref="F21:F22"/>
    <mergeCell ref="G21:G22"/>
    <mergeCell ref="B13:B14"/>
    <mergeCell ref="C13:C14"/>
    <mergeCell ref="D13:D14"/>
    <mergeCell ref="E13:E14"/>
    <mergeCell ref="F13:F14"/>
    <mergeCell ref="G13:G14"/>
    <mergeCell ref="H21:J21"/>
    <mergeCell ref="K21:W21"/>
    <mergeCell ref="X21:AE21"/>
    <mergeCell ref="B23:B24"/>
    <mergeCell ref="B27:B28"/>
    <mergeCell ref="C27:C28"/>
    <mergeCell ref="D27:D28"/>
    <mergeCell ref="E27:G27"/>
    <mergeCell ref="H27:T27"/>
    <mergeCell ref="U27:AB27"/>
    <mergeCell ref="B29:B33"/>
    <mergeCell ref="D29:D30"/>
    <mergeCell ref="T29:T33"/>
    <mergeCell ref="D32:D33"/>
    <mergeCell ref="AB32:AB33"/>
    <mergeCell ref="U53:AB53"/>
    <mergeCell ref="U40:AB40"/>
    <mergeCell ref="B42:B46"/>
    <mergeCell ref="D42:D43"/>
    <mergeCell ref="T42:T46"/>
    <mergeCell ref="D45:D46"/>
    <mergeCell ref="AB45:AB46"/>
    <mergeCell ref="B55:B59"/>
    <mergeCell ref="D55:D56"/>
    <mergeCell ref="T55:T59"/>
    <mergeCell ref="D58:D59"/>
    <mergeCell ref="AB58:AB59"/>
    <mergeCell ref="B40:B41"/>
    <mergeCell ref="C40:C41"/>
    <mergeCell ref="D40:D41"/>
    <mergeCell ref="E40:G40"/>
    <mergeCell ref="H40:T40"/>
    <mergeCell ref="B53:B54"/>
    <mergeCell ref="C53:C54"/>
    <mergeCell ref="D53:D54"/>
    <mergeCell ref="E53:G53"/>
    <mergeCell ref="H53:T53"/>
    <mergeCell ref="B66:B67"/>
    <mergeCell ref="C66:C67"/>
    <mergeCell ref="D66:D67"/>
    <mergeCell ref="E66:G66"/>
    <mergeCell ref="H66:T66"/>
    <mergeCell ref="U66:AB66"/>
    <mergeCell ref="B68:B72"/>
    <mergeCell ref="D68:D69"/>
    <mergeCell ref="T68:T72"/>
    <mergeCell ref="AB71:AB72"/>
    <mergeCell ref="B79:B80"/>
    <mergeCell ref="C79:C80"/>
    <mergeCell ref="D79:D80"/>
    <mergeCell ref="E79:G79"/>
    <mergeCell ref="H79:T79"/>
    <mergeCell ref="U79:AB79"/>
    <mergeCell ref="B81:B85"/>
    <mergeCell ref="D81:D82"/>
    <mergeCell ref="T81:T85"/>
    <mergeCell ref="AB84:AB85"/>
    <mergeCell ref="B92:B93"/>
    <mergeCell ref="C92:C93"/>
    <mergeCell ref="D92:D93"/>
    <mergeCell ref="E92:G92"/>
    <mergeCell ref="H92:T92"/>
    <mergeCell ref="U92:AB92"/>
    <mergeCell ref="T94:T98"/>
    <mergeCell ref="B97:B98"/>
    <mergeCell ref="AB97:AB98"/>
    <mergeCell ref="B105:B106"/>
    <mergeCell ref="C105:C106"/>
    <mergeCell ref="D105:D106"/>
    <mergeCell ref="E105:G105"/>
    <mergeCell ref="H105:T105"/>
    <mergeCell ref="U105:AB105"/>
    <mergeCell ref="T107:T111"/>
    <mergeCell ref="B110:B111"/>
    <mergeCell ref="AB110:AB111"/>
    <mergeCell ref="B116:B117"/>
    <mergeCell ref="C116:C117"/>
    <mergeCell ref="D116:D117"/>
    <mergeCell ref="E116:G116"/>
    <mergeCell ref="H116:T116"/>
    <mergeCell ref="U116:AB116"/>
    <mergeCell ref="B130:B131"/>
    <mergeCell ref="B137:B138"/>
    <mergeCell ref="C137:C138"/>
    <mergeCell ref="D137:D138"/>
    <mergeCell ref="E137:G137"/>
    <mergeCell ref="H137:T137"/>
    <mergeCell ref="T118:T122"/>
    <mergeCell ref="B121:B122"/>
    <mergeCell ref="AB121:AB122"/>
    <mergeCell ref="B128:B129"/>
    <mergeCell ref="C128:C129"/>
    <mergeCell ref="D128:D129"/>
    <mergeCell ref="E128:G128"/>
    <mergeCell ref="H128:T128"/>
    <mergeCell ref="U128:AB128"/>
    <mergeCell ref="B149:B152"/>
    <mergeCell ref="T149:T150"/>
    <mergeCell ref="B157:B158"/>
    <mergeCell ref="C157:C158"/>
    <mergeCell ref="D157:D158"/>
    <mergeCell ref="E157:G157"/>
    <mergeCell ref="H157:T157"/>
    <mergeCell ref="U137:AB137"/>
    <mergeCell ref="B139:B142"/>
    <mergeCell ref="T139:T140"/>
    <mergeCell ref="B147:B148"/>
    <mergeCell ref="C147:C148"/>
    <mergeCell ref="D147:D148"/>
    <mergeCell ref="E147:G147"/>
    <mergeCell ref="H147:T147"/>
    <mergeCell ref="U147:AB147"/>
    <mergeCell ref="B171:B175"/>
    <mergeCell ref="T171:T173"/>
    <mergeCell ref="B181:B182"/>
    <mergeCell ref="C181:C182"/>
    <mergeCell ref="D181:D182"/>
    <mergeCell ref="E181:G181"/>
    <mergeCell ref="H181:T181"/>
    <mergeCell ref="U157:AB157"/>
    <mergeCell ref="B159:B163"/>
    <mergeCell ref="T159:T161"/>
    <mergeCell ref="B169:B170"/>
    <mergeCell ref="C169:C170"/>
    <mergeCell ref="D169:D170"/>
    <mergeCell ref="E169:G169"/>
    <mergeCell ref="H169:T169"/>
    <mergeCell ref="U169:AB169"/>
    <mergeCell ref="U181:AB181"/>
    <mergeCell ref="B183:B187"/>
    <mergeCell ref="T183:T185"/>
    <mergeCell ref="B193:B194"/>
    <mergeCell ref="C193:C194"/>
    <mergeCell ref="D193:D194"/>
    <mergeCell ref="E193:G193"/>
    <mergeCell ref="H193:T193"/>
    <mergeCell ref="U193:AB193"/>
    <mergeCell ref="U204:AB204"/>
    <mergeCell ref="B206:B209"/>
    <mergeCell ref="T206:T208"/>
    <mergeCell ref="B195:B198"/>
    <mergeCell ref="T195:T197"/>
    <mergeCell ref="B204:B205"/>
    <mergeCell ref="C204:C205"/>
    <mergeCell ref="D204:D205"/>
    <mergeCell ref="E204:G204"/>
    <mergeCell ref="H204:T204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C254-96F8-BD44-849E-04830FABB9F2}">
  <dimension ref="A2:AE184"/>
  <sheetViews>
    <sheetView showGridLines="0" workbookViewId="0">
      <selection activeCell="G14" sqref="G14:G15"/>
    </sheetView>
  </sheetViews>
  <sheetFormatPr defaultColWidth="7.6640625" defaultRowHeight="16.5"/>
  <cols>
    <col min="1" max="1" width="7.6640625" style="839"/>
    <col min="2" max="2" width="24.08203125" style="839" customWidth="1"/>
    <col min="3" max="3" width="26.33203125" style="841" customWidth="1"/>
    <col min="4" max="4" width="25" style="841" customWidth="1"/>
    <col min="5" max="5" width="24.6640625" style="839" customWidth="1"/>
    <col min="6" max="6" width="22" style="839" customWidth="1"/>
    <col min="7" max="7" width="26.33203125" style="839" customWidth="1"/>
    <col min="8" max="9" width="14.33203125" style="839" customWidth="1"/>
    <col min="10" max="10" width="16.08203125" style="839" customWidth="1"/>
    <col min="11" max="11" width="15.08203125" style="839" customWidth="1"/>
    <col min="12" max="12" width="14.08203125" style="839" customWidth="1"/>
    <col min="13" max="13" width="11.33203125" style="839" customWidth="1"/>
    <col min="14" max="14" width="13.08203125" style="839" customWidth="1"/>
    <col min="15" max="15" width="17.08203125" style="839" customWidth="1"/>
    <col min="16" max="17" width="13.08203125" style="839" customWidth="1"/>
    <col min="18" max="18" width="14.33203125" style="839" customWidth="1"/>
    <col min="19" max="19" width="20.33203125" style="839" customWidth="1"/>
    <col min="20" max="20" width="13.08203125" style="839" customWidth="1"/>
    <col min="21" max="21" width="15" style="839" customWidth="1"/>
    <col min="22" max="22" width="10.33203125" style="839" customWidth="1"/>
    <col min="23" max="23" width="11.33203125" style="839" customWidth="1"/>
    <col min="24" max="25" width="9.33203125" style="839" customWidth="1"/>
    <col min="26" max="26" width="14.08203125" style="839" customWidth="1"/>
    <col min="27" max="27" width="13.08203125" style="839" customWidth="1"/>
    <col min="28" max="28" width="11.6640625" style="839" customWidth="1"/>
    <col min="29" max="29" width="10.08203125" style="839" customWidth="1"/>
    <col min="30" max="30" width="13.08203125" style="839" customWidth="1"/>
    <col min="31" max="31" width="14.75" style="839" customWidth="1"/>
    <col min="32" max="16384" width="7.6640625" style="839"/>
  </cols>
  <sheetData>
    <row r="2" spans="1:31">
      <c r="B2" s="840" t="s">
        <v>236</v>
      </c>
    </row>
    <row r="3" spans="1:31">
      <c r="B3" s="840" t="s">
        <v>182</v>
      </c>
    </row>
    <row r="4" spans="1:31">
      <c r="B4" s="849" t="s">
        <v>237</v>
      </c>
    </row>
    <row r="5" spans="1:31">
      <c r="B5" s="849" t="s">
        <v>183</v>
      </c>
    </row>
    <row r="7" spans="1:31" s="1867" customFormat="1" ht="22.5">
      <c r="B7" s="1763" t="s">
        <v>886</v>
      </c>
      <c r="C7" s="1868"/>
      <c r="D7" s="1868"/>
    </row>
    <row r="8" spans="1:31" s="1869" customFormat="1">
      <c r="B8" s="1870" t="s">
        <v>216</v>
      </c>
      <c r="C8" s="1871" t="s">
        <v>531</v>
      </c>
      <c r="D8" s="1872"/>
    </row>
    <row r="9" spans="1:31" s="1869" customFormat="1">
      <c r="B9" s="1870" t="s">
        <v>601</v>
      </c>
      <c r="C9" s="1871" t="s">
        <v>602</v>
      </c>
      <c r="D9" s="1872"/>
    </row>
    <row r="10" spans="1:31">
      <c r="B10" s="593" t="s">
        <v>525</v>
      </c>
      <c r="C10" s="951" t="s">
        <v>412</v>
      </c>
      <c r="D10" s="951"/>
    </row>
    <row r="11" spans="1:31" customFormat="1">
      <c r="A11" s="1766"/>
      <c r="B11" s="1386"/>
      <c r="C11" s="706"/>
      <c r="D11" s="70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  <c r="AA11" s="336"/>
      <c r="AB11" s="336"/>
    </row>
    <row r="12" spans="1:31" customFormat="1">
      <c r="A12" s="1766"/>
      <c r="B12" s="236"/>
      <c r="C12" s="1392"/>
      <c r="D12" s="1831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</row>
    <row r="13" spans="1:31" customFormat="1">
      <c r="A13" s="234"/>
      <c r="B13" s="66" t="s">
        <v>603</v>
      </c>
    </row>
    <row r="14" spans="1:31" customFormat="1">
      <c r="A14" s="234"/>
      <c r="B14" s="2297" t="s">
        <v>32</v>
      </c>
      <c r="C14" s="2299" t="s">
        <v>31</v>
      </c>
      <c r="D14" s="2299" t="s">
        <v>438</v>
      </c>
      <c r="E14" s="2299" t="s">
        <v>440</v>
      </c>
      <c r="F14" s="2299" t="s">
        <v>441</v>
      </c>
      <c r="G14" s="2299" t="s">
        <v>30</v>
      </c>
      <c r="H14" s="2302" t="s">
        <v>29</v>
      </c>
      <c r="I14" s="2303"/>
      <c r="J14" s="2304"/>
      <c r="K14" s="2305" t="s">
        <v>28</v>
      </c>
      <c r="L14" s="2303"/>
      <c r="M14" s="2303"/>
      <c r="N14" s="2303"/>
      <c r="O14" s="2303"/>
      <c r="P14" s="2303"/>
      <c r="Q14" s="2303"/>
      <c r="R14" s="2303"/>
      <c r="S14" s="2303"/>
      <c r="T14" s="2303"/>
      <c r="U14" s="2303"/>
      <c r="V14" s="2303"/>
      <c r="W14" s="2304"/>
      <c r="X14" s="2305" t="s">
        <v>27</v>
      </c>
      <c r="Y14" s="2303"/>
      <c r="Z14" s="2303"/>
      <c r="AA14" s="2303"/>
      <c r="AB14" s="2303"/>
      <c r="AC14" s="2303"/>
      <c r="AD14" s="2303"/>
      <c r="AE14" s="2304"/>
    </row>
    <row r="15" spans="1:31" customFormat="1" ht="82.5">
      <c r="A15" s="234"/>
      <c r="B15" s="2298"/>
      <c r="C15" s="2300"/>
      <c r="D15" s="2301"/>
      <c r="E15" s="2301"/>
      <c r="F15" s="2301"/>
      <c r="G15" s="2301"/>
      <c r="H15" s="179" t="s">
        <v>26</v>
      </c>
      <c r="I15" s="178" t="s">
        <v>25</v>
      </c>
      <c r="J15" s="174" t="s">
        <v>24</v>
      </c>
      <c r="K15" s="177" t="s">
        <v>23</v>
      </c>
      <c r="L15" s="175" t="s">
        <v>44</v>
      </c>
      <c r="M15" s="178" t="s">
        <v>21</v>
      </c>
      <c r="N15" s="175" t="s">
        <v>20</v>
      </c>
      <c r="O15" s="175" t="s">
        <v>19</v>
      </c>
      <c r="P15" s="177" t="s">
        <v>18</v>
      </c>
      <c r="Q15" s="175" t="s">
        <v>17</v>
      </c>
      <c r="R15" s="58" t="s">
        <v>16</v>
      </c>
      <c r="S15" s="172" t="s">
        <v>15</v>
      </c>
      <c r="T15" s="58" t="s">
        <v>14</v>
      </c>
      <c r="U15" s="58" t="s">
        <v>13</v>
      </c>
      <c r="V15" s="58" t="s">
        <v>12</v>
      </c>
      <c r="W15" s="174" t="s">
        <v>11</v>
      </c>
      <c r="X15" s="173" t="s">
        <v>10</v>
      </c>
      <c r="Y15" s="172" t="s">
        <v>9</v>
      </c>
      <c r="Z15" s="171" t="s">
        <v>8</v>
      </c>
      <c r="AA15" s="171" t="s">
        <v>7</v>
      </c>
      <c r="AB15" s="171" t="s">
        <v>6</v>
      </c>
      <c r="AC15" s="171" t="s">
        <v>5</v>
      </c>
      <c r="AD15" s="171" t="s">
        <v>4</v>
      </c>
      <c r="AE15" s="410" t="s">
        <v>3</v>
      </c>
    </row>
    <row r="16" spans="1:31" customFormat="1">
      <c r="A16" s="234"/>
      <c r="B16" s="2288" t="s">
        <v>603</v>
      </c>
      <c r="C16" s="169" t="s">
        <v>887</v>
      </c>
      <c r="D16" s="169" t="s">
        <v>542</v>
      </c>
      <c r="E16" s="169" t="s">
        <v>450</v>
      </c>
      <c r="F16" s="169" t="s">
        <v>604</v>
      </c>
      <c r="G16" s="169" t="s">
        <v>605</v>
      </c>
      <c r="H16" s="221">
        <f>J16+I16</f>
        <v>1141639.21</v>
      </c>
      <c r="I16" s="195">
        <v>424343.21</v>
      </c>
      <c r="J16" s="194">
        <v>717296</v>
      </c>
      <c r="K16" s="1351">
        <v>434114</v>
      </c>
      <c r="L16" s="1352">
        <f>H16/K16</f>
        <v>2.6298143114481447</v>
      </c>
      <c r="M16" s="186">
        <v>6419</v>
      </c>
      <c r="N16" s="1353">
        <f>M16/K16</f>
        <v>1.4786438585256407E-2</v>
      </c>
      <c r="O16" s="1354">
        <f>P16/M16</f>
        <v>8.4592615672223093E-2</v>
      </c>
      <c r="P16" s="188">
        <v>543</v>
      </c>
      <c r="Q16" s="186">
        <v>364</v>
      </c>
      <c r="R16" s="101">
        <f>Q16/P16</f>
        <v>0.67034990791896865</v>
      </c>
      <c r="S16" s="198">
        <f>H16/P16</f>
        <v>2102.4663167587478</v>
      </c>
      <c r="T16" s="100">
        <f>H16/Q16</f>
        <v>3136.3714560439557</v>
      </c>
      <c r="U16" s="198">
        <f>Q16*$W16</f>
        <v>131768</v>
      </c>
      <c r="V16" s="197">
        <f>IFERROR(U16/H16,"-")</f>
        <v>0.11542000208629835</v>
      </c>
      <c r="W16" s="1355">
        <v>362</v>
      </c>
      <c r="X16" s="187">
        <v>74</v>
      </c>
      <c r="Y16" s="186">
        <v>45</v>
      </c>
      <c r="Z16" s="45">
        <f>Y16/X16</f>
        <v>0.60810810810810811</v>
      </c>
      <c r="AA16" s="44">
        <f>H16/X16</f>
        <v>15427.556891891891</v>
      </c>
      <c r="AB16" s="99">
        <f>H16/Y16</f>
        <v>25369.760222222223</v>
      </c>
      <c r="AC16" s="42">
        <f>Y16*AE16</f>
        <v>21420</v>
      </c>
      <c r="AD16" s="1873">
        <f>IFERROR(AC16/H16,"-")</f>
        <v>1.8762495026778205E-2</v>
      </c>
      <c r="AE16" s="40">
        <v>476</v>
      </c>
    </row>
    <row r="17" spans="1:31" customFormat="1">
      <c r="A17" s="234"/>
      <c r="B17" s="2289"/>
      <c r="C17" s="153" t="s">
        <v>0</v>
      </c>
      <c r="D17" s="153"/>
      <c r="E17" s="153"/>
      <c r="F17" s="153"/>
      <c r="G17" s="153"/>
      <c r="H17" s="1356">
        <f>SUM(H16)</f>
        <v>1141639.21</v>
      </c>
      <c r="I17" s="81">
        <f>SUM(I16)</f>
        <v>424343.21</v>
      </c>
      <c r="J17" s="80">
        <f>SUM(J16)</f>
        <v>717296</v>
      </c>
      <c r="K17" s="76">
        <f>SUM(K16:K16)</f>
        <v>434114</v>
      </c>
      <c r="L17" s="79">
        <f>H17/K17</f>
        <v>2.6298143114481447</v>
      </c>
      <c r="M17" s="76">
        <f>SUM(M16)</f>
        <v>6419</v>
      </c>
      <c r="N17" s="78">
        <f>M17/K17</f>
        <v>1.4786438585256407E-2</v>
      </c>
      <c r="O17" s="78">
        <f>P17/M17</f>
        <v>8.4592615672223093E-2</v>
      </c>
      <c r="P17" s="76">
        <f>SUM(P16)</f>
        <v>543</v>
      </c>
      <c r="Q17" s="76">
        <f>SUM(Q16)</f>
        <v>364</v>
      </c>
      <c r="R17" s="78">
        <f>Q17/P17</f>
        <v>0.67034990791896865</v>
      </c>
      <c r="S17" s="77">
        <f>H17/P17</f>
        <v>2102.4663167587478</v>
      </c>
      <c r="T17" s="77">
        <f>H17/Q17</f>
        <v>3136.3714560439557</v>
      </c>
      <c r="U17" s="76">
        <f>Q17*$W16</f>
        <v>131768</v>
      </c>
      <c r="V17" s="118">
        <f>U17/H17</f>
        <v>0.11542000208629835</v>
      </c>
      <c r="W17" s="74"/>
      <c r="X17" s="73">
        <f>SUM(X16)</f>
        <v>74</v>
      </c>
      <c r="Y17" s="70">
        <f>SUM(Y16)</f>
        <v>45</v>
      </c>
      <c r="Z17" s="72">
        <f>Y17/X17</f>
        <v>0.60810810810810811</v>
      </c>
      <c r="AA17" s="71">
        <f>H17/X17</f>
        <v>15427.556891891891</v>
      </c>
      <c r="AB17" s="71">
        <f>H17/Y17</f>
        <v>25369.760222222223</v>
      </c>
      <c r="AC17" s="70">
        <f>Y17*AE16</f>
        <v>21420</v>
      </c>
      <c r="AD17" s="1874">
        <f>AC17/H17</f>
        <v>1.8762495026778205E-2</v>
      </c>
      <c r="AE17" s="68"/>
    </row>
    <row r="18" spans="1:31" customFormat="1">
      <c r="A18" s="234"/>
      <c r="B18" s="1772"/>
      <c r="C18" s="235"/>
      <c r="D18" s="235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</row>
    <row r="19" spans="1:31" customFormat="1">
      <c r="A19" s="234"/>
      <c r="B19" s="404"/>
      <c r="C19" s="235"/>
      <c r="D19" s="235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</row>
    <row r="20" spans="1:31" customFormat="1">
      <c r="A20" s="234"/>
      <c r="B20" s="66" t="s">
        <v>128</v>
      </c>
      <c r="C20" s="235"/>
      <c r="D20" s="235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</row>
    <row r="21" spans="1:31" customFormat="1">
      <c r="A21" s="234"/>
      <c r="B21" s="248" t="s">
        <v>606</v>
      </c>
      <c r="C21" s="951"/>
      <c r="D21" s="951"/>
      <c r="E21" s="839"/>
      <c r="F21" s="839"/>
      <c r="G21" s="839"/>
      <c r="H21" s="839"/>
      <c r="I21" s="839"/>
      <c r="J21" s="839"/>
      <c r="K21" s="839"/>
      <c r="L21" s="839"/>
      <c r="M21" s="839"/>
      <c r="N21" s="839"/>
      <c r="O21" s="839"/>
      <c r="P21" s="839"/>
      <c r="Q21" s="839"/>
      <c r="R21" s="839"/>
      <c r="S21" s="839"/>
      <c r="T21" s="839"/>
      <c r="U21" s="839"/>
      <c r="V21" s="839"/>
      <c r="W21" s="839"/>
      <c r="X21" s="839"/>
      <c r="Y21" s="839"/>
      <c r="Z21" s="839"/>
      <c r="AA21" s="839"/>
      <c r="AB21" s="839"/>
    </row>
    <row r="22" spans="1:31" customFormat="1" ht="34.5" customHeight="1">
      <c r="A22" s="234"/>
      <c r="B22" s="2371" t="s">
        <v>456</v>
      </c>
      <c r="C22" s="2372" t="s">
        <v>457</v>
      </c>
      <c r="D22" s="2374" t="s">
        <v>150</v>
      </c>
      <c r="E22" s="2376" t="s">
        <v>151</v>
      </c>
      <c r="F22" s="2376"/>
      <c r="G22" s="2376"/>
      <c r="H22" s="2346" t="s">
        <v>152</v>
      </c>
      <c r="I22" s="2346"/>
      <c r="J22" s="2346"/>
      <c r="K22" s="2346"/>
      <c r="L22" s="2346"/>
      <c r="M22" s="2346"/>
      <c r="N22" s="2346"/>
      <c r="O22" s="2346"/>
      <c r="P22" s="2346"/>
      <c r="Q22" s="2346"/>
      <c r="R22" s="2346"/>
      <c r="S22" s="2346"/>
      <c r="T22" s="2346"/>
      <c r="U22" s="2349" t="s">
        <v>27</v>
      </c>
      <c r="V22" s="2349"/>
      <c r="W22" s="2349"/>
      <c r="X22" s="2349"/>
      <c r="Y22" s="2349"/>
      <c r="Z22" s="2349"/>
      <c r="AA22" s="2349"/>
      <c r="AB22" s="2379"/>
    </row>
    <row r="23" spans="1:31" customFormat="1" ht="49.5">
      <c r="A23" s="234"/>
      <c r="B23" s="2371"/>
      <c r="C23" s="2372"/>
      <c r="D23" s="2374"/>
      <c r="E23" s="179" t="s">
        <v>154</v>
      </c>
      <c r="F23" s="178" t="s">
        <v>458</v>
      </c>
      <c r="G23" s="174" t="s">
        <v>156</v>
      </c>
      <c r="H23" s="406" t="s">
        <v>223</v>
      </c>
      <c r="I23" s="354" t="s">
        <v>44</v>
      </c>
      <c r="J23" s="351" t="s">
        <v>21</v>
      </c>
      <c r="K23" s="354" t="s">
        <v>20</v>
      </c>
      <c r="L23" s="354" t="s">
        <v>19</v>
      </c>
      <c r="M23" s="355" t="s">
        <v>18</v>
      </c>
      <c r="N23" s="354" t="s">
        <v>17</v>
      </c>
      <c r="O23" s="356" t="s">
        <v>16</v>
      </c>
      <c r="P23" s="357" t="s">
        <v>15</v>
      </c>
      <c r="Q23" s="354" t="s">
        <v>14</v>
      </c>
      <c r="R23" s="354" t="s">
        <v>13</v>
      </c>
      <c r="S23" s="354" t="s">
        <v>12</v>
      </c>
      <c r="T23" s="358" t="s">
        <v>11</v>
      </c>
      <c r="U23" s="407" t="s">
        <v>10</v>
      </c>
      <c r="V23" s="408" t="s">
        <v>9</v>
      </c>
      <c r="W23" s="409" t="s">
        <v>8</v>
      </c>
      <c r="X23" s="409" t="s">
        <v>7</v>
      </c>
      <c r="Y23" s="409" t="s">
        <v>6</v>
      </c>
      <c r="Z23" s="409" t="s">
        <v>5</v>
      </c>
      <c r="AA23" s="409" t="s">
        <v>4</v>
      </c>
      <c r="AB23" s="410" t="s">
        <v>3</v>
      </c>
    </row>
    <row r="24" spans="1:31" customFormat="1">
      <c r="A24" s="234"/>
      <c r="B24" s="1875" t="s">
        <v>459</v>
      </c>
      <c r="C24" s="169" t="s">
        <v>887</v>
      </c>
      <c r="D24" s="1462" t="s">
        <v>459</v>
      </c>
      <c r="E24" s="464">
        <f>F24+G24</f>
        <v>644384.91</v>
      </c>
      <c r="F24" s="183">
        <v>574288.91</v>
      </c>
      <c r="G24" s="183">
        <v>70096</v>
      </c>
      <c r="H24" s="1194">
        <v>498582</v>
      </c>
      <c r="I24" s="415">
        <f>E24/H24</f>
        <v>1.2924351661311479</v>
      </c>
      <c r="J24" s="416">
        <v>20581</v>
      </c>
      <c r="K24" s="417">
        <f>J24/H24</f>
        <v>4.1279067435246355E-2</v>
      </c>
      <c r="L24" s="418">
        <f>M24/J24</f>
        <v>0.192118944657694</v>
      </c>
      <c r="M24" s="155">
        <v>3954</v>
      </c>
      <c r="N24" s="159">
        <v>2615</v>
      </c>
      <c r="O24" s="1362">
        <f>N24/M24</f>
        <v>0.66135558927668181</v>
      </c>
      <c r="P24" s="157">
        <f>E24/M24</f>
        <v>162.97038694992415</v>
      </c>
      <c r="Q24" s="159">
        <f>E24/N24</f>
        <v>246.4187036328872</v>
      </c>
      <c r="R24" s="155">
        <f>N24*T24</f>
        <v>2701295</v>
      </c>
      <c r="S24" s="1876">
        <f>R24/E24</f>
        <v>4.1920519212655059</v>
      </c>
      <c r="T24" s="2380">
        <v>1033</v>
      </c>
      <c r="U24" s="422">
        <v>790</v>
      </c>
      <c r="V24" s="416">
        <v>480</v>
      </c>
      <c r="W24" s="417">
        <f>V24/U24</f>
        <v>0.60759493670886078</v>
      </c>
      <c r="X24" s="157">
        <f>E24/U24</f>
        <v>815.67710126582278</v>
      </c>
      <c r="Y24" s="156">
        <f>E24/V24</f>
        <v>1342.4685625</v>
      </c>
      <c r="Z24" s="155">
        <f>V24*AB24</f>
        <v>486240</v>
      </c>
      <c r="AA24" s="1388">
        <f>Z24/E24</f>
        <v>0.7545800537135483</v>
      </c>
      <c r="AB24" s="656">
        <v>1013</v>
      </c>
    </row>
    <row r="25" spans="1:31" customFormat="1">
      <c r="A25" s="234"/>
      <c r="B25" s="1875" t="s">
        <v>459</v>
      </c>
      <c r="C25" s="169" t="s">
        <v>888</v>
      </c>
      <c r="D25" s="1462" t="s">
        <v>459</v>
      </c>
      <c r="E25" s="464">
        <f>F25+G25</f>
        <v>672303.68</v>
      </c>
      <c r="F25" s="183">
        <v>469222.68000000005</v>
      </c>
      <c r="G25" s="183">
        <v>203081</v>
      </c>
      <c r="H25" s="414">
        <v>429818</v>
      </c>
      <c r="I25" s="415">
        <f>E25/H25</f>
        <v>1.5641589696103932</v>
      </c>
      <c r="J25" s="416">
        <v>11289</v>
      </c>
      <c r="K25" s="417">
        <f>J25/H25</f>
        <v>2.6264605018868452E-2</v>
      </c>
      <c r="L25" s="418">
        <f>M25/J25</f>
        <v>0.1057666755248472</v>
      </c>
      <c r="M25" s="155">
        <v>1194</v>
      </c>
      <c r="N25" s="159">
        <v>810</v>
      </c>
      <c r="O25" s="1362">
        <f t="shared" ref="O25:O26" si="0">N25/M25</f>
        <v>0.67839195979899503</v>
      </c>
      <c r="P25" s="157">
        <f t="shared" ref="P25:P26" si="1">E25/M25</f>
        <v>563.0684087102178</v>
      </c>
      <c r="Q25" s="159">
        <f t="shared" ref="Q25:Q26" si="2">E25/N25</f>
        <v>830.0045432098766</v>
      </c>
      <c r="R25" s="155">
        <f>N25*T24</f>
        <v>836730</v>
      </c>
      <c r="S25" s="1876">
        <f t="shared" ref="S25:S26" si="3">R25/E25</f>
        <v>1.2445715007836933</v>
      </c>
      <c r="T25" s="2290"/>
      <c r="U25" s="422">
        <v>153</v>
      </c>
      <c r="V25" s="416">
        <v>123</v>
      </c>
      <c r="W25" s="417">
        <f t="shared" ref="W25" si="4">V25/U25</f>
        <v>0.80392156862745101</v>
      </c>
      <c r="X25" s="157">
        <f t="shared" ref="X25" si="5">E25/U25</f>
        <v>4394.1416993464054</v>
      </c>
      <c r="Y25" s="156">
        <f t="shared" ref="Y25" si="6">E25/V25</f>
        <v>5465.8835772357725</v>
      </c>
      <c r="Z25" s="155">
        <f t="shared" ref="Z25" si="7">V25*AB25</f>
        <v>310083</v>
      </c>
      <c r="AA25" s="1388">
        <f t="shared" ref="AA25:AA26" si="8">Z25/E25</f>
        <v>0.4612246061184731</v>
      </c>
      <c r="AB25" s="656">
        <v>2521</v>
      </c>
    </row>
    <row r="26" spans="1:31" customFormat="1">
      <c r="A26" s="234"/>
      <c r="B26" s="1877" t="s">
        <v>607</v>
      </c>
      <c r="C26" s="169" t="s">
        <v>889</v>
      </c>
      <c r="D26" s="1462" t="s">
        <v>607</v>
      </c>
      <c r="E26" s="464">
        <f>F26+G26</f>
        <v>145451.6</v>
      </c>
      <c r="F26" s="183">
        <v>129116.6</v>
      </c>
      <c r="G26" s="183">
        <v>16335</v>
      </c>
      <c r="H26" s="414">
        <v>37483</v>
      </c>
      <c r="I26" s="415">
        <f>E26/H26</f>
        <v>3.8804684790438335</v>
      </c>
      <c r="J26" s="416">
        <v>5484</v>
      </c>
      <c r="K26" s="417">
        <f>J26/H26</f>
        <v>0.14630632553424219</v>
      </c>
      <c r="L26" s="418">
        <f>M26/J26</f>
        <v>0.30379285193289568</v>
      </c>
      <c r="M26" s="155">
        <v>1666</v>
      </c>
      <c r="N26" s="159">
        <v>1126</v>
      </c>
      <c r="O26" s="1362">
        <f t="shared" si="0"/>
        <v>0.67587034813925573</v>
      </c>
      <c r="P26" s="157">
        <f t="shared" si="1"/>
        <v>87.305882352941182</v>
      </c>
      <c r="Q26" s="159">
        <f t="shared" si="2"/>
        <v>129.17548845470694</v>
      </c>
      <c r="R26" s="155">
        <f>N26*T24</f>
        <v>1163158</v>
      </c>
      <c r="S26" s="1876">
        <f t="shared" si="3"/>
        <v>7.9968731866820297</v>
      </c>
      <c r="T26" s="2369"/>
      <c r="U26" s="422"/>
      <c r="V26" s="416"/>
      <c r="W26" s="417" t="str">
        <f>IFERROR(V26/U26,"-")</f>
        <v>-</v>
      </c>
      <c r="X26" s="157" t="str">
        <f>IFERROR(E26/U26,"-")</f>
        <v>-</v>
      </c>
      <c r="Y26" s="156" t="str">
        <f>IFERROR(E26/V26,"-")</f>
        <v>-</v>
      </c>
      <c r="Z26" s="155">
        <f>V26*AB26</f>
        <v>0</v>
      </c>
      <c r="AA26" s="1388">
        <f t="shared" si="8"/>
        <v>0</v>
      </c>
      <c r="AB26" s="656"/>
    </row>
    <row r="27" spans="1:31" customFormat="1">
      <c r="A27" s="234"/>
      <c r="B27" s="1878"/>
      <c r="C27" s="424" t="s">
        <v>37</v>
      </c>
      <c r="D27" s="425"/>
      <c r="E27" s="469">
        <f>F27+G27</f>
        <v>1462140.1900000002</v>
      </c>
      <c r="F27" s="470">
        <f>F24+F25+F26</f>
        <v>1172628.1900000002</v>
      </c>
      <c r="G27" s="471">
        <f>G24+G25+G26</f>
        <v>289512</v>
      </c>
      <c r="H27" s="429">
        <f>SUM(H24:H26)</f>
        <v>965883</v>
      </c>
      <c r="I27" s="430">
        <f>E27/H27</f>
        <v>1.5137860279143542</v>
      </c>
      <c r="J27" s="1364">
        <f>SUM(J24:J26)</f>
        <v>37354</v>
      </c>
      <c r="K27" s="432">
        <f>J27/H27</f>
        <v>3.8673421107939573E-2</v>
      </c>
      <c r="L27" s="1365">
        <f>M27/J27</f>
        <v>0.18241687637200835</v>
      </c>
      <c r="M27" s="431">
        <f>SUM(M24:M26)</f>
        <v>6814</v>
      </c>
      <c r="N27" s="431">
        <f>SUM(N24:N26)</f>
        <v>4551</v>
      </c>
      <c r="O27" s="1366">
        <f>N27/M27</f>
        <v>0.66788963897857356</v>
      </c>
      <c r="P27" s="1368">
        <f>E27/M27</f>
        <v>214.57883621954801</v>
      </c>
      <c r="Q27" s="431">
        <f>E27/N27</f>
        <v>321.27888156449137</v>
      </c>
      <c r="R27" s="431">
        <f>N27*T24</f>
        <v>4701183</v>
      </c>
      <c r="S27" s="1879">
        <f>R27/E27</f>
        <v>3.2152751371946073</v>
      </c>
      <c r="T27" s="1401"/>
      <c r="U27" s="1367">
        <f>SUM(U24:U25)</f>
        <v>943</v>
      </c>
      <c r="V27" s="1364">
        <f>SUM(V24:V25)</f>
        <v>603</v>
      </c>
      <c r="W27" s="432">
        <f>V27/U27</f>
        <v>0.63944856839872743</v>
      </c>
      <c r="X27" s="1368">
        <f>E27/U27</f>
        <v>1550.5198197242844</v>
      </c>
      <c r="Y27" s="1368">
        <f>E27/V27</f>
        <v>2424.7764344941961</v>
      </c>
      <c r="Z27" s="431">
        <f>V27*AB27</f>
        <v>622899</v>
      </c>
      <c r="AA27" s="1880">
        <f>Z27/E27</f>
        <v>0.42601865693877133</v>
      </c>
      <c r="AB27" s="476">
        <v>1033</v>
      </c>
    </row>
    <row r="28" spans="1:31" customFormat="1">
      <c r="A28" s="234"/>
      <c r="B28" s="1461"/>
      <c r="C28" s="153" t="s">
        <v>36</v>
      </c>
      <c r="D28" s="1389"/>
      <c r="E28" s="1371">
        <f>F28+G28</f>
        <v>1462140.1900000002</v>
      </c>
      <c r="F28" s="1372">
        <f>F27</f>
        <v>1172628.1900000002</v>
      </c>
      <c r="G28" s="1373">
        <f>G27</f>
        <v>289512</v>
      </c>
      <c r="H28" s="1374">
        <v>929553</v>
      </c>
      <c r="I28" s="1375">
        <f>E28/H28</f>
        <v>1.5729497833905115</v>
      </c>
      <c r="J28" s="1376">
        <v>30035</v>
      </c>
      <c r="K28" s="1377">
        <f>J28/H28</f>
        <v>3.231122916068261E-2</v>
      </c>
      <c r="L28" s="1378">
        <f>M28/J28</f>
        <v>0.1645413684035292</v>
      </c>
      <c r="M28" s="146">
        <v>4942</v>
      </c>
      <c r="N28" s="1376">
        <v>3339</v>
      </c>
      <c r="O28" s="1379">
        <f>N28/M28</f>
        <v>0.67563739376770537</v>
      </c>
      <c r="P28" s="1382">
        <f>E28/M28</f>
        <v>295.86001416430599</v>
      </c>
      <c r="Q28" s="146">
        <f>E28/N28</f>
        <v>437.89763102725374</v>
      </c>
      <c r="R28" s="146">
        <f>N28*T24</f>
        <v>3449187</v>
      </c>
      <c r="S28" s="1881">
        <f>R28/E28</f>
        <v>2.3589988317057338</v>
      </c>
      <c r="T28" s="1402"/>
      <c r="U28" s="1381"/>
      <c r="V28" s="1376"/>
      <c r="W28" s="1377"/>
      <c r="X28" s="1382"/>
      <c r="Y28" s="1382"/>
      <c r="Z28" s="146"/>
      <c r="AA28" s="1383"/>
      <c r="AB28" s="1384"/>
    </row>
    <row r="29" spans="1:31" customFormat="1">
      <c r="A29" s="234"/>
      <c r="B29" s="233"/>
      <c r="C29" s="232" t="s">
        <v>461</v>
      </c>
      <c r="D29" s="231" t="s">
        <v>462</v>
      </c>
      <c r="E29" s="230">
        <f>SUM(F29,G29)</f>
        <v>1462140.1900000002</v>
      </c>
      <c r="F29" s="183">
        <v>1172628.1900000002</v>
      </c>
      <c r="G29" s="228">
        <v>289512</v>
      </c>
      <c r="H29" s="1882"/>
      <c r="I29" s="839"/>
      <c r="J29" s="839"/>
      <c r="K29" s="839"/>
      <c r="L29" s="839"/>
      <c r="M29" s="839"/>
      <c r="N29" s="839"/>
      <c r="O29" s="839"/>
      <c r="P29" s="839"/>
      <c r="Q29" s="839"/>
      <c r="R29" s="839"/>
      <c r="S29" s="839"/>
      <c r="T29" s="839"/>
      <c r="U29" s="839"/>
      <c r="V29" s="839"/>
      <c r="W29" s="839"/>
      <c r="X29" s="839"/>
      <c r="Y29" s="839"/>
      <c r="Z29" s="839"/>
      <c r="AA29" s="839"/>
      <c r="AB29" s="839"/>
    </row>
    <row r="30" spans="1:31" customFormat="1">
      <c r="A30" s="234"/>
      <c r="B30" s="227"/>
      <c r="C30" s="226" t="s">
        <v>463</v>
      </c>
      <c r="D30" s="225" t="s">
        <v>69</v>
      </c>
      <c r="E30" s="224">
        <f>E28/E29</f>
        <v>1</v>
      </c>
      <c r="F30" s="223">
        <f>F28/F29</f>
        <v>1</v>
      </c>
      <c r="G30" s="1385">
        <f>G28/G29</f>
        <v>1</v>
      </c>
      <c r="H30" s="839"/>
      <c r="I30" s="839"/>
      <c r="J30" s="839"/>
      <c r="K30" s="839"/>
      <c r="L30" s="839"/>
      <c r="M30" s="839"/>
      <c r="N30" s="839"/>
      <c r="O30" s="839"/>
      <c r="P30" s="839"/>
      <c r="Q30" s="1387"/>
      <c r="R30" s="839"/>
      <c r="S30" s="839"/>
      <c r="T30" s="839"/>
      <c r="U30" s="839"/>
      <c r="V30" s="839"/>
      <c r="W30" s="839"/>
      <c r="X30" s="839"/>
      <c r="Y30" s="839"/>
      <c r="Z30" s="839"/>
      <c r="AA30" s="839"/>
      <c r="AB30" s="839"/>
    </row>
    <row r="31" spans="1:31" customFormat="1">
      <c r="A31" s="234"/>
      <c r="B31" s="236"/>
      <c r="C31" s="235"/>
      <c r="D31" s="235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1883"/>
      <c r="Q31" s="1883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</row>
    <row r="32" spans="1:31" customFormat="1">
      <c r="A32" s="234"/>
      <c r="B32" s="236"/>
      <c r="C32" s="235"/>
      <c r="D32" s="235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</row>
    <row r="33" spans="1:28" customFormat="1">
      <c r="A33" s="234"/>
      <c r="B33" s="248" t="s">
        <v>608</v>
      </c>
      <c r="C33" s="951"/>
      <c r="D33" s="951"/>
      <c r="E33" s="839"/>
      <c r="F33" s="839"/>
      <c r="G33" s="839"/>
      <c r="H33" s="839"/>
      <c r="I33" s="839"/>
      <c r="J33" s="839"/>
      <c r="K33" s="839"/>
      <c r="L33" s="839"/>
      <c r="M33" s="839"/>
      <c r="N33" s="839"/>
      <c r="O33" s="839"/>
      <c r="P33" s="839"/>
      <c r="Q33" s="839"/>
      <c r="R33" s="839"/>
      <c r="S33" s="839"/>
      <c r="T33" s="839"/>
      <c r="U33" s="839"/>
      <c r="V33" s="839"/>
      <c r="W33" s="839"/>
      <c r="X33" s="839"/>
      <c r="Y33" s="839"/>
      <c r="Z33" s="839"/>
      <c r="AA33" s="839"/>
      <c r="AB33" s="839"/>
    </row>
    <row r="34" spans="1:28" customFormat="1" ht="34.5" customHeight="1">
      <c r="A34" s="234"/>
      <c r="B34" s="2371" t="s">
        <v>456</v>
      </c>
      <c r="C34" s="2372" t="s">
        <v>457</v>
      </c>
      <c r="D34" s="2374" t="s">
        <v>150</v>
      </c>
      <c r="E34" s="2376" t="s">
        <v>151</v>
      </c>
      <c r="F34" s="2376"/>
      <c r="G34" s="2376"/>
      <c r="H34" s="2346" t="s">
        <v>152</v>
      </c>
      <c r="I34" s="2346"/>
      <c r="J34" s="2346"/>
      <c r="K34" s="2346"/>
      <c r="L34" s="2346"/>
      <c r="M34" s="2346"/>
      <c r="N34" s="2346"/>
      <c r="O34" s="2346"/>
      <c r="P34" s="2346"/>
      <c r="Q34" s="2346"/>
      <c r="R34" s="2346"/>
      <c r="S34" s="2346"/>
      <c r="T34" s="2346"/>
      <c r="U34" s="2349" t="s">
        <v>27</v>
      </c>
      <c r="V34" s="2349"/>
      <c r="W34" s="2349"/>
      <c r="X34" s="2349"/>
      <c r="Y34" s="2349"/>
      <c r="Z34" s="2349"/>
      <c r="AA34" s="2349"/>
      <c r="AB34" s="2379"/>
    </row>
    <row r="35" spans="1:28" customFormat="1" ht="49.5">
      <c r="A35" s="234"/>
      <c r="B35" s="2371"/>
      <c r="C35" s="2372"/>
      <c r="D35" s="2374"/>
      <c r="E35" s="179" t="s">
        <v>154</v>
      </c>
      <c r="F35" s="178" t="s">
        <v>458</v>
      </c>
      <c r="G35" s="174" t="s">
        <v>156</v>
      </c>
      <c r="H35" s="406" t="s">
        <v>223</v>
      </c>
      <c r="I35" s="354" t="s">
        <v>44</v>
      </c>
      <c r="J35" s="351" t="s">
        <v>21</v>
      </c>
      <c r="K35" s="354" t="s">
        <v>20</v>
      </c>
      <c r="L35" s="354" t="s">
        <v>19</v>
      </c>
      <c r="M35" s="355" t="s">
        <v>18</v>
      </c>
      <c r="N35" s="354" t="s">
        <v>17</v>
      </c>
      <c r="O35" s="356" t="s">
        <v>16</v>
      </c>
      <c r="P35" s="357" t="s">
        <v>15</v>
      </c>
      <c r="Q35" s="354" t="s">
        <v>14</v>
      </c>
      <c r="R35" s="354" t="s">
        <v>13</v>
      </c>
      <c r="S35" s="354" t="s">
        <v>12</v>
      </c>
      <c r="T35" s="358" t="s">
        <v>11</v>
      </c>
      <c r="U35" s="407" t="s">
        <v>10</v>
      </c>
      <c r="V35" s="408" t="s">
        <v>9</v>
      </c>
      <c r="W35" s="409" t="s">
        <v>8</v>
      </c>
      <c r="X35" s="409" t="s">
        <v>7</v>
      </c>
      <c r="Y35" s="409" t="s">
        <v>6</v>
      </c>
      <c r="Z35" s="409" t="s">
        <v>5</v>
      </c>
      <c r="AA35" s="409" t="s">
        <v>4</v>
      </c>
      <c r="AB35" s="410" t="s">
        <v>3</v>
      </c>
    </row>
    <row r="36" spans="1:28" customFormat="1">
      <c r="A36" s="234"/>
      <c r="B36" s="1875" t="s">
        <v>464</v>
      </c>
      <c r="C36" s="169" t="s">
        <v>887</v>
      </c>
      <c r="D36" s="1462" t="s">
        <v>459</v>
      </c>
      <c r="E36" s="464">
        <f>F36+G36</f>
        <v>478162.89</v>
      </c>
      <c r="F36" s="183">
        <v>478162.89</v>
      </c>
      <c r="G36" s="183">
        <v>0</v>
      </c>
      <c r="H36" s="1194">
        <v>464582</v>
      </c>
      <c r="I36" s="415">
        <f>E36/H36</f>
        <v>1.0292324928645535</v>
      </c>
      <c r="J36" s="416">
        <v>16340</v>
      </c>
      <c r="K36" s="417">
        <f>J36/H36</f>
        <v>3.5171401388775288E-2</v>
      </c>
      <c r="L36" s="418">
        <f>M36/J36</f>
        <v>0.18139534883720931</v>
      </c>
      <c r="M36" s="155">
        <v>2964</v>
      </c>
      <c r="N36" s="159">
        <v>2012</v>
      </c>
      <c r="O36" s="1362">
        <f>N36/M36</f>
        <v>0.67881241565452088</v>
      </c>
      <c r="P36" s="157">
        <f>E36/M36</f>
        <v>161.32351214574899</v>
      </c>
      <c r="Q36" s="159">
        <f>E36/N36</f>
        <v>237.65551192842943</v>
      </c>
      <c r="R36" s="155">
        <f>N36*T36</f>
        <v>2078396</v>
      </c>
      <c r="S36" s="1876">
        <f>R36/E36</f>
        <v>4.3466275686931706</v>
      </c>
      <c r="T36" s="2380">
        <v>1033</v>
      </c>
      <c r="U36" s="422">
        <v>595</v>
      </c>
      <c r="V36" s="416">
        <v>383</v>
      </c>
      <c r="W36" s="417">
        <f>V36/U36</f>
        <v>0.64369747899159668</v>
      </c>
      <c r="X36" s="157">
        <f>E36/U36</f>
        <v>803.63510924369746</v>
      </c>
      <c r="Y36" s="156">
        <f>E36/V36</f>
        <v>1248.4670757180156</v>
      </c>
      <c r="Z36" s="155">
        <f>V36*AB36</f>
        <v>387979</v>
      </c>
      <c r="AA36" s="1388">
        <f>Z36/E36</f>
        <v>0.81139504573431032</v>
      </c>
      <c r="AB36" s="656">
        <v>1013</v>
      </c>
    </row>
    <row r="37" spans="1:28" customFormat="1">
      <c r="A37" s="234"/>
      <c r="B37" s="1875" t="s">
        <v>464</v>
      </c>
      <c r="C37" s="169" t="s">
        <v>888</v>
      </c>
      <c r="D37" s="1462" t="s">
        <v>459</v>
      </c>
      <c r="E37" s="464">
        <f>F37+G37</f>
        <v>672303.67999999993</v>
      </c>
      <c r="F37" s="183">
        <v>469222.68</v>
      </c>
      <c r="G37" s="183">
        <v>203081</v>
      </c>
      <c r="H37" s="414">
        <v>424310</v>
      </c>
      <c r="I37" s="415">
        <f>E37/H37</f>
        <v>1.5844634347528928</v>
      </c>
      <c r="J37" s="416">
        <v>9641</v>
      </c>
      <c r="K37" s="417">
        <f>J37/H37</f>
        <v>2.272159506021541E-2</v>
      </c>
      <c r="L37" s="418">
        <f>M37/J37</f>
        <v>9.9885903951872218E-2</v>
      </c>
      <c r="M37" s="155">
        <v>963</v>
      </c>
      <c r="N37" s="159">
        <v>642</v>
      </c>
      <c r="O37" s="1362">
        <f t="shared" ref="O37:O38" si="9">N37/M37</f>
        <v>0.66666666666666663</v>
      </c>
      <c r="P37" s="157">
        <f t="shared" ref="P37:P38" si="10">E37/M37</f>
        <v>698.13466251298019</v>
      </c>
      <c r="Q37" s="159">
        <f t="shared" ref="Q37:Q38" si="11">E37/N37</f>
        <v>1047.2019937694704</v>
      </c>
      <c r="R37" s="155">
        <f>N37*T36</f>
        <v>663186</v>
      </c>
      <c r="S37" s="1876">
        <f t="shared" ref="S37:S38" si="12">R37/E37</f>
        <v>0.98643815247300159</v>
      </c>
      <c r="T37" s="2290"/>
      <c r="U37" s="422">
        <v>139</v>
      </c>
      <c r="V37" s="416">
        <v>93</v>
      </c>
      <c r="W37" s="417">
        <f t="shared" ref="W37" si="13">V37/U37</f>
        <v>0.6690647482014388</v>
      </c>
      <c r="X37" s="157">
        <f t="shared" ref="X37" si="14">E37/U37</f>
        <v>4836.7171223021578</v>
      </c>
      <c r="Y37" s="156">
        <f t="shared" ref="Y37" si="15">E37/V37</f>
        <v>7229.0718279569883</v>
      </c>
      <c r="Z37" s="155">
        <f t="shared" ref="Z37" si="16">V37*AB37</f>
        <v>234453</v>
      </c>
      <c r="AA37" s="1388">
        <f t="shared" ref="AA37:AA38" si="17">Z37/E37</f>
        <v>0.34873079974811388</v>
      </c>
      <c r="AB37" s="656">
        <v>2521</v>
      </c>
    </row>
    <row r="38" spans="1:28" customFormat="1">
      <c r="A38" s="234"/>
      <c r="B38" s="1877" t="s">
        <v>609</v>
      </c>
      <c r="C38" s="169" t="s">
        <v>889</v>
      </c>
      <c r="D38" s="1462" t="s">
        <v>607</v>
      </c>
      <c r="E38" s="464">
        <f>F38+G38</f>
        <v>128734.2</v>
      </c>
      <c r="F38" s="183">
        <v>113884.2</v>
      </c>
      <c r="G38" s="183">
        <v>14850</v>
      </c>
      <c r="H38" s="414">
        <v>31799</v>
      </c>
      <c r="I38" s="415">
        <f>E38/H38</f>
        <v>4.0483725903330292</v>
      </c>
      <c r="J38" s="416">
        <v>4226</v>
      </c>
      <c r="K38" s="417">
        <f>J38/H38</f>
        <v>0.13289726092015472</v>
      </c>
      <c r="L38" s="418">
        <f>M38/J38</f>
        <v>0.30809275911026973</v>
      </c>
      <c r="M38" s="155">
        <v>1302</v>
      </c>
      <c r="N38" s="159">
        <v>902</v>
      </c>
      <c r="O38" s="1362">
        <f t="shared" si="9"/>
        <v>0.6927803379416283</v>
      </c>
      <c r="P38" s="157">
        <f t="shared" si="10"/>
        <v>98.874193548387098</v>
      </c>
      <c r="Q38" s="159">
        <f t="shared" si="11"/>
        <v>142.72084257206208</v>
      </c>
      <c r="R38" s="155">
        <f>N38*T36</f>
        <v>931766</v>
      </c>
      <c r="S38" s="1876">
        <f t="shared" si="12"/>
        <v>7.2379057002723446</v>
      </c>
      <c r="T38" s="2369"/>
      <c r="U38" s="422"/>
      <c r="V38" s="416"/>
      <c r="W38" s="417" t="str">
        <f>IFERROR(V38/U38,"-")</f>
        <v>-</v>
      </c>
      <c r="X38" s="157" t="str">
        <f>IFERROR(E38/U38,"-")</f>
        <v>-</v>
      </c>
      <c r="Y38" s="156" t="str">
        <f>IFERROR(E38/V38,"-")</f>
        <v>-</v>
      </c>
      <c r="Z38" s="155">
        <f>V38*AB38</f>
        <v>0</v>
      </c>
      <c r="AA38" s="1388">
        <f t="shared" si="17"/>
        <v>0</v>
      </c>
      <c r="AB38" s="656"/>
    </row>
    <row r="39" spans="1:28" customFormat="1">
      <c r="A39" s="234"/>
      <c r="B39" s="1878"/>
      <c r="C39" s="424" t="s">
        <v>37</v>
      </c>
      <c r="D39" s="425"/>
      <c r="E39" s="469">
        <f>F39+G39</f>
        <v>1279200.77</v>
      </c>
      <c r="F39" s="470">
        <f>F36+F37+F38</f>
        <v>1061269.77</v>
      </c>
      <c r="G39" s="471">
        <f>G36+G37+G38</f>
        <v>217931</v>
      </c>
      <c r="H39" s="429">
        <f>SUM(H36:H38)</f>
        <v>920691</v>
      </c>
      <c r="I39" s="430">
        <f>E39/H39</f>
        <v>1.3893920653074703</v>
      </c>
      <c r="J39" s="1364">
        <f>SUM(J36:J38)</f>
        <v>30207</v>
      </c>
      <c r="K39" s="432">
        <f>J39/H39</f>
        <v>3.2809053200259369E-2</v>
      </c>
      <c r="L39" s="1365">
        <f>M39/J39</f>
        <v>0.1731055715562618</v>
      </c>
      <c r="M39" s="431">
        <f>SUM(M36:M38)</f>
        <v>5229</v>
      </c>
      <c r="N39" s="431">
        <f>SUM(N36:N38)</f>
        <v>3556</v>
      </c>
      <c r="O39" s="1366">
        <f>N39/M39</f>
        <v>0.68005354752342706</v>
      </c>
      <c r="P39" s="1368">
        <f>E39/M39</f>
        <v>244.63583285523046</v>
      </c>
      <c r="Q39" s="431">
        <f>E39/N39</f>
        <v>359.73025028121486</v>
      </c>
      <c r="R39" s="431">
        <f>N39*T36</f>
        <v>3673348</v>
      </c>
      <c r="S39" s="1879">
        <f>R39/E39</f>
        <v>2.8715961451461602</v>
      </c>
      <c r="T39" s="1401"/>
      <c r="U39" s="1367">
        <f>SUM(U36:U37)</f>
        <v>734</v>
      </c>
      <c r="V39" s="1364">
        <f>SUM(V36:V37)</f>
        <v>476</v>
      </c>
      <c r="W39" s="432">
        <f>V39/U39</f>
        <v>0.64850136239782019</v>
      </c>
      <c r="X39" s="1368">
        <f>E39/U39</f>
        <v>1742.780340599455</v>
      </c>
      <c r="Y39" s="1368">
        <f>E39/V39</f>
        <v>2687.3965756302523</v>
      </c>
      <c r="Z39" s="431">
        <f>V39*AB39</f>
        <v>491708</v>
      </c>
      <c r="AA39" s="1880">
        <f>Z39/E39</f>
        <v>0.38438688557074585</v>
      </c>
      <c r="AB39" s="476">
        <v>1033</v>
      </c>
    </row>
    <row r="40" spans="1:28" customFormat="1">
      <c r="A40" s="234"/>
      <c r="B40" s="1461"/>
      <c r="C40" s="153" t="s">
        <v>36</v>
      </c>
      <c r="D40" s="1389"/>
      <c r="E40" s="1371">
        <f>F40+G40</f>
        <v>1279200.77</v>
      </c>
      <c r="F40" s="1372">
        <f>F39</f>
        <v>1061269.77</v>
      </c>
      <c r="G40" s="1373">
        <f>G39</f>
        <v>217931</v>
      </c>
      <c r="H40" s="1374">
        <v>871421</v>
      </c>
      <c r="I40" s="1375">
        <f>E40/H40</f>
        <v>1.467948064138918</v>
      </c>
      <c r="J40" s="1376">
        <v>22985</v>
      </c>
      <c r="K40" s="1377">
        <f>J40/H40</f>
        <v>2.6376458680706569E-2</v>
      </c>
      <c r="L40" s="1378">
        <f>M40/J40</f>
        <v>0.15805960408962366</v>
      </c>
      <c r="M40" s="146">
        <v>3633</v>
      </c>
      <c r="N40" s="1376">
        <v>2513</v>
      </c>
      <c r="O40" s="1379">
        <f>N40/M40</f>
        <v>0.69171483622350671</v>
      </c>
      <c r="P40" s="1382">
        <f>E40/M40</f>
        <v>352.10590971648776</v>
      </c>
      <c r="Q40" s="146">
        <f>E40/N40</f>
        <v>509.0333346597692</v>
      </c>
      <c r="R40" s="146">
        <f>N40*T36</f>
        <v>2595929</v>
      </c>
      <c r="S40" s="1881">
        <f>R40/E40</f>
        <v>2.0293366458808495</v>
      </c>
      <c r="T40" s="1402"/>
      <c r="U40" s="1381"/>
      <c r="V40" s="1376"/>
      <c r="W40" s="1377"/>
      <c r="X40" s="1382"/>
      <c r="Y40" s="1382"/>
      <c r="Z40" s="146"/>
      <c r="AA40" s="1383"/>
      <c r="AB40" s="1384"/>
    </row>
    <row r="41" spans="1:28" customFormat="1">
      <c r="A41" s="234"/>
      <c r="B41" s="233"/>
      <c r="C41" s="232" t="s">
        <v>461</v>
      </c>
      <c r="D41" s="231" t="s">
        <v>462</v>
      </c>
      <c r="E41" s="230">
        <f>SUM(F41,G41)</f>
        <v>1279200.77</v>
      </c>
      <c r="F41" s="183">
        <v>1061269.77</v>
      </c>
      <c r="G41" s="228">
        <v>217931</v>
      </c>
      <c r="H41" s="1882"/>
      <c r="I41" s="839"/>
      <c r="J41" s="839"/>
      <c r="K41" s="839"/>
      <c r="L41" s="839"/>
      <c r="M41" s="839"/>
      <c r="N41" s="839"/>
      <c r="O41" s="839"/>
      <c r="P41" s="839"/>
      <c r="Q41" s="839"/>
      <c r="R41" s="839"/>
      <c r="S41" s="839"/>
      <c r="T41" s="839"/>
      <c r="U41" s="839"/>
      <c r="V41" s="839"/>
      <c r="W41" s="839"/>
      <c r="X41" s="839"/>
      <c r="Y41" s="839"/>
      <c r="Z41" s="839"/>
      <c r="AA41" s="839"/>
      <c r="AB41" s="839"/>
    </row>
    <row r="42" spans="1:28" customFormat="1">
      <c r="A42" s="234"/>
      <c r="B42" s="227"/>
      <c r="C42" s="226" t="s">
        <v>463</v>
      </c>
      <c r="D42" s="225" t="s">
        <v>69</v>
      </c>
      <c r="E42" s="224">
        <f>E40/E41</f>
        <v>1</v>
      </c>
      <c r="F42" s="223">
        <f>F40/F41</f>
        <v>1</v>
      </c>
      <c r="G42" s="1385">
        <f>G40/G41</f>
        <v>1</v>
      </c>
      <c r="H42" s="839"/>
      <c r="I42" s="839"/>
      <c r="J42" s="839"/>
      <c r="K42" s="839"/>
      <c r="L42" s="839"/>
      <c r="M42" s="839"/>
      <c r="N42" s="839"/>
      <c r="O42" s="839"/>
      <c r="P42" s="839"/>
      <c r="Q42" s="1387"/>
      <c r="R42" s="839"/>
      <c r="S42" s="839"/>
      <c r="T42" s="839"/>
      <c r="U42" s="839"/>
      <c r="V42" s="839"/>
      <c r="W42" s="839"/>
      <c r="X42" s="839"/>
      <c r="Y42" s="839"/>
      <c r="Z42" s="839"/>
      <c r="AA42" s="839"/>
      <c r="AB42" s="839"/>
    </row>
    <row r="43" spans="1:28" customFormat="1">
      <c r="A43" s="234"/>
      <c r="B43" s="236"/>
      <c r="C43" s="235"/>
      <c r="D43" s="235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1883"/>
      <c r="Q43" s="1883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</row>
    <row r="44" spans="1:28" customFormat="1">
      <c r="A44" s="234"/>
      <c r="B44" s="236"/>
      <c r="C44" s="235"/>
      <c r="D44" s="235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</row>
    <row r="45" spans="1:28" customFormat="1">
      <c r="A45" s="234"/>
      <c r="B45" s="248" t="s">
        <v>610</v>
      </c>
      <c r="C45" s="951"/>
      <c r="D45" s="951"/>
      <c r="E45" s="839"/>
      <c r="F45" s="839"/>
      <c r="G45" s="839"/>
      <c r="H45" s="839"/>
      <c r="I45" s="839"/>
      <c r="J45" s="839"/>
      <c r="K45" s="839"/>
      <c r="L45" s="839"/>
      <c r="M45" s="839"/>
      <c r="N45" s="839"/>
      <c r="O45" s="839"/>
      <c r="P45" s="839"/>
      <c r="Q45" s="839"/>
      <c r="R45" s="839"/>
      <c r="S45" s="839"/>
      <c r="T45" s="839"/>
      <c r="U45" s="839"/>
      <c r="V45" s="839"/>
      <c r="W45" s="839"/>
      <c r="X45" s="839"/>
      <c r="Y45" s="839"/>
      <c r="Z45" s="839"/>
      <c r="AA45" s="839"/>
      <c r="AB45" s="839"/>
    </row>
    <row r="46" spans="1:28" customFormat="1" ht="34.5" customHeight="1">
      <c r="A46" s="234"/>
      <c r="B46" s="2371" t="s">
        <v>456</v>
      </c>
      <c r="C46" s="2372" t="s">
        <v>457</v>
      </c>
      <c r="D46" s="2374" t="s">
        <v>150</v>
      </c>
      <c r="E46" s="2376" t="s">
        <v>151</v>
      </c>
      <c r="F46" s="2376"/>
      <c r="G46" s="2376"/>
      <c r="H46" s="2346" t="s">
        <v>152</v>
      </c>
      <c r="I46" s="2346"/>
      <c r="J46" s="2346"/>
      <c r="K46" s="2346"/>
      <c r="L46" s="2346"/>
      <c r="M46" s="2346"/>
      <c r="N46" s="2346"/>
      <c r="O46" s="2346"/>
      <c r="P46" s="2346"/>
      <c r="Q46" s="2346"/>
      <c r="R46" s="2346"/>
      <c r="S46" s="2346"/>
      <c r="T46" s="2346"/>
      <c r="U46" s="2349" t="s">
        <v>27</v>
      </c>
      <c r="V46" s="2349"/>
      <c r="W46" s="2349"/>
      <c r="X46" s="2349"/>
      <c r="Y46" s="2349"/>
      <c r="Z46" s="2349"/>
      <c r="AA46" s="2349"/>
      <c r="AB46" s="2379"/>
    </row>
    <row r="47" spans="1:28" customFormat="1" ht="49.5">
      <c r="A47" s="234"/>
      <c r="B47" s="2371"/>
      <c r="C47" s="2372"/>
      <c r="D47" s="2374"/>
      <c r="E47" s="179" t="s">
        <v>154</v>
      </c>
      <c r="F47" s="178" t="s">
        <v>458</v>
      </c>
      <c r="G47" s="174" t="s">
        <v>156</v>
      </c>
      <c r="H47" s="406" t="s">
        <v>223</v>
      </c>
      <c r="I47" s="354" t="s">
        <v>44</v>
      </c>
      <c r="J47" s="351" t="s">
        <v>21</v>
      </c>
      <c r="K47" s="354" t="s">
        <v>20</v>
      </c>
      <c r="L47" s="354" t="s">
        <v>19</v>
      </c>
      <c r="M47" s="355" t="s">
        <v>18</v>
      </c>
      <c r="N47" s="354" t="s">
        <v>17</v>
      </c>
      <c r="O47" s="356" t="s">
        <v>16</v>
      </c>
      <c r="P47" s="357" t="s">
        <v>15</v>
      </c>
      <c r="Q47" s="354" t="s">
        <v>14</v>
      </c>
      <c r="R47" s="354" t="s">
        <v>13</v>
      </c>
      <c r="S47" s="354" t="s">
        <v>12</v>
      </c>
      <c r="T47" s="358" t="s">
        <v>11</v>
      </c>
      <c r="U47" s="407" t="s">
        <v>10</v>
      </c>
      <c r="V47" s="408" t="s">
        <v>9</v>
      </c>
      <c r="W47" s="409" t="s">
        <v>8</v>
      </c>
      <c r="X47" s="409" t="s">
        <v>7</v>
      </c>
      <c r="Y47" s="409" t="s">
        <v>6</v>
      </c>
      <c r="Z47" s="409" t="s">
        <v>5</v>
      </c>
      <c r="AA47" s="409" t="s">
        <v>4</v>
      </c>
      <c r="AB47" s="410" t="s">
        <v>3</v>
      </c>
    </row>
    <row r="48" spans="1:28" customFormat="1">
      <c r="A48" s="234"/>
      <c r="B48" s="1875" t="s">
        <v>465</v>
      </c>
      <c r="C48" s="169" t="s">
        <v>887</v>
      </c>
      <c r="D48" s="1462" t="s">
        <v>459</v>
      </c>
      <c r="E48" s="464">
        <f>F48+G48</f>
        <v>446091.11</v>
      </c>
      <c r="F48" s="183">
        <v>446091.11</v>
      </c>
      <c r="G48" s="183">
        <v>0</v>
      </c>
      <c r="H48" s="1194">
        <v>413362</v>
      </c>
      <c r="I48" s="415">
        <f>E48/H48</f>
        <v>1.0791778392788887</v>
      </c>
      <c r="J48" s="416">
        <v>13593</v>
      </c>
      <c r="K48" s="417">
        <f>J48/H48</f>
        <v>3.2884009657394728E-2</v>
      </c>
      <c r="L48" s="418">
        <f>M48/J48</f>
        <v>0.17126462149635843</v>
      </c>
      <c r="M48" s="155">
        <v>2328</v>
      </c>
      <c r="N48" s="159">
        <v>1589</v>
      </c>
      <c r="O48" s="1362">
        <f>N48/M48</f>
        <v>0.68256013745704469</v>
      </c>
      <c r="P48" s="157">
        <f>E48/M48</f>
        <v>191.61989261168384</v>
      </c>
      <c r="Q48" s="159">
        <f>E48/N48</f>
        <v>280.73701069855252</v>
      </c>
      <c r="R48" s="155">
        <f>N48*T48</f>
        <v>1641437</v>
      </c>
      <c r="S48" s="1876">
        <f>R48/E48</f>
        <v>3.6796003399395252</v>
      </c>
      <c r="T48" s="2380">
        <v>1033</v>
      </c>
      <c r="U48" s="422">
        <v>485</v>
      </c>
      <c r="V48" s="416">
        <v>302</v>
      </c>
      <c r="W48" s="417">
        <f>V48/U48</f>
        <v>0.62268041237113403</v>
      </c>
      <c r="X48" s="157">
        <f>E48/U48</f>
        <v>919.77548453608244</v>
      </c>
      <c r="Y48" s="156">
        <f>E48/V48</f>
        <v>1477.122880794702</v>
      </c>
      <c r="Z48" s="155">
        <f>V48*AB48</f>
        <v>305926</v>
      </c>
      <c r="AA48" s="1388">
        <f>Z48/E48</f>
        <v>0.68579263998334339</v>
      </c>
      <c r="AB48" s="656">
        <v>1013</v>
      </c>
    </row>
    <row r="49" spans="1:28" customFormat="1">
      <c r="A49" s="234"/>
      <c r="B49" s="1875" t="s">
        <v>465</v>
      </c>
      <c r="C49" s="169" t="s">
        <v>888</v>
      </c>
      <c r="D49" s="1462" t="s">
        <v>459</v>
      </c>
      <c r="E49" s="464">
        <f>F49+G49</f>
        <v>672303.67999999993</v>
      </c>
      <c r="F49" s="183">
        <v>469222.68</v>
      </c>
      <c r="G49" s="183">
        <v>203081</v>
      </c>
      <c r="H49" s="414">
        <v>418229</v>
      </c>
      <c r="I49" s="415">
        <f>E49/H49</f>
        <v>1.6075013449569493</v>
      </c>
      <c r="J49" s="416">
        <v>8503</v>
      </c>
      <c r="K49" s="417">
        <f>J49/H49</f>
        <v>2.0330967006113875E-2</v>
      </c>
      <c r="L49" s="418">
        <f>M49/J49</f>
        <v>9.6318946254263196E-2</v>
      </c>
      <c r="M49" s="155">
        <v>819</v>
      </c>
      <c r="N49" s="159">
        <v>558</v>
      </c>
      <c r="O49" s="1362">
        <f t="shared" ref="O49:O50" si="18">N49/M49</f>
        <v>0.68131868131868134</v>
      </c>
      <c r="P49" s="157">
        <f t="shared" ref="P49:P50" si="19">E49/M49</f>
        <v>820.88361416361408</v>
      </c>
      <c r="Q49" s="159">
        <f t="shared" ref="Q49:Q50" si="20">E49/N49</f>
        <v>1204.8453046594982</v>
      </c>
      <c r="R49" s="155">
        <f>N49*T48</f>
        <v>576414</v>
      </c>
      <c r="S49" s="1876">
        <f t="shared" ref="S49:S50" si="21">R49/E49</f>
        <v>0.85737147831765559</v>
      </c>
      <c r="T49" s="2290"/>
      <c r="U49" s="422">
        <v>135</v>
      </c>
      <c r="V49" s="416">
        <v>99</v>
      </c>
      <c r="W49" s="417">
        <f t="shared" ref="W49" si="22">V49/U49</f>
        <v>0.73333333333333328</v>
      </c>
      <c r="X49" s="157">
        <f t="shared" ref="X49" si="23">E49/U49</f>
        <v>4980.0272592592592</v>
      </c>
      <c r="Y49" s="156">
        <f t="shared" ref="Y49" si="24">E49/V49</f>
        <v>6790.9462626262621</v>
      </c>
      <c r="Z49" s="155">
        <f t="shared" ref="Z49" si="25">V49*AB49</f>
        <v>249579</v>
      </c>
      <c r="AA49" s="1388">
        <f t="shared" ref="AA49:AA50" si="26">Z49/E49</f>
        <v>0.37122956102218574</v>
      </c>
      <c r="AB49" s="656">
        <v>2521</v>
      </c>
    </row>
    <row r="50" spans="1:28" customFormat="1">
      <c r="A50" s="234"/>
      <c r="B50" s="1877" t="s">
        <v>611</v>
      </c>
      <c r="C50" s="169" t="s">
        <v>889</v>
      </c>
      <c r="D50" s="1462" t="s">
        <v>607</v>
      </c>
      <c r="E50" s="464">
        <f>F50+G50</f>
        <v>98053.95</v>
      </c>
      <c r="F50" s="183">
        <v>83203.95</v>
      </c>
      <c r="G50" s="183">
        <v>14850</v>
      </c>
      <c r="H50" s="414">
        <v>20446</v>
      </c>
      <c r="I50" s="415">
        <f>E50/H50</f>
        <v>4.795752225374156</v>
      </c>
      <c r="J50" s="416">
        <v>3144</v>
      </c>
      <c r="K50" s="417">
        <f>J50/H50</f>
        <v>0.15377090873520494</v>
      </c>
      <c r="L50" s="418">
        <f>M50/J50</f>
        <v>0.31615776081424934</v>
      </c>
      <c r="M50" s="155">
        <v>994</v>
      </c>
      <c r="N50" s="159">
        <v>693</v>
      </c>
      <c r="O50" s="1362">
        <f t="shared" si="18"/>
        <v>0.69718309859154926</v>
      </c>
      <c r="P50" s="157">
        <f t="shared" si="19"/>
        <v>98.645824949698181</v>
      </c>
      <c r="Q50" s="159">
        <f t="shared" si="20"/>
        <v>141.49199134199134</v>
      </c>
      <c r="R50" s="155">
        <f>N50*T48</f>
        <v>715869</v>
      </c>
      <c r="S50" s="1876">
        <f t="shared" si="21"/>
        <v>7.3007665677925271</v>
      </c>
      <c r="T50" s="2369"/>
      <c r="U50" s="422"/>
      <c r="V50" s="416"/>
      <c r="W50" s="417" t="str">
        <f>IFERROR(V50/U50,"-")</f>
        <v>-</v>
      </c>
      <c r="X50" s="157" t="str">
        <f>IFERROR(E50/U50,"-")</f>
        <v>-</v>
      </c>
      <c r="Y50" s="156" t="str">
        <f>IFERROR(E50/V50,"-")</f>
        <v>-</v>
      </c>
      <c r="Z50" s="155">
        <f>V50*AB50</f>
        <v>0</v>
      </c>
      <c r="AA50" s="1388">
        <f t="shared" si="26"/>
        <v>0</v>
      </c>
      <c r="AB50" s="656"/>
    </row>
    <row r="51" spans="1:28" customFormat="1">
      <c r="A51" s="234"/>
      <c r="B51" s="1878"/>
      <c r="C51" s="424" t="s">
        <v>37</v>
      </c>
      <c r="D51" s="425"/>
      <c r="E51" s="469">
        <f>F51+G51</f>
        <v>1216448.74</v>
      </c>
      <c r="F51" s="470">
        <f>F48+F49+F50</f>
        <v>998517.74</v>
      </c>
      <c r="G51" s="471">
        <f>G48+G49+G50</f>
        <v>217931</v>
      </c>
      <c r="H51" s="429">
        <f>SUM(H48:H50)</f>
        <v>852037</v>
      </c>
      <c r="I51" s="430">
        <f>E51/H51</f>
        <v>1.4276947362614534</v>
      </c>
      <c r="J51" s="1364">
        <f>SUM(J48:J50)</f>
        <v>25240</v>
      </c>
      <c r="K51" s="432">
        <f>J51/H51</f>
        <v>2.9623126695202204E-2</v>
      </c>
      <c r="L51" s="1365">
        <f>M51/J51</f>
        <v>0.1640649762282092</v>
      </c>
      <c r="M51" s="431">
        <f>SUM(M48:M50)</f>
        <v>4141</v>
      </c>
      <c r="N51" s="431">
        <f>SUM(N48:N50)</f>
        <v>2840</v>
      </c>
      <c r="O51" s="1366">
        <f>N51/M51</f>
        <v>0.68582468002897856</v>
      </c>
      <c r="P51" s="1368">
        <f>E51/M51</f>
        <v>293.75724221202609</v>
      </c>
      <c r="Q51" s="431">
        <f>E51/N51</f>
        <v>428.32702112676054</v>
      </c>
      <c r="R51" s="431">
        <f>N51*T48</f>
        <v>2933720</v>
      </c>
      <c r="S51" s="1879">
        <f>R51/E51</f>
        <v>2.4117086923037956</v>
      </c>
      <c r="T51" s="1401"/>
      <c r="U51" s="1367">
        <f>SUM(U48:U49)</f>
        <v>620</v>
      </c>
      <c r="V51" s="1364">
        <f>SUM(V48:V49)</f>
        <v>401</v>
      </c>
      <c r="W51" s="432">
        <f>V51/U51</f>
        <v>0.64677419354838706</v>
      </c>
      <c r="X51" s="1368">
        <f>E51/U51</f>
        <v>1962.0140967741936</v>
      </c>
      <c r="Y51" s="1368">
        <f>E51/V51</f>
        <v>3033.5380049875312</v>
      </c>
      <c r="Z51" s="431">
        <f>V51*AB51</f>
        <v>414233</v>
      </c>
      <c r="AA51" s="1880">
        <f>Z51/E51</f>
        <v>0.34052647380768386</v>
      </c>
      <c r="AB51" s="476">
        <v>1033</v>
      </c>
    </row>
    <row r="52" spans="1:28" customFormat="1">
      <c r="A52" s="234"/>
      <c r="B52" s="1461"/>
      <c r="C52" s="153" t="s">
        <v>36</v>
      </c>
      <c r="D52" s="1389"/>
      <c r="E52" s="1371">
        <f>F52+G52</f>
        <v>1216448.74</v>
      </c>
      <c r="F52" s="1372">
        <f>F51</f>
        <v>998517.74</v>
      </c>
      <c r="G52" s="1373">
        <f>G51</f>
        <v>217931</v>
      </c>
      <c r="H52" s="1374">
        <v>822099</v>
      </c>
      <c r="I52" s="1375">
        <f>E52/H52</f>
        <v>1.479686436791676</v>
      </c>
      <c r="J52" s="1376">
        <v>19065</v>
      </c>
      <c r="K52" s="1377">
        <f>J52/H52</f>
        <v>2.3190637623935802E-2</v>
      </c>
      <c r="L52" s="1378">
        <f>M52/J52</f>
        <v>0.15116706005769734</v>
      </c>
      <c r="M52" s="146">
        <v>2882</v>
      </c>
      <c r="N52" s="1376">
        <v>1994</v>
      </c>
      <c r="O52" s="1379">
        <f>N52/M52</f>
        <v>0.69188063844552394</v>
      </c>
      <c r="P52" s="1382">
        <f>E52/M52</f>
        <v>422.08492019430952</v>
      </c>
      <c r="Q52" s="146">
        <f>E52/N52</f>
        <v>610.05453360080242</v>
      </c>
      <c r="R52" s="146">
        <f>N52*T48</f>
        <v>2059802</v>
      </c>
      <c r="S52" s="1881">
        <f>R52/E52</f>
        <v>1.6932912438217496</v>
      </c>
      <c r="T52" s="1402"/>
      <c r="U52" s="1381"/>
      <c r="V52" s="1376"/>
      <c r="W52" s="1377"/>
      <c r="X52" s="1382"/>
      <c r="Y52" s="1382"/>
      <c r="Z52" s="146"/>
      <c r="AA52" s="1383"/>
      <c r="AB52" s="1384"/>
    </row>
    <row r="53" spans="1:28" customFormat="1">
      <c r="A53" s="234"/>
      <c r="B53" s="233"/>
      <c r="C53" s="232" t="s">
        <v>461</v>
      </c>
      <c r="D53" s="231" t="s">
        <v>462</v>
      </c>
      <c r="E53" s="230">
        <f>SUM(F53,G53)</f>
        <v>1605533.19</v>
      </c>
      <c r="F53" s="183">
        <f>779229.27+286303.92</f>
        <v>1065533.19</v>
      </c>
      <c r="G53" s="228">
        <f>160000+380000</f>
        <v>540000</v>
      </c>
      <c r="H53" s="1882"/>
      <c r="I53" s="839"/>
      <c r="J53" s="839"/>
      <c r="K53" s="839"/>
      <c r="L53" s="839"/>
      <c r="M53" s="839"/>
      <c r="N53" s="839"/>
      <c r="O53" s="839"/>
      <c r="P53" s="839"/>
      <c r="Q53" s="839"/>
      <c r="R53" s="839"/>
      <c r="S53" s="839"/>
      <c r="T53" s="839"/>
      <c r="U53" s="839"/>
      <c r="V53" s="839"/>
      <c r="W53" s="839"/>
      <c r="X53" s="839"/>
      <c r="Y53" s="839"/>
      <c r="Z53" s="839"/>
      <c r="AA53" s="839"/>
      <c r="AB53" s="839"/>
    </row>
    <row r="54" spans="1:28" customFormat="1">
      <c r="A54" s="234"/>
      <c r="B54" s="227"/>
      <c r="C54" s="226" t="s">
        <v>463</v>
      </c>
      <c r="D54" s="225" t="s">
        <v>69</v>
      </c>
      <c r="E54" s="224">
        <f>E52/E53</f>
        <v>0.75766028854252465</v>
      </c>
      <c r="F54" s="223">
        <f>F52/F53</f>
        <v>0.93710618249254163</v>
      </c>
      <c r="G54" s="1385">
        <f>G52/G53</f>
        <v>0.40357592592592595</v>
      </c>
      <c r="H54" s="839"/>
      <c r="I54" s="839"/>
      <c r="J54" s="839"/>
      <c r="K54" s="839"/>
      <c r="L54" s="839"/>
      <c r="M54" s="839"/>
      <c r="N54" s="839"/>
      <c r="O54" s="839"/>
      <c r="P54" s="839"/>
      <c r="Q54" s="1387"/>
      <c r="R54" s="839"/>
      <c r="S54" s="839"/>
      <c r="T54" s="839"/>
      <c r="U54" s="839"/>
      <c r="V54" s="839"/>
      <c r="W54" s="839"/>
      <c r="X54" s="839"/>
      <c r="Y54" s="839"/>
      <c r="Z54" s="839"/>
      <c r="AA54" s="839"/>
      <c r="AB54" s="839"/>
    </row>
    <row r="55" spans="1:28" customFormat="1">
      <c r="A55" s="234"/>
      <c r="B55" s="236"/>
      <c r="C55" s="235"/>
      <c r="D55" s="235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1883"/>
      <c r="Q55" s="1883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</row>
    <row r="56" spans="1:28" customFormat="1">
      <c r="A56" s="234"/>
      <c r="B56" s="236"/>
      <c r="C56" s="235"/>
      <c r="D56" s="235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</row>
    <row r="57" spans="1:28">
      <c r="B57" s="248" t="s">
        <v>612</v>
      </c>
      <c r="C57" s="951"/>
      <c r="D57" s="951"/>
    </row>
    <row r="58" spans="1:28" ht="30.75" customHeight="1">
      <c r="B58" s="2371" t="s">
        <v>456</v>
      </c>
      <c r="C58" s="2372" t="s">
        <v>457</v>
      </c>
      <c r="D58" s="2374" t="s">
        <v>150</v>
      </c>
      <c r="E58" s="2376" t="s">
        <v>151</v>
      </c>
      <c r="F58" s="2376"/>
      <c r="G58" s="2376"/>
      <c r="H58" s="2346" t="s">
        <v>152</v>
      </c>
      <c r="I58" s="2346"/>
      <c r="J58" s="2346"/>
      <c r="K58" s="2346"/>
      <c r="L58" s="2346"/>
      <c r="M58" s="2346"/>
      <c r="N58" s="2346"/>
      <c r="O58" s="2346"/>
      <c r="P58" s="2346"/>
      <c r="Q58" s="2346"/>
      <c r="R58" s="2346"/>
      <c r="S58" s="2346"/>
      <c r="T58" s="2346"/>
      <c r="U58" s="2349" t="s">
        <v>27</v>
      </c>
      <c r="V58" s="2349"/>
      <c r="W58" s="2349"/>
      <c r="X58" s="2349"/>
      <c r="Y58" s="2349"/>
      <c r="Z58" s="2349"/>
      <c r="AA58" s="2349"/>
      <c r="AB58" s="2379"/>
    </row>
    <row r="59" spans="1:28" ht="49.5">
      <c r="B59" s="2371"/>
      <c r="C59" s="2372"/>
      <c r="D59" s="2374"/>
      <c r="E59" s="179" t="s">
        <v>154</v>
      </c>
      <c r="F59" s="178" t="s">
        <v>458</v>
      </c>
      <c r="G59" s="174" t="s">
        <v>156</v>
      </c>
      <c r="H59" s="406" t="s">
        <v>223</v>
      </c>
      <c r="I59" s="354" t="s">
        <v>44</v>
      </c>
      <c r="J59" s="351" t="s">
        <v>21</v>
      </c>
      <c r="K59" s="354" t="s">
        <v>20</v>
      </c>
      <c r="L59" s="354" t="s">
        <v>19</v>
      </c>
      <c r="M59" s="355" t="s">
        <v>18</v>
      </c>
      <c r="N59" s="354" t="s">
        <v>17</v>
      </c>
      <c r="O59" s="356" t="s">
        <v>16</v>
      </c>
      <c r="P59" s="357" t="s">
        <v>15</v>
      </c>
      <c r="Q59" s="354" t="s">
        <v>14</v>
      </c>
      <c r="R59" s="354" t="s">
        <v>13</v>
      </c>
      <c r="S59" s="354" t="s">
        <v>12</v>
      </c>
      <c r="T59" s="358" t="s">
        <v>11</v>
      </c>
      <c r="U59" s="407" t="s">
        <v>10</v>
      </c>
      <c r="V59" s="408" t="s">
        <v>9</v>
      </c>
      <c r="W59" s="409" t="s">
        <v>8</v>
      </c>
      <c r="X59" s="409" t="s">
        <v>7</v>
      </c>
      <c r="Y59" s="409" t="s">
        <v>6</v>
      </c>
      <c r="Z59" s="409" t="s">
        <v>5</v>
      </c>
      <c r="AA59" s="409" t="s">
        <v>4</v>
      </c>
      <c r="AB59" s="410" t="s">
        <v>3</v>
      </c>
    </row>
    <row r="60" spans="1:28">
      <c r="B60" s="2398" t="s">
        <v>466</v>
      </c>
      <c r="C60" s="169" t="s">
        <v>887</v>
      </c>
      <c r="D60" s="2386" t="s">
        <v>459</v>
      </c>
      <c r="E60" s="464">
        <f>F60+G60</f>
        <v>332145.98</v>
      </c>
      <c r="F60" s="183">
        <v>332145.98</v>
      </c>
      <c r="G60" s="183">
        <v>0</v>
      </c>
      <c r="H60" s="1194">
        <v>256231</v>
      </c>
      <c r="I60" s="415">
        <f>E60/H60</f>
        <v>1.2962755482357715</v>
      </c>
      <c r="J60" s="416">
        <v>8350</v>
      </c>
      <c r="K60" s="417">
        <f>J60/H60</f>
        <v>3.2587782118479028E-2</v>
      </c>
      <c r="L60" s="418">
        <f>M60/J60</f>
        <v>8.6586826347305385E-2</v>
      </c>
      <c r="M60" s="155">
        <v>723</v>
      </c>
      <c r="N60" s="159">
        <v>453</v>
      </c>
      <c r="O60" s="1362">
        <f>N60/M60</f>
        <v>0.62655601659751037</v>
      </c>
      <c r="P60" s="157">
        <f>E60/M60</f>
        <v>459.39969571230978</v>
      </c>
      <c r="Q60" s="159">
        <f>E60/N60</f>
        <v>733.21408388520967</v>
      </c>
      <c r="R60" s="155">
        <f>N60*T60</f>
        <v>467949</v>
      </c>
      <c r="S60" s="1876">
        <f>R60/E60</f>
        <v>1.4088654633122462</v>
      </c>
      <c r="T60" s="2380">
        <v>1033</v>
      </c>
      <c r="U60" s="422">
        <v>234</v>
      </c>
      <c r="V60" s="416">
        <v>144</v>
      </c>
      <c r="W60" s="417">
        <f>V60/U60</f>
        <v>0.61538461538461542</v>
      </c>
      <c r="X60" s="157">
        <f>E60/U60</f>
        <v>1419.4272649572649</v>
      </c>
      <c r="Y60" s="156">
        <f>E60/V60</f>
        <v>2306.5693055555553</v>
      </c>
      <c r="Z60" s="155">
        <f>V60*AB60</f>
        <v>145872</v>
      </c>
      <c r="AA60" s="1388">
        <f>Z60/E60</f>
        <v>0.43918038688892158</v>
      </c>
      <c r="AB60" s="656">
        <v>1013</v>
      </c>
    </row>
    <row r="61" spans="1:28">
      <c r="B61" s="2338"/>
      <c r="C61" s="169" t="s">
        <v>888</v>
      </c>
      <c r="D61" s="2387"/>
      <c r="E61" s="464">
        <f>F61+G61</f>
        <v>598581.16</v>
      </c>
      <c r="F61" s="183">
        <v>395500.16000000003</v>
      </c>
      <c r="G61" s="183">
        <v>203081</v>
      </c>
      <c r="H61" s="414">
        <v>374821</v>
      </c>
      <c r="I61" s="415">
        <f>E61/H61</f>
        <v>1.5969787178413164</v>
      </c>
      <c r="J61" s="416">
        <v>5913</v>
      </c>
      <c r="K61" s="417">
        <f>J61/H61</f>
        <v>1.5775530186408978E-2</v>
      </c>
      <c r="L61" s="418">
        <f>M61/J61</f>
        <v>6.5956367326230336E-2</v>
      </c>
      <c r="M61" s="155">
        <v>390</v>
      </c>
      <c r="N61" s="159">
        <v>261</v>
      </c>
      <c r="O61" s="1362">
        <f>N61/M61</f>
        <v>0.66923076923076918</v>
      </c>
      <c r="P61" s="157">
        <f>E61/M61</f>
        <v>1534.8234871794873</v>
      </c>
      <c r="Q61" s="159">
        <f>E61/N61</f>
        <v>2293.4144061302682</v>
      </c>
      <c r="R61" s="155">
        <f>N61*T60</f>
        <v>269613</v>
      </c>
      <c r="S61" s="1876">
        <f>R61/E61</f>
        <v>0.45042012347999721</v>
      </c>
      <c r="T61" s="2369"/>
      <c r="U61" s="422">
        <v>75</v>
      </c>
      <c r="V61" s="416">
        <v>55</v>
      </c>
      <c r="W61" s="417">
        <f>V61/U61</f>
        <v>0.73333333333333328</v>
      </c>
      <c r="X61" s="157">
        <f>E61/U61</f>
        <v>7981.0821333333333</v>
      </c>
      <c r="Y61" s="156">
        <f>E61/V61</f>
        <v>10883.293818181819</v>
      </c>
      <c r="Z61" s="155">
        <f>V61*AB61</f>
        <v>138655</v>
      </c>
      <c r="AA61" s="1388">
        <f>Z61/E61</f>
        <v>0.23163943215319371</v>
      </c>
      <c r="AB61" s="656">
        <v>2521</v>
      </c>
    </row>
    <row r="62" spans="1:28">
      <c r="B62" s="2338"/>
      <c r="C62" s="424" t="s">
        <v>37</v>
      </c>
      <c r="D62" s="425"/>
      <c r="E62" s="469">
        <f>F62+G62</f>
        <v>930727.14</v>
      </c>
      <c r="F62" s="470">
        <f>F60+F61</f>
        <v>727646.14</v>
      </c>
      <c r="G62" s="471">
        <f>G60+G61</f>
        <v>203081</v>
      </c>
      <c r="H62" s="429">
        <f>SUM(H60:H61)</f>
        <v>631052</v>
      </c>
      <c r="I62" s="430">
        <f>E62/H62</f>
        <v>1.4748818480885886</v>
      </c>
      <c r="J62" s="1364">
        <f>SUM(J60:J61)</f>
        <v>14263</v>
      </c>
      <c r="K62" s="432">
        <f>J62/H62</f>
        <v>2.2601940886012563E-2</v>
      </c>
      <c r="L62" s="1365">
        <f>M62/J62</f>
        <v>7.8034074177942933E-2</v>
      </c>
      <c r="M62" s="431">
        <f>SUM(M60:M61)</f>
        <v>1113</v>
      </c>
      <c r="N62" s="431">
        <f>SUM(N60:N61)</f>
        <v>714</v>
      </c>
      <c r="O62" s="1366">
        <f>N62/M62</f>
        <v>0.64150943396226412</v>
      </c>
      <c r="P62" s="1368">
        <f>E62/M62</f>
        <v>836.23283018867926</v>
      </c>
      <c r="Q62" s="431">
        <f>E62/N62</f>
        <v>1303.5394117647058</v>
      </c>
      <c r="R62" s="431">
        <f>N62*T60</f>
        <v>737562</v>
      </c>
      <c r="S62" s="1879">
        <f>R62/E62</f>
        <v>0.79245781959253925</v>
      </c>
      <c r="T62" s="1401"/>
      <c r="U62" s="1367">
        <f>SUM(U60:U61)</f>
        <v>309</v>
      </c>
      <c r="V62" s="1364">
        <f>SUM(V60:V61)</f>
        <v>199</v>
      </c>
      <c r="W62" s="432">
        <f>V62/U62</f>
        <v>0.64401294498381878</v>
      </c>
      <c r="X62" s="1368">
        <f>E62/U62</f>
        <v>3012.0619417475727</v>
      </c>
      <c r="Y62" s="1368">
        <f>E62/V62</f>
        <v>4677.0208040201005</v>
      </c>
      <c r="Z62" s="431">
        <f>V62*AB62</f>
        <v>205567</v>
      </c>
      <c r="AA62" s="1880">
        <f>Z62/E62</f>
        <v>0.22086709537663207</v>
      </c>
      <c r="AB62" s="476">
        <v>1033</v>
      </c>
    </row>
    <row r="63" spans="1:28">
      <c r="B63" s="2289"/>
      <c r="C63" s="153" t="s">
        <v>36</v>
      </c>
      <c r="D63" s="1389"/>
      <c r="E63" s="1371">
        <f>F63+G63</f>
        <v>930727.14</v>
      </c>
      <c r="F63" s="1372">
        <f>F62</f>
        <v>727646.14</v>
      </c>
      <c r="G63" s="1373">
        <f>G62</f>
        <v>203081</v>
      </c>
      <c r="H63" s="1374">
        <v>610201</v>
      </c>
      <c r="I63" s="1375">
        <f>E63/H63</f>
        <v>1.5252796045893076</v>
      </c>
      <c r="J63" s="1376">
        <v>12027</v>
      </c>
      <c r="K63" s="1377">
        <f>J63/H63</f>
        <v>1.9709898869388939E-2</v>
      </c>
      <c r="L63" s="1378">
        <f>M63/J63</f>
        <v>7.0092292342229981E-2</v>
      </c>
      <c r="M63" s="146">
        <v>843</v>
      </c>
      <c r="N63" s="146">
        <v>549</v>
      </c>
      <c r="O63" s="1379">
        <f>N63/M63</f>
        <v>0.6512455516014235</v>
      </c>
      <c r="P63" s="1382">
        <f>E63/M63</f>
        <v>1104.065409252669</v>
      </c>
      <c r="Q63" s="146">
        <f>E63/N63</f>
        <v>1695.3135519125683</v>
      </c>
      <c r="R63" s="146">
        <f>N63*T60</f>
        <v>567117</v>
      </c>
      <c r="S63" s="1881">
        <f>R63/E63</f>
        <v>0.60932681086317086</v>
      </c>
      <c r="T63" s="1402"/>
      <c r="U63" s="1381"/>
      <c r="V63" s="1376"/>
      <c r="W63" s="1377"/>
      <c r="X63" s="1382"/>
      <c r="Y63" s="1382"/>
      <c r="Z63" s="146"/>
      <c r="AA63" s="1383"/>
      <c r="AB63" s="1384"/>
    </row>
    <row r="64" spans="1:28">
      <c r="B64" s="233"/>
      <c r="C64" s="232" t="s">
        <v>461</v>
      </c>
      <c r="D64" s="231" t="s">
        <v>462</v>
      </c>
      <c r="E64" s="230">
        <f>SUM(F64,G64)</f>
        <v>1605533.19</v>
      </c>
      <c r="F64" s="183">
        <f>779229.27+286303.92</f>
        <v>1065533.19</v>
      </c>
      <c r="G64" s="228">
        <f>160000+380000</f>
        <v>540000</v>
      </c>
    </row>
    <row r="65" spans="1:28">
      <c r="B65" s="227"/>
      <c r="C65" s="226" t="s">
        <v>463</v>
      </c>
      <c r="D65" s="225" t="s">
        <v>69</v>
      </c>
      <c r="E65" s="224">
        <f>E63/E64</f>
        <v>0.57969971956792754</v>
      </c>
      <c r="F65" s="223">
        <f>F63/F64</f>
        <v>0.68289392280685324</v>
      </c>
      <c r="G65" s="1385">
        <f>G63/G64</f>
        <v>0.37607592592592592</v>
      </c>
      <c r="Q65" s="1387"/>
    </row>
    <row r="66" spans="1:28">
      <c r="C66" s="951"/>
      <c r="D66" s="951"/>
    </row>
    <row r="67" spans="1:28" customFormat="1">
      <c r="A67" s="234"/>
      <c r="B67" s="236"/>
      <c r="C67" s="235"/>
      <c r="D67" s="235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</row>
    <row r="68" spans="1:28" customFormat="1">
      <c r="A68" s="234"/>
      <c r="B68" s="236"/>
      <c r="C68" s="235"/>
      <c r="D68" s="235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</row>
    <row r="69" spans="1:28">
      <c r="B69" s="248" t="s">
        <v>613</v>
      </c>
      <c r="C69" s="951"/>
      <c r="D69" s="951"/>
    </row>
    <row r="70" spans="1:28">
      <c r="B70" s="2371" t="s">
        <v>456</v>
      </c>
      <c r="C70" s="2372" t="s">
        <v>457</v>
      </c>
      <c r="D70" s="2374" t="s">
        <v>150</v>
      </c>
      <c r="E70" s="2376" t="s">
        <v>151</v>
      </c>
      <c r="F70" s="2376"/>
      <c r="G70" s="2376"/>
      <c r="H70" s="2346" t="s">
        <v>152</v>
      </c>
      <c r="I70" s="2346"/>
      <c r="J70" s="2346"/>
      <c r="K70" s="2346"/>
      <c r="L70" s="2346"/>
      <c r="M70" s="2346"/>
      <c r="N70" s="2346"/>
      <c r="O70" s="2346"/>
      <c r="P70" s="2346"/>
      <c r="Q70" s="2346"/>
      <c r="R70" s="2346"/>
      <c r="S70" s="2346"/>
      <c r="T70" s="2346"/>
      <c r="U70" s="2349" t="s">
        <v>27</v>
      </c>
      <c r="V70" s="2349"/>
      <c r="W70" s="2349"/>
      <c r="X70" s="2349"/>
      <c r="Y70" s="2349"/>
      <c r="Z70" s="2349"/>
      <c r="AA70" s="2349"/>
      <c r="AB70" s="2379"/>
    </row>
    <row r="71" spans="1:28" ht="49.5">
      <c r="B71" s="2371"/>
      <c r="C71" s="2372"/>
      <c r="D71" s="2374"/>
      <c r="E71" s="179" t="s">
        <v>154</v>
      </c>
      <c r="F71" s="178" t="s">
        <v>458</v>
      </c>
      <c r="G71" s="174" t="s">
        <v>156</v>
      </c>
      <c r="H71" s="406" t="s">
        <v>223</v>
      </c>
      <c r="I71" s="354" t="s">
        <v>44</v>
      </c>
      <c r="J71" s="351" t="s">
        <v>21</v>
      </c>
      <c r="K71" s="354" t="s">
        <v>20</v>
      </c>
      <c r="L71" s="354" t="s">
        <v>19</v>
      </c>
      <c r="M71" s="355" t="s">
        <v>18</v>
      </c>
      <c r="N71" s="354" t="s">
        <v>17</v>
      </c>
      <c r="O71" s="356" t="s">
        <v>16</v>
      </c>
      <c r="P71" s="357" t="s">
        <v>15</v>
      </c>
      <c r="Q71" s="354" t="s">
        <v>14</v>
      </c>
      <c r="R71" s="354" t="s">
        <v>13</v>
      </c>
      <c r="S71" s="354" t="s">
        <v>12</v>
      </c>
      <c r="T71" s="358" t="s">
        <v>11</v>
      </c>
      <c r="U71" s="407" t="s">
        <v>10</v>
      </c>
      <c r="V71" s="408" t="s">
        <v>9</v>
      </c>
      <c r="W71" s="409" t="s">
        <v>8</v>
      </c>
      <c r="X71" s="409" t="s">
        <v>7</v>
      </c>
      <c r="Y71" s="409" t="s">
        <v>6</v>
      </c>
      <c r="Z71" s="409" t="s">
        <v>5</v>
      </c>
      <c r="AA71" s="409" t="s">
        <v>4</v>
      </c>
      <c r="AB71" s="410" t="s">
        <v>3</v>
      </c>
    </row>
    <row r="72" spans="1:28">
      <c r="B72" s="2398" t="s">
        <v>614</v>
      </c>
      <c r="C72" s="169" t="s">
        <v>887</v>
      </c>
      <c r="D72" s="2386" t="s">
        <v>459</v>
      </c>
      <c r="E72" s="464">
        <f>F72+G72</f>
        <v>184486.92</v>
      </c>
      <c r="F72" s="183">
        <v>184486.92</v>
      </c>
      <c r="G72" s="183">
        <v>0</v>
      </c>
      <c r="H72" s="1194">
        <v>176722</v>
      </c>
      <c r="I72" s="415">
        <f>E72/H72</f>
        <v>1.0439386154525188</v>
      </c>
      <c r="J72" s="416">
        <v>4009</v>
      </c>
      <c r="K72" s="417">
        <f>J72/H72</f>
        <v>2.2685347608107649E-2</v>
      </c>
      <c r="L72" s="418">
        <f>M72/J72</f>
        <v>7.0341731105013725E-2</v>
      </c>
      <c r="M72" s="155">
        <v>282</v>
      </c>
      <c r="N72" s="159">
        <v>172</v>
      </c>
      <c r="O72" s="1362">
        <f>N72/M72</f>
        <v>0.60992907801418439</v>
      </c>
      <c r="P72" s="157">
        <f>E72/M72</f>
        <v>654.20893617021284</v>
      </c>
      <c r="Q72" s="159">
        <f>E72/N72</f>
        <v>1072.5983720930233</v>
      </c>
      <c r="R72" s="155">
        <f>N72*T72</f>
        <v>177676</v>
      </c>
      <c r="S72" s="1876">
        <f>R72/E72</f>
        <v>0.96308182715609314</v>
      </c>
      <c r="T72" s="2380">
        <v>1033</v>
      </c>
      <c r="U72" s="422">
        <v>104</v>
      </c>
      <c r="V72" s="416">
        <v>66</v>
      </c>
      <c r="W72" s="417">
        <f>V72/U72</f>
        <v>0.63461538461538458</v>
      </c>
      <c r="X72" s="157">
        <f>E72/U72</f>
        <v>1773.9126923076924</v>
      </c>
      <c r="Y72" s="156">
        <f>E72/V72</f>
        <v>2795.2563636363639</v>
      </c>
      <c r="Z72" s="155">
        <f>V72*AB72</f>
        <v>66858</v>
      </c>
      <c r="AA72" s="1388">
        <f>Z72/E72</f>
        <v>0.36239967581441546</v>
      </c>
      <c r="AB72" s="656">
        <v>1013</v>
      </c>
    </row>
    <row r="73" spans="1:28">
      <c r="B73" s="2338"/>
      <c r="C73" s="169" t="s">
        <v>888</v>
      </c>
      <c r="D73" s="2387"/>
      <c r="E73" s="464">
        <f>F73+G73</f>
        <v>481038.05</v>
      </c>
      <c r="F73" s="183">
        <v>277957.05</v>
      </c>
      <c r="G73" s="183">
        <v>203081</v>
      </c>
      <c r="H73" s="414">
        <v>306412</v>
      </c>
      <c r="I73" s="415">
        <f>E73/H73</f>
        <v>1.5699060415388431</v>
      </c>
      <c r="J73" s="416">
        <v>2822</v>
      </c>
      <c r="K73" s="417">
        <f>J73/H73</f>
        <v>9.2098220696317373E-3</v>
      </c>
      <c r="L73" s="418">
        <f>M73/J73</f>
        <v>4.3231750531537917E-2</v>
      </c>
      <c r="M73" s="155">
        <v>122</v>
      </c>
      <c r="N73" s="159">
        <v>93</v>
      </c>
      <c r="O73" s="1362">
        <f>N73/M73</f>
        <v>0.76229508196721307</v>
      </c>
      <c r="P73" s="157">
        <f>E73/M73</f>
        <v>3942.9348360655736</v>
      </c>
      <c r="Q73" s="159">
        <f>E73/N73</f>
        <v>5172.4521505376342</v>
      </c>
      <c r="R73" s="155">
        <f>N73*T72</f>
        <v>96069</v>
      </c>
      <c r="S73" s="1876">
        <f>R73/E73</f>
        <v>0.1997118523160486</v>
      </c>
      <c r="T73" s="2369"/>
      <c r="U73" s="422">
        <v>29</v>
      </c>
      <c r="V73" s="416">
        <v>25</v>
      </c>
      <c r="W73" s="417">
        <f>V73/U73</f>
        <v>0.86206896551724133</v>
      </c>
      <c r="X73" s="157">
        <f>E73/U73</f>
        <v>16587.51896551724</v>
      </c>
      <c r="Y73" s="156">
        <f>E73/V73</f>
        <v>19241.522000000001</v>
      </c>
      <c r="Z73" s="155">
        <f>V73*AB73</f>
        <v>63025</v>
      </c>
      <c r="AA73" s="1388">
        <f>Z73/E73</f>
        <v>0.13101874165671509</v>
      </c>
      <c r="AB73" s="656">
        <v>2521</v>
      </c>
    </row>
    <row r="74" spans="1:28">
      <c r="B74" s="2338"/>
      <c r="C74" s="424" t="s">
        <v>37</v>
      </c>
      <c r="D74" s="425"/>
      <c r="E74" s="469">
        <f>F74+G74</f>
        <v>665524.97</v>
      </c>
      <c r="F74" s="470">
        <f>F72+F73</f>
        <v>462443.97</v>
      </c>
      <c r="G74" s="471">
        <f>G72+G73</f>
        <v>203081</v>
      </c>
      <c r="H74" s="429">
        <f>SUM(H72:H73)</f>
        <v>483134</v>
      </c>
      <c r="I74" s="430">
        <f>E74/H74</f>
        <v>1.3775163205239125</v>
      </c>
      <c r="J74" s="1364">
        <f>SUM(J72:J73)</f>
        <v>6831</v>
      </c>
      <c r="K74" s="432">
        <f>J74/H74</f>
        <v>1.4138934539899903E-2</v>
      </c>
      <c r="L74" s="1365">
        <f>M74/J74</f>
        <v>5.9142146098667837E-2</v>
      </c>
      <c r="M74" s="431">
        <f>SUM(M72:M73)</f>
        <v>404</v>
      </c>
      <c r="N74" s="431">
        <f>SUM(N72:N73)</f>
        <v>265</v>
      </c>
      <c r="O74" s="1366">
        <f>N74/M74</f>
        <v>0.65594059405940597</v>
      </c>
      <c r="P74" s="1368">
        <f>E74/M74</f>
        <v>1647.3390346534652</v>
      </c>
      <c r="Q74" s="431">
        <f>E74/N74</f>
        <v>2511.4149811320754</v>
      </c>
      <c r="R74" s="431">
        <f>N74*T72</f>
        <v>273745</v>
      </c>
      <c r="S74" s="1879">
        <f>R74/E74</f>
        <v>0.41132190727569545</v>
      </c>
      <c r="T74" s="1401"/>
      <c r="U74" s="1367">
        <f>SUM(U72:U73)</f>
        <v>133</v>
      </c>
      <c r="V74" s="1364">
        <f>SUM(V72:V73)</f>
        <v>91</v>
      </c>
      <c r="W74" s="432">
        <f>V74/U74</f>
        <v>0.68421052631578949</v>
      </c>
      <c r="X74" s="1368">
        <f>E74/U74</f>
        <v>5003.9471428571424</v>
      </c>
      <c r="Y74" s="1368">
        <f>E74/V74</f>
        <v>7313.4612087912083</v>
      </c>
      <c r="Z74" s="431">
        <f>V74*AB74</f>
        <v>94003</v>
      </c>
      <c r="AA74" s="1880">
        <f>Z74/E74</f>
        <v>0.14124639080033316</v>
      </c>
      <c r="AB74" s="476">
        <v>1033</v>
      </c>
    </row>
    <row r="75" spans="1:28">
      <c r="B75" s="2289"/>
      <c r="C75" s="153" t="s">
        <v>36</v>
      </c>
      <c r="D75" s="1389"/>
      <c r="E75" s="1371">
        <f>F75+G75</f>
        <v>665524.97</v>
      </c>
      <c r="F75" s="1372">
        <f>F74</f>
        <v>462443.97</v>
      </c>
      <c r="G75" s="1373">
        <f>G74</f>
        <v>203081</v>
      </c>
      <c r="H75" s="1374">
        <v>470024</v>
      </c>
      <c r="I75" s="1375">
        <f>E75/H75</f>
        <v>1.4159382712372133</v>
      </c>
      <c r="J75" s="1376">
        <v>5883</v>
      </c>
      <c r="K75" s="1377">
        <f>J75/H75</f>
        <v>1.2516382142188484E-2</v>
      </c>
      <c r="L75" s="1378">
        <f>M75/J75</f>
        <v>5.3884072751997282E-2</v>
      </c>
      <c r="M75" s="146">
        <v>317</v>
      </c>
      <c r="N75" s="146">
        <v>207</v>
      </c>
      <c r="O75" s="1379">
        <f>N75/M75</f>
        <v>0.65299684542586756</v>
      </c>
      <c r="P75" s="1382">
        <f>E75/M75</f>
        <v>2099.44785488959</v>
      </c>
      <c r="Q75" s="146">
        <f>E75/N75</f>
        <v>3215.0964734299514</v>
      </c>
      <c r="R75" s="146">
        <f>N75*T72</f>
        <v>213831</v>
      </c>
      <c r="S75" s="1881">
        <f>R75/E75</f>
        <v>0.32129673511724138</v>
      </c>
      <c r="T75" s="1402"/>
      <c r="U75" s="1381"/>
      <c r="V75" s="1376"/>
      <c r="W75" s="1377"/>
      <c r="X75" s="1382"/>
      <c r="Y75" s="1382"/>
      <c r="Z75" s="146"/>
      <c r="AA75" s="1383"/>
      <c r="AB75" s="1384"/>
    </row>
    <row r="76" spans="1:28">
      <c r="B76" s="233"/>
      <c r="C76" s="232" t="s">
        <v>461</v>
      </c>
      <c r="D76" s="231" t="s">
        <v>462</v>
      </c>
      <c r="E76" s="230">
        <f>SUM(F76,G76)</f>
        <v>1605533.19</v>
      </c>
      <c r="F76" s="183">
        <f>779229.27+286303.92</f>
        <v>1065533.19</v>
      </c>
      <c r="G76" s="228">
        <f>160000+380000</f>
        <v>540000</v>
      </c>
    </row>
    <row r="77" spans="1:28">
      <c r="B77" s="227"/>
      <c r="C77" s="226" t="s">
        <v>463</v>
      </c>
      <c r="D77" s="225" t="s">
        <v>69</v>
      </c>
      <c r="E77" s="224">
        <f>E75/E76</f>
        <v>0.41451959644633696</v>
      </c>
      <c r="F77" s="223">
        <f>F75/F76</f>
        <v>0.43400240775231036</v>
      </c>
      <c r="G77" s="1385">
        <f>G74/G76</f>
        <v>0.37607592592592592</v>
      </c>
    </row>
    <row r="78" spans="1:28">
      <c r="B78" s="1016"/>
    </row>
    <row r="79" spans="1:28">
      <c r="B79" s="1016"/>
    </row>
    <row r="80" spans="1:28">
      <c r="B80" s="1016"/>
    </row>
    <row r="81" spans="2:28">
      <c r="B81" s="248" t="s">
        <v>615</v>
      </c>
      <c r="C81" s="951"/>
      <c r="D81" s="951"/>
    </row>
    <row r="82" spans="2:28" ht="30.75" customHeight="1">
      <c r="B82" s="2371" t="s">
        <v>456</v>
      </c>
      <c r="C82" s="2372" t="s">
        <v>457</v>
      </c>
      <c r="D82" s="2374" t="s">
        <v>150</v>
      </c>
      <c r="E82" s="2376" t="s">
        <v>151</v>
      </c>
      <c r="F82" s="2376"/>
      <c r="G82" s="2376"/>
      <c r="H82" s="2346" t="s">
        <v>152</v>
      </c>
      <c r="I82" s="2346"/>
      <c r="J82" s="2346"/>
      <c r="K82" s="2346"/>
      <c r="L82" s="2346"/>
      <c r="M82" s="2346"/>
      <c r="N82" s="2346"/>
      <c r="O82" s="2346"/>
      <c r="P82" s="2346"/>
      <c r="Q82" s="2346"/>
      <c r="R82" s="2346"/>
      <c r="S82" s="2346"/>
      <c r="T82" s="2346"/>
      <c r="U82" s="2349" t="s">
        <v>27</v>
      </c>
      <c r="V82" s="2349"/>
      <c r="W82" s="2349"/>
      <c r="X82" s="2349"/>
      <c r="Y82" s="2349"/>
      <c r="Z82" s="2349"/>
      <c r="AA82" s="2349"/>
      <c r="AB82" s="2379"/>
    </row>
    <row r="83" spans="2:28" ht="49.5">
      <c r="B83" s="2371"/>
      <c r="C83" s="2372"/>
      <c r="D83" s="2374"/>
      <c r="E83" s="179" t="s">
        <v>154</v>
      </c>
      <c r="F83" s="178" t="s">
        <v>458</v>
      </c>
      <c r="G83" s="174" t="s">
        <v>156</v>
      </c>
      <c r="H83" s="406" t="s">
        <v>223</v>
      </c>
      <c r="I83" s="354" t="s">
        <v>44</v>
      </c>
      <c r="J83" s="351" t="s">
        <v>21</v>
      </c>
      <c r="K83" s="354" t="s">
        <v>20</v>
      </c>
      <c r="L83" s="354" t="s">
        <v>19</v>
      </c>
      <c r="M83" s="355" t="s">
        <v>18</v>
      </c>
      <c r="N83" s="354" t="s">
        <v>17</v>
      </c>
      <c r="O83" s="356" t="s">
        <v>16</v>
      </c>
      <c r="P83" s="357" t="s">
        <v>15</v>
      </c>
      <c r="Q83" s="354" t="s">
        <v>14</v>
      </c>
      <c r="R83" s="354" t="s">
        <v>13</v>
      </c>
      <c r="S83" s="354" t="s">
        <v>12</v>
      </c>
      <c r="T83" s="358" t="s">
        <v>11</v>
      </c>
      <c r="U83" s="407" t="s">
        <v>10</v>
      </c>
      <c r="V83" s="408" t="s">
        <v>9</v>
      </c>
      <c r="W83" s="409" t="s">
        <v>8</v>
      </c>
      <c r="X83" s="409" t="s">
        <v>7</v>
      </c>
      <c r="Y83" s="409" t="s">
        <v>6</v>
      </c>
      <c r="Z83" s="409" t="s">
        <v>5</v>
      </c>
      <c r="AA83" s="409" t="s">
        <v>4</v>
      </c>
      <c r="AB83" s="410" t="s">
        <v>3</v>
      </c>
    </row>
    <row r="84" spans="2:28">
      <c r="B84" s="2398" t="s">
        <v>616</v>
      </c>
      <c r="C84" s="169" t="s">
        <v>887</v>
      </c>
      <c r="D84" s="2386" t="s">
        <v>617</v>
      </c>
      <c r="E84" s="464">
        <f>F84+G84</f>
        <v>206058.82</v>
      </c>
      <c r="F84" s="183">
        <v>100018.82</v>
      </c>
      <c r="G84" s="183">
        <v>106040</v>
      </c>
      <c r="H84" s="1194">
        <v>199788</v>
      </c>
      <c r="I84" s="415">
        <f>E84/H84</f>
        <v>1.0313873706128496</v>
      </c>
      <c r="J84" s="416">
        <v>1757</v>
      </c>
      <c r="K84" s="417">
        <f>J84/H84</f>
        <v>8.794321981300179E-3</v>
      </c>
      <c r="L84" s="418">
        <f>M84/J84</f>
        <v>4.9516220830961868E-2</v>
      </c>
      <c r="M84" s="155">
        <v>87</v>
      </c>
      <c r="N84" s="159">
        <v>60</v>
      </c>
      <c r="O84" s="1362">
        <f>N84/M84</f>
        <v>0.68965517241379315</v>
      </c>
      <c r="P84" s="157">
        <f>E84/M84</f>
        <v>2368.4921839080462</v>
      </c>
      <c r="Q84" s="159">
        <f>E84/N84</f>
        <v>3434.3136666666669</v>
      </c>
      <c r="R84" s="155">
        <f>N84*T84</f>
        <v>61980</v>
      </c>
      <c r="S84" s="1876">
        <f>R84/E84</f>
        <v>0.30078790124101457</v>
      </c>
      <c r="T84" s="2380">
        <v>1033</v>
      </c>
      <c r="U84" s="422">
        <v>31</v>
      </c>
      <c r="V84" s="416">
        <v>24</v>
      </c>
      <c r="W84" s="417">
        <f>V84/U84</f>
        <v>0.77419354838709675</v>
      </c>
      <c r="X84" s="157">
        <f>E84/U84</f>
        <v>6647.0587096774198</v>
      </c>
      <c r="Y84" s="156">
        <f>E84/V84</f>
        <v>8585.7841666666664</v>
      </c>
      <c r="Z84" s="155">
        <f>V84*AB84</f>
        <v>24312</v>
      </c>
      <c r="AA84" s="1388">
        <f>Z84/E84</f>
        <v>0.1179857285410059</v>
      </c>
      <c r="AB84" s="656">
        <v>1013</v>
      </c>
    </row>
    <row r="85" spans="2:28">
      <c r="B85" s="2338"/>
      <c r="C85" s="169" t="s">
        <v>888</v>
      </c>
      <c r="D85" s="2387"/>
      <c r="E85" s="464">
        <f>F85+G85</f>
        <v>331993</v>
      </c>
      <c r="F85" s="183">
        <v>168214</v>
      </c>
      <c r="G85" s="183">
        <v>163779</v>
      </c>
      <c r="H85" s="414">
        <v>242804</v>
      </c>
      <c r="I85" s="415">
        <f>E85/H85</f>
        <v>1.3673292038022438</v>
      </c>
      <c r="J85" s="416">
        <v>1013</v>
      </c>
      <c r="K85" s="417">
        <f>J85/H85</f>
        <v>4.1720894219205613E-3</v>
      </c>
      <c r="L85" s="418">
        <f>M85/J85</f>
        <v>6.1204343534057258E-2</v>
      </c>
      <c r="M85" s="155">
        <v>62</v>
      </c>
      <c r="N85" s="159">
        <v>44</v>
      </c>
      <c r="O85" s="1362">
        <f>N85/M85</f>
        <v>0.70967741935483875</v>
      </c>
      <c r="P85" s="157">
        <f>E85/M85</f>
        <v>5354.7258064516127</v>
      </c>
      <c r="Q85" s="159">
        <f>E85/N85</f>
        <v>7545.295454545455</v>
      </c>
      <c r="R85" s="155">
        <f>N85*T84</f>
        <v>45452</v>
      </c>
      <c r="S85" s="1876">
        <f>R85/E85</f>
        <v>0.13690650104068458</v>
      </c>
      <c r="T85" s="2369"/>
      <c r="U85" s="422">
        <v>20</v>
      </c>
      <c r="V85" s="416">
        <v>15</v>
      </c>
      <c r="W85" s="417">
        <f>V85/U85</f>
        <v>0.75</v>
      </c>
      <c r="X85" s="157">
        <f>E85/U85</f>
        <v>16599.650000000001</v>
      </c>
      <c r="Y85" s="156">
        <f>E85/V85</f>
        <v>22132.866666666665</v>
      </c>
      <c r="Z85" s="155">
        <f>V85*AB85</f>
        <v>37815</v>
      </c>
      <c r="AA85" s="1388">
        <f>Z85/E85</f>
        <v>0.11390300397899955</v>
      </c>
      <c r="AB85" s="656">
        <v>2521</v>
      </c>
    </row>
    <row r="86" spans="2:28">
      <c r="B86" s="2338"/>
      <c r="C86" s="424" t="s">
        <v>37</v>
      </c>
      <c r="D86" s="425"/>
      <c r="E86" s="469">
        <f>F86+G86</f>
        <v>538051.82000000007</v>
      </c>
      <c r="F86" s="470">
        <f>F84+F85</f>
        <v>268232.82</v>
      </c>
      <c r="G86" s="471">
        <f>G84+G85</f>
        <v>269819</v>
      </c>
      <c r="H86" s="429">
        <f>SUM(H84:H85)</f>
        <v>442592</v>
      </c>
      <c r="I86" s="430">
        <f>E86/H86</f>
        <v>1.2156835640951487</v>
      </c>
      <c r="J86" s="1364">
        <f>SUM(J84:J85)</f>
        <v>2770</v>
      </c>
      <c r="K86" s="432">
        <f>J86/H86</f>
        <v>6.2585857855541899E-3</v>
      </c>
      <c r="L86" s="1365">
        <f>M86/J86</f>
        <v>5.3790613718411553E-2</v>
      </c>
      <c r="M86" s="431">
        <f>SUM(M84:M85)</f>
        <v>149</v>
      </c>
      <c r="N86" s="431">
        <f>SUM(N84:N85)</f>
        <v>104</v>
      </c>
      <c r="O86" s="1366">
        <f>N86/M86</f>
        <v>0.69798657718120805</v>
      </c>
      <c r="P86" s="1368">
        <f>E86/M86</f>
        <v>3611.0860402684566</v>
      </c>
      <c r="Q86" s="431">
        <f>E86/N86</f>
        <v>5173.5751923076932</v>
      </c>
      <c r="R86" s="431">
        <f>N86*T84</f>
        <v>107432</v>
      </c>
      <c r="S86" s="1879">
        <f>R86/E86</f>
        <v>0.19966850033143646</v>
      </c>
      <c r="T86" s="1401"/>
      <c r="U86" s="1367">
        <f>SUM(U84:U85)</f>
        <v>51</v>
      </c>
      <c r="V86" s="1364">
        <f>SUM(V84:V85)</f>
        <v>39</v>
      </c>
      <c r="W86" s="432">
        <f>V86/U86</f>
        <v>0.76470588235294112</v>
      </c>
      <c r="X86" s="1368">
        <f>E86/U86</f>
        <v>10550.03568627451</v>
      </c>
      <c r="Y86" s="1368">
        <f>E86/V86</f>
        <v>13796.200512820515</v>
      </c>
      <c r="Z86" s="431">
        <f>V86*AB86</f>
        <v>40287</v>
      </c>
      <c r="AA86" s="1880">
        <f>Z86/E86</f>
        <v>7.4875687624288673E-2</v>
      </c>
      <c r="AB86" s="476">
        <v>1033</v>
      </c>
    </row>
    <row r="87" spans="2:28">
      <c r="B87" s="2289"/>
      <c r="C87" s="153" t="s">
        <v>36</v>
      </c>
      <c r="D87" s="1389"/>
      <c r="E87" s="1371">
        <f>F87+G87</f>
        <v>538051.82000000007</v>
      </c>
      <c r="F87" s="1372">
        <f>F86</f>
        <v>268232.82</v>
      </c>
      <c r="G87" s="1373">
        <f>G86</f>
        <v>269819</v>
      </c>
      <c r="H87" s="1374">
        <v>429091</v>
      </c>
      <c r="I87" s="1375">
        <f>E87/H87</f>
        <v>1.2539340606071907</v>
      </c>
      <c r="J87" s="1376">
        <v>2029</v>
      </c>
      <c r="K87" s="1377">
        <f>J87/H87</f>
        <v>4.7286006930930737E-3</v>
      </c>
      <c r="L87" s="1378">
        <f>M87/J87</f>
        <v>6.6535239034006904E-2</v>
      </c>
      <c r="M87" s="146">
        <v>135</v>
      </c>
      <c r="N87" s="146">
        <v>83</v>
      </c>
      <c r="O87" s="1379">
        <f>N87/M87</f>
        <v>0.61481481481481481</v>
      </c>
      <c r="P87" s="1382">
        <f>E87/M87</f>
        <v>3985.5690370370376</v>
      </c>
      <c r="Q87" s="146">
        <f>E87/N87</f>
        <v>6482.5520481927715</v>
      </c>
      <c r="R87" s="146">
        <f>N87*T84</f>
        <v>85739</v>
      </c>
      <c r="S87" s="1881">
        <f>R87/E87</f>
        <v>0.1593508223798964</v>
      </c>
      <c r="T87" s="1402"/>
      <c r="U87" s="1381"/>
      <c r="V87" s="1376"/>
      <c r="W87" s="1377"/>
      <c r="X87" s="1382"/>
      <c r="Y87" s="1382"/>
      <c r="Z87" s="146"/>
      <c r="AA87" s="1383"/>
      <c r="AB87" s="1384"/>
    </row>
    <row r="88" spans="2:28">
      <c r="C88" s="951"/>
      <c r="D88" s="951"/>
    </row>
    <row r="89" spans="2:28">
      <c r="B89" s="1016"/>
    </row>
    <row r="90" spans="2:28">
      <c r="B90" s="1016"/>
    </row>
    <row r="91" spans="2:28">
      <c r="B91" s="248" t="s">
        <v>618</v>
      </c>
    </row>
    <row r="92" spans="2:28" ht="30.75" customHeight="1">
      <c r="B92" s="2371" t="s">
        <v>456</v>
      </c>
      <c r="C92" s="2372" t="s">
        <v>457</v>
      </c>
      <c r="D92" s="2374" t="s">
        <v>150</v>
      </c>
      <c r="E92" s="2376" t="s">
        <v>151</v>
      </c>
      <c r="F92" s="2376"/>
      <c r="G92" s="2376"/>
      <c r="H92" s="2346" t="s">
        <v>152</v>
      </c>
      <c r="I92" s="2346"/>
      <c r="J92" s="2346"/>
      <c r="K92" s="2346"/>
      <c r="L92" s="2346"/>
      <c r="M92" s="2346"/>
      <c r="N92" s="2346"/>
      <c r="O92" s="2346"/>
      <c r="P92" s="2346"/>
      <c r="Q92" s="2346"/>
      <c r="R92" s="2346"/>
      <c r="S92" s="2346"/>
      <c r="T92" s="2346"/>
      <c r="U92" s="2349" t="s">
        <v>27</v>
      </c>
      <c r="V92" s="2349"/>
      <c r="W92" s="2349"/>
      <c r="X92" s="2349"/>
      <c r="Y92" s="2349"/>
      <c r="Z92" s="2349"/>
      <c r="AA92" s="2349"/>
      <c r="AB92" s="2379"/>
    </row>
    <row r="93" spans="2:28" ht="49.5">
      <c r="B93" s="2371"/>
      <c r="C93" s="2372"/>
      <c r="D93" s="2374"/>
      <c r="E93" s="179" t="s">
        <v>154</v>
      </c>
      <c r="F93" s="178" t="s">
        <v>458</v>
      </c>
      <c r="G93" s="174" t="s">
        <v>156</v>
      </c>
      <c r="H93" s="406" t="s">
        <v>223</v>
      </c>
      <c r="I93" s="354" t="s">
        <v>44</v>
      </c>
      <c r="J93" s="351" t="s">
        <v>21</v>
      </c>
      <c r="K93" s="354" t="s">
        <v>20</v>
      </c>
      <c r="L93" s="354" t="s">
        <v>19</v>
      </c>
      <c r="M93" s="355" t="s">
        <v>18</v>
      </c>
      <c r="N93" s="354" t="s">
        <v>17</v>
      </c>
      <c r="O93" s="356" t="s">
        <v>16</v>
      </c>
      <c r="P93" s="357" t="s">
        <v>15</v>
      </c>
      <c r="Q93" s="354" t="s">
        <v>14</v>
      </c>
      <c r="R93" s="354" t="s">
        <v>13</v>
      </c>
      <c r="S93" s="354" t="s">
        <v>12</v>
      </c>
      <c r="T93" s="358" t="s">
        <v>11</v>
      </c>
      <c r="U93" s="407" t="s">
        <v>10</v>
      </c>
      <c r="V93" s="408" t="s">
        <v>9</v>
      </c>
      <c r="W93" s="409" t="s">
        <v>8</v>
      </c>
      <c r="X93" s="409" t="s">
        <v>7</v>
      </c>
      <c r="Y93" s="409" t="s">
        <v>6</v>
      </c>
      <c r="Z93" s="409" t="s">
        <v>5</v>
      </c>
      <c r="AA93" s="409" t="s">
        <v>4</v>
      </c>
      <c r="AB93" s="410" t="s">
        <v>3</v>
      </c>
    </row>
    <row r="94" spans="2:28">
      <c r="B94" s="2398" t="s">
        <v>619</v>
      </c>
      <c r="C94" s="169" t="s">
        <v>887</v>
      </c>
      <c r="D94" s="2386" t="s">
        <v>617</v>
      </c>
      <c r="E94" s="464">
        <f>F94+G94</f>
        <v>135296.1333333333</v>
      </c>
      <c r="F94" s="183">
        <v>29256.133333333299</v>
      </c>
      <c r="G94" s="183">
        <v>106040</v>
      </c>
      <c r="H94" s="1194">
        <v>128986</v>
      </c>
      <c r="I94" s="415">
        <f>E94/H94</f>
        <v>1.0489210715374793</v>
      </c>
      <c r="J94" s="416">
        <v>600</v>
      </c>
      <c r="K94" s="417">
        <f>J94/H94</f>
        <v>4.6516676228427895E-3</v>
      </c>
      <c r="L94" s="418">
        <f>M94/J94</f>
        <v>3.833333333333333E-2</v>
      </c>
      <c r="M94" s="155">
        <v>23</v>
      </c>
      <c r="N94" s="159">
        <v>15</v>
      </c>
      <c r="O94" s="1362">
        <f>N94/M94</f>
        <v>0.65217391304347827</v>
      </c>
      <c r="P94" s="157">
        <f>E94/M94</f>
        <v>5882.4405797101435</v>
      </c>
      <c r="Q94" s="159">
        <f>E94/N94</f>
        <v>9019.7422222222194</v>
      </c>
      <c r="R94" s="155">
        <f>N94*T94</f>
        <v>15495</v>
      </c>
      <c r="S94" s="1876">
        <f>R94/E94</f>
        <v>0.11452655458988237</v>
      </c>
      <c r="T94" s="2380">
        <v>1033</v>
      </c>
      <c r="U94" s="422">
        <v>9</v>
      </c>
      <c r="V94" s="416">
        <v>7</v>
      </c>
      <c r="W94" s="417">
        <f>V94/U94</f>
        <v>0.77777777777777779</v>
      </c>
      <c r="X94" s="157">
        <f>E94/U94</f>
        <v>15032.9037037037</v>
      </c>
      <c r="Y94" s="156">
        <f>E94/V94</f>
        <v>19328.019047619044</v>
      </c>
      <c r="Z94" s="155">
        <f>V94*AB94</f>
        <v>7091</v>
      </c>
      <c r="AA94" s="1388">
        <f>Z94/E94</f>
        <v>5.241095828311429E-2</v>
      </c>
      <c r="AB94" s="656">
        <v>1013</v>
      </c>
    </row>
    <row r="95" spans="2:28">
      <c r="B95" s="2338"/>
      <c r="C95" s="169" t="s">
        <v>888</v>
      </c>
      <c r="D95" s="2387"/>
      <c r="E95" s="464">
        <f>F95+G95</f>
        <v>224403.4966666667</v>
      </c>
      <c r="F95" s="183">
        <v>60624.496666666702</v>
      </c>
      <c r="G95" s="183">
        <v>163779</v>
      </c>
      <c r="H95" s="414">
        <v>136987</v>
      </c>
      <c r="I95" s="415">
        <f>E95/H95</f>
        <v>1.638137171167094</v>
      </c>
      <c r="J95" s="416">
        <v>736</v>
      </c>
      <c r="K95" s="417">
        <f>J95/H95</f>
        <v>5.3727725988597461E-3</v>
      </c>
      <c r="L95" s="418">
        <f>M95/J95</f>
        <v>2.717391304347826E-2</v>
      </c>
      <c r="M95" s="155">
        <v>20</v>
      </c>
      <c r="N95" s="159">
        <v>13</v>
      </c>
      <c r="O95" s="1362">
        <f>N95/M95</f>
        <v>0.65</v>
      </c>
      <c r="P95" s="157">
        <f>E95/M95</f>
        <v>11220.174833333334</v>
      </c>
      <c r="Q95" s="159">
        <f>E95/N95</f>
        <v>17261.807435897437</v>
      </c>
      <c r="R95" s="155">
        <f>N95*T94</f>
        <v>13429</v>
      </c>
      <c r="S95" s="1876">
        <f>R95/E95</f>
        <v>5.9843096027811439E-2</v>
      </c>
      <c r="T95" s="2369"/>
      <c r="U95" s="422">
        <v>16</v>
      </c>
      <c r="V95" s="416">
        <v>9</v>
      </c>
      <c r="W95" s="417">
        <f>V95/U95</f>
        <v>0.5625</v>
      </c>
      <c r="X95" s="157">
        <f>E95/U95</f>
        <v>14025.218541666669</v>
      </c>
      <c r="Y95" s="156">
        <f>E95/V95</f>
        <v>24933.721851851857</v>
      </c>
      <c r="Z95" s="155">
        <f>V95*AB95</f>
        <v>22689</v>
      </c>
      <c r="AA95" s="1388">
        <f>Z95/E95</f>
        <v>0.1011080501731338</v>
      </c>
      <c r="AB95" s="656">
        <v>2521</v>
      </c>
    </row>
    <row r="96" spans="2:28">
      <c r="B96" s="2338"/>
      <c r="C96" s="424" t="s">
        <v>37</v>
      </c>
      <c r="D96" s="425"/>
      <c r="E96" s="469">
        <f>F96+G96</f>
        <v>359699.63</v>
      </c>
      <c r="F96" s="470">
        <f>F94+F95</f>
        <v>89880.63</v>
      </c>
      <c r="G96" s="471">
        <f>G94+G95</f>
        <v>269819</v>
      </c>
      <c r="H96" s="429">
        <f>SUM(H94:H95)</f>
        <v>265973</v>
      </c>
      <c r="I96" s="430">
        <f>E96/H96</f>
        <v>1.3523915209438553</v>
      </c>
      <c r="J96" s="1364">
        <f>SUM(J94:J95)</f>
        <v>1336</v>
      </c>
      <c r="K96" s="432">
        <f>J96/H96</f>
        <v>5.0230662510856363E-3</v>
      </c>
      <c r="L96" s="1365">
        <f>M96/J96</f>
        <v>3.2185628742514967E-2</v>
      </c>
      <c r="M96" s="431">
        <f>SUM(M94:M95)</f>
        <v>43</v>
      </c>
      <c r="N96" s="431">
        <f>SUM(N94:N95)</f>
        <v>28</v>
      </c>
      <c r="O96" s="1366">
        <f>N96/M96</f>
        <v>0.65116279069767447</v>
      </c>
      <c r="P96" s="1368">
        <f>E96/M96</f>
        <v>8365.1076744186048</v>
      </c>
      <c r="Q96" s="431">
        <f>E96/N96</f>
        <v>12846.415357142858</v>
      </c>
      <c r="R96" s="431">
        <f>N96*T94</f>
        <v>28924</v>
      </c>
      <c r="S96" s="1879">
        <f>R96/E96</f>
        <v>8.0411536703554568E-2</v>
      </c>
      <c r="T96" s="1401"/>
      <c r="U96" s="1367">
        <f>SUM(U94:U95)</f>
        <v>25</v>
      </c>
      <c r="V96" s="1364">
        <f>SUM(V94:V95)</f>
        <v>16</v>
      </c>
      <c r="W96" s="432">
        <f>V96/U96</f>
        <v>0.64</v>
      </c>
      <c r="X96" s="1368">
        <f>E96/U96</f>
        <v>14387.985200000001</v>
      </c>
      <c r="Y96" s="1368">
        <f>E96/V96</f>
        <v>22481.226875</v>
      </c>
      <c r="Z96" s="431">
        <f>V96*AB96</f>
        <v>16528</v>
      </c>
      <c r="AA96" s="1880">
        <f>Z96/E96</f>
        <v>4.5949449544888325E-2</v>
      </c>
      <c r="AB96" s="476">
        <v>1033</v>
      </c>
    </row>
    <row r="97" spans="2:28">
      <c r="B97" s="2289"/>
      <c r="C97" s="153" t="s">
        <v>36</v>
      </c>
      <c r="D97" s="1389"/>
      <c r="E97" s="1371">
        <f>F97+G97</f>
        <v>359699.63</v>
      </c>
      <c r="F97" s="1372">
        <f>F96</f>
        <v>89880.63</v>
      </c>
      <c r="G97" s="1373">
        <f>G96</f>
        <v>269819</v>
      </c>
      <c r="H97" s="1374">
        <v>230113</v>
      </c>
      <c r="I97" s="1375">
        <f>E97/H97</f>
        <v>1.5631434556065933</v>
      </c>
      <c r="J97" s="1376">
        <v>1102</v>
      </c>
      <c r="K97" s="1377">
        <f>J97/H97</f>
        <v>4.7889515151251774E-3</v>
      </c>
      <c r="L97" s="1378">
        <f>M97/J97</f>
        <v>3.5390199637023591E-2</v>
      </c>
      <c r="M97" s="146">
        <v>39</v>
      </c>
      <c r="N97" s="146">
        <v>25</v>
      </c>
      <c r="O97" s="1379">
        <f>N97/M97</f>
        <v>0.64102564102564108</v>
      </c>
      <c r="P97" s="1382">
        <f>E97/M97</f>
        <v>9223.0674358974356</v>
      </c>
      <c r="Q97" s="146">
        <f>E97/N97</f>
        <v>14387.985200000001</v>
      </c>
      <c r="R97" s="146">
        <f>N97*T94</f>
        <v>25825</v>
      </c>
      <c r="S97" s="1881">
        <f>R97/E97</f>
        <v>7.1796014913888012E-2</v>
      </c>
      <c r="T97" s="1402"/>
      <c r="U97" s="1381"/>
      <c r="V97" s="1376"/>
      <c r="W97" s="1377"/>
      <c r="X97" s="1382"/>
      <c r="Y97" s="1382"/>
      <c r="Z97" s="146"/>
      <c r="AA97" s="1383"/>
      <c r="AB97" s="1384"/>
    </row>
    <row r="98" spans="2:28">
      <c r="C98" s="951"/>
      <c r="D98" s="951"/>
    </row>
    <row r="99" spans="2:28">
      <c r="B99" s="1016"/>
    </row>
    <row r="100" spans="2:28">
      <c r="B100" s="1016"/>
    </row>
    <row r="101" spans="2:28">
      <c r="B101" s="248" t="s">
        <v>620</v>
      </c>
    </row>
    <row r="102" spans="2:28">
      <c r="B102" s="2371" t="s">
        <v>456</v>
      </c>
      <c r="C102" s="2372" t="s">
        <v>457</v>
      </c>
      <c r="D102" s="2374" t="s">
        <v>150</v>
      </c>
      <c r="E102" s="2376" t="s">
        <v>151</v>
      </c>
      <c r="F102" s="2376"/>
      <c r="G102" s="2376"/>
      <c r="H102" s="2346" t="s">
        <v>152</v>
      </c>
      <c r="I102" s="2346"/>
      <c r="J102" s="2346"/>
      <c r="K102" s="2346"/>
      <c r="L102" s="2346"/>
      <c r="M102" s="2346"/>
      <c r="N102" s="2346"/>
      <c r="O102" s="2346"/>
      <c r="P102" s="2346"/>
      <c r="Q102" s="2346"/>
      <c r="R102" s="2346"/>
      <c r="S102" s="2346"/>
      <c r="T102" s="2346"/>
      <c r="U102" s="2349" t="s">
        <v>27</v>
      </c>
      <c r="V102" s="2349"/>
      <c r="W102" s="2349"/>
      <c r="X102" s="2349"/>
      <c r="Y102" s="2349"/>
      <c r="Z102" s="2349"/>
      <c r="AA102" s="2349"/>
      <c r="AB102" s="2379"/>
    </row>
    <row r="103" spans="2:28" ht="49.5">
      <c r="B103" s="2371"/>
      <c r="C103" s="2372"/>
      <c r="D103" s="2374"/>
      <c r="E103" s="179" t="s">
        <v>154</v>
      </c>
      <c r="F103" s="178" t="s">
        <v>458</v>
      </c>
      <c r="G103" s="174" t="s">
        <v>156</v>
      </c>
      <c r="H103" s="406" t="s">
        <v>223</v>
      </c>
      <c r="I103" s="354" t="s">
        <v>44</v>
      </c>
      <c r="J103" s="351" t="s">
        <v>157</v>
      </c>
      <c r="K103" s="354" t="s">
        <v>20</v>
      </c>
      <c r="L103" s="354" t="s">
        <v>19</v>
      </c>
      <c r="M103" s="355" t="s">
        <v>18</v>
      </c>
      <c r="N103" s="354" t="s">
        <v>17</v>
      </c>
      <c r="O103" s="356" t="s">
        <v>16</v>
      </c>
      <c r="P103" s="357" t="s">
        <v>15</v>
      </c>
      <c r="Q103" s="354" t="s">
        <v>14</v>
      </c>
      <c r="R103" s="354" t="s">
        <v>13</v>
      </c>
      <c r="S103" s="354" t="s">
        <v>12</v>
      </c>
      <c r="T103" s="358" t="s">
        <v>11</v>
      </c>
      <c r="U103" s="407" t="s">
        <v>10</v>
      </c>
      <c r="V103" s="408" t="s">
        <v>9</v>
      </c>
      <c r="W103" s="409" t="s">
        <v>8</v>
      </c>
      <c r="X103" s="409" t="s">
        <v>7</v>
      </c>
      <c r="Y103" s="409" t="s">
        <v>6</v>
      </c>
      <c r="Z103" s="409" t="s">
        <v>5</v>
      </c>
      <c r="AA103" s="409" t="s">
        <v>4</v>
      </c>
      <c r="AB103" s="410" t="s">
        <v>3</v>
      </c>
    </row>
    <row r="104" spans="2:28">
      <c r="B104" s="2398" t="s">
        <v>621</v>
      </c>
      <c r="C104" s="169" t="s">
        <v>887</v>
      </c>
      <c r="D104" s="2386" t="s">
        <v>617</v>
      </c>
      <c r="E104" s="464">
        <f>F104+G104</f>
        <v>132217.4</v>
      </c>
      <c r="F104" s="183">
        <v>26177.399999999998</v>
      </c>
      <c r="G104" s="183">
        <v>106040</v>
      </c>
      <c r="H104" s="1194">
        <v>116628</v>
      </c>
      <c r="I104" s="415">
        <f>E104/H104</f>
        <v>1.1336677298761875</v>
      </c>
      <c r="J104" s="416">
        <v>455</v>
      </c>
      <c r="K104" s="417">
        <f>J104/H104</f>
        <v>3.9012929999657029E-3</v>
      </c>
      <c r="L104" s="418">
        <f>M104/J104</f>
        <v>1.5384615384615385E-2</v>
      </c>
      <c r="M104" s="155">
        <v>7</v>
      </c>
      <c r="N104" s="159">
        <v>6</v>
      </c>
      <c r="O104" s="1362">
        <f>N104/M104</f>
        <v>0.8571428571428571</v>
      </c>
      <c r="P104" s="155">
        <f>E104/M104</f>
        <v>18888.2</v>
      </c>
      <c r="Q104" s="159">
        <f>E104/N104</f>
        <v>22036.233333333334</v>
      </c>
      <c r="R104" s="155">
        <f>N104*T104</f>
        <v>6198</v>
      </c>
      <c r="S104" s="1876">
        <f>R104/E104</f>
        <v>4.6877339896261763E-2</v>
      </c>
      <c r="T104" s="2380">
        <v>1033</v>
      </c>
      <c r="U104" s="422">
        <v>5</v>
      </c>
      <c r="V104" s="416">
        <v>3</v>
      </c>
      <c r="W104" s="417">
        <f>V104/U104</f>
        <v>0.6</v>
      </c>
      <c r="X104" s="157">
        <f>E104/U104</f>
        <v>26443.48</v>
      </c>
      <c r="Y104" s="156">
        <f>E104/V104</f>
        <v>44072.466666666667</v>
      </c>
      <c r="Z104" s="155">
        <f>V104*AB104</f>
        <v>3039</v>
      </c>
      <c r="AA104" s="1388">
        <f>Z104/E104</f>
        <v>2.2984871885243546E-2</v>
      </c>
      <c r="AB104" s="656">
        <v>1013</v>
      </c>
    </row>
    <row r="105" spans="2:28">
      <c r="B105" s="2338"/>
      <c r="C105" s="169" t="s">
        <v>888</v>
      </c>
      <c r="D105" s="2387"/>
      <c r="E105" s="464">
        <f>F105+G105</f>
        <v>217912.2466666667</v>
      </c>
      <c r="F105" s="183">
        <v>54133.246666666702</v>
      </c>
      <c r="G105" s="183">
        <v>163779</v>
      </c>
      <c r="H105" s="414">
        <v>113624</v>
      </c>
      <c r="I105" s="415">
        <f>E105/H105</f>
        <v>1.9178364312703893</v>
      </c>
      <c r="J105" s="416">
        <v>528</v>
      </c>
      <c r="K105" s="417">
        <f>J105/H105</f>
        <v>4.646905583327466E-3</v>
      </c>
      <c r="L105" s="418">
        <f>M105/J105</f>
        <v>2.462121212121212E-2</v>
      </c>
      <c r="M105" s="155">
        <v>13</v>
      </c>
      <c r="N105" s="159">
        <v>10</v>
      </c>
      <c r="O105" s="1362">
        <f>N105/M105</f>
        <v>0.76923076923076927</v>
      </c>
      <c r="P105" s="155">
        <f>E105/M105</f>
        <v>16762.480512820515</v>
      </c>
      <c r="Q105" s="159">
        <f>E105/N105</f>
        <v>21791.224666666669</v>
      </c>
      <c r="R105" s="155">
        <f>N105*T104</f>
        <v>10330</v>
      </c>
      <c r="S105" s="1876">
        <f>R105/E105</f>
        <v>4.740440318529443E-2</v>
      </c>
      <c r="T105" s="2369"/>
      <c r="U105" s="422">
        <v>9</v>
      </c>
      <c r="V105" s="416">
        <v>7</v>
      </c>
      <c r="W105" s="417">
        <f>V105/U105</f>
        <v>0.77777777777777779</v>
      </c>
      <c r="X105" s="157">
        <f>E105/U105</f>
        <v>24212.471851851857</v>
      </c>
      <c r="Y105" s="156">
        <f>E105/V105</f>
        <v>31130.320952380956</v>
      </c>
      <c r="Z105" s="155">
        <f>V105*AB105</f>
        <v>17647</v>
      </c>
      <c r="AA105" s="1388">
        <f>Z105/E105</f>
        <v>8.0982139691276933E-2</v>
      </c>
      <c r="AB105" s="656">
        <v>2521</v>
      </c>
    </row>
    <row r="106" spans="2:28">
      <c r="B106" s="2338"/>
      <c r="C106" s="424" t="s">
        <v>37</v>
      </c>
      <c r="D106" s="425"/>
      <c r="E106" s="469">
        <f>F106+G106</f>
        <v>350129.64666666673</v>
      </c>
      <c r="F106" s="470">
        <f>F104+F105</f>
        <v>80310.646666666697</v>
      </c>
      <c r="G106" s="471">
        <f>G104+G105</f>
        <v>269819</v>
      </c>
      <c r="H106" s="429">
        <f>SUM(H104:H105)</f>
        <v>230252</v>
      </c>
      <c r="I106" s="430">
        <f>E106/H106</f>
        <v>1.5206367226632851</v>
      </c>
      <c r="J106" s="1364">
        <f>SUM(J104:J105)</f>
        <v>983</v>
      </c>
      <c r="K106" s="432">
        <f>J106/H106</f>
        <v>4.2692354463804878E-3</v>
      </c>
      <c r="L106" s="1365">
        <f>M106/J106</f>
        <v>2.0345879959308241E-2</v>
      </c>
      <c r="M106" s="431">
        <f>SUM(M104:M105)</f>
        <v>20</v>
      </c>
      <c r="N106" s="431">
        <f>SUM(N104:N105)</f>
        <v>16</v>
      </c>
      <c r="O106" s="1366">
        <f>N106/M106</f>
        <v>0.8</v>
      </c>
      <c r="P106" s="431">
        <f>E106/M106</f>
        <v>17506.482333333337</v>
      </c>
      <c r="Q106" s="431">
        <f>E106/N106</f>
        <v>21883.10291666667</v>
      </c>
      <c r="R106" s="431">
        <f>N106*T104</f>
        <v>16528</v>
      </c>
      <c r="S106" s="1879">
        <f>R106/E106</f>
        <v>4.7205371374150221E-2</v>
      </c>
      <c r="T106" s="1401"/>
      <c r="U106" s="1367">
        <f>SUM(U104:U105)</f>
        <v>14</v>
      </c>
      <c r="V106" s="1364">
        <f>SUM(V104:V105)</f>
        <v>10</v>
      </c>
      <c r="W106" s="432">
        <f>V106/U106</f>
        <v>0.7142857142857143</v>
      </c>
      <c r="X106" s="1368">
        <f>E106/U106</f>
        <v>25009.26047619048</v>
      </c>
      <c r="Y106" s="1368">
        <f>E106/V106</f>
        <v>35012.964666666674</v>
      </c>
      <c r="Z106" s="431">
        <f>V106*AB106</f>
        <v>10330</v>
      </c>
      <c r="AA106" s="1880">
        <f>Z106/E106</f>
        <v>2.9503357108843886E-2</v>
      </c>
      <c r="AB106" s="476">
        <v>1033</v>
      </c>
    </row>
    <row r="107" spans="2:28">
      <c r="B107" s="2289"/>
      <c r="C107" s="153" t="s">
        <v>36</v>
      </c>
      <c r="D107" s="1389"/>
      <c r="E107" s="1371">
        <f>F107+G107</f>
        <v>350129.64666666673</v>
      </c>
      <c r="F107" s="1372">
        <f>F106</f>
        <v>80310.646666666697</v>
      </c>
      <c r="G107" s="1373">
        <f>G106</f>
        <v>269819</v>
      </c>
      <c r="H107" s="1374">
        <v>225637</v>
      </c>
      <c r="I107" s="1375">
        <f>E107/H107</f>
        <v>1.5517386185185351</v>
      </c>
      <c r="J107" s="1376">
        <v>876</v>
      </c>
      <c r="K107" s="1377">
        <f>J107/H107</f>
        <v>3.8823419917832624E-3</v>
      </c>
      <c r="L107" s="1378">
        <f>M107/J107</f>
        <v>2.1689497716894976E-2</v>
      </c>
      <c r="M107" s="146">
        <v>19</v>
      </c>
      <c r="N107" s="146">
        <v>13</v>
      </c>
      <c r="O107" s="1379">
        <f>N107/M107</f>
        <v>0.68421052631578949</v>
      </c>
      <c r="P107" s="146">
        <f>E107/M107</f>
        <v>18427.87614035088</v>
      </c>
      <c r="Q107" s="146">
        <f>E107/N107</f>
        <v>26933.049743589749</v>
      </c>
      <c r="R107" s="146">
        <f>N107*T104</f>
        <v>13429</v>
      </c>
      <c r="S107" s="1881">
        <f>R107/E107</f>
        <v>3.8354364241497053E-2</v>
      </c>
      <c r="T107" s="1402"/>
      <c r="U107" s="1381"/>
      <c r="V107" s="1376"/>
      <c r="W107" s="1377"/>
      <c r="X107" s="1382"/>
      <c r="Y107" s="1382"/>
      <c r="Z107" s="146"/>
      <c r="AA107" s="1383"/>
      <c r="AB107" s="1384"/>
    </row>
    <row r="108" spans="2:28">
      <c r="B108" s="1016"/>
    </row>
    <row r="109" spans="2:28">
      <c r="B109" s="1016"/>
    </row>
    <row r="110" spans="2:28">
      <c r="B110" s="1016"/>
    </row>
    <row r="111" spans="2:28">
      <c r="B111" s="248" t="s">
        <v>622</v>
      </c>
      <c r="C111" s="951"/>
      <c r="D111" s="951"/>
    </row>
    <row r="112" spans="2:28" ht="27" customHeight="1">
      <c r="B112" s="2371" t="s">
        <v>456</v>
      </c>
      <c r="C112" s="2372" t="s">
        <v>457</v>
      </c>
      <c r="D112" s="2374" t="s">
        <v>150</v>
      </c>
      <c r="E112" s="2376" t="s">
        <v>151</v>
      </c>
      <c r="F112" s="2376"/>
      <c r="G112" s="2376"/>
      <c r="H112" s="2346" t="s">
        <v>152</v>
      </c>
      <c r="I112" s="2346"/>
      <c r="J112" s="2346"/>
      <c r="K112" s="2346"/>
      <c r="L112" s="2346"/>
      <c r="M112" s="2346"/>
      <c r="N112" s="2346"/>
      <c r="O112" s="2346"/>
      <c r="P112" s="2346"/>
      <c r="Q112" s="2346"/>
      <c r="R112" s="2346"/>
      <c r="S112" s="2346"/>
      <c r="T112" s="2346"/>
      <c r="U112" s="2349" t="s">
        <v>27</v>
      </c>
      <c r="V112" s="2349"/>
      <c r="W112" s="2349"/>
      <c r="X112" s="2349"/>
      <c r="Y112" s="2349"/>
      <c r="Z112" s="2349"/>
      <c r="AA112" s="2349"/>
      <c r="AB112" s="2379"/>
    </row>
    <row r="113" spans="2:28" ht="49.5">
      <c r="B113" s="2371"/>
      <c r="C113" s="2372"/>
      <c r="D113" s="2374"/>
      <c r="E113" s="179" t="s">
        <v>154</v>
      </c>
      <c r="F113" s="178" t="s">
        <v>458</v>
      </c>
      <c r="G113" s="174" t="s">
        <v>156</v>
      </c>
      <c r="H113" s="406" t="s">
        <v>223</v>
      </c>
      <c r="I113" s="354" t="s">
        <v>44</v>
      </c>
      <c r="J113" s="351" t="s">
        <v>21</v>
      </c>
      <c r="K113" s="354" t="s">
        <v>20</v>
      </c>
      <c r="L113" s="354" t="s">
        <v>19</v>
      </c>
      <c r="M113" s="355" t="s">
        <v>18</v>
      </c>
      <c r="N113" s="354" t="s">
        <v>17</v>
      </c>
      <c r="O113" s="356" t="s">
        <v>16</v>
      </c>
      <c r="P113" s="357" t="s">
        <v>15</v>
      </c>
      <c r="Q113" s="354" t="s">
        <v>14</v>
      </c>
      <c r="R113" s="354" t="s">
        <v>13</v>
      </c>
      <c r="S113" s="354" t="s">
        <v>12</v>
      </c>
      <c r="T113" s="358" t="s">
        <v>11</v>
      </c>
      <c r="U113" s="407" t="s">
        <v>10</v>
      </c>
      <c r="V113" s="408" t="s">
        <v>9</v>
      </c>
      <c r="W113" s="409" t="s">
        <v>8</v>
      </c>
      <c r="X113" s="409" t="s">
        <v>7</v>
      </c>
      <c r="Y113" s="409" t="s">
        <v>6</v>
      </c>
      <c r="Z113" s="409" t="s">
        <v>5</v>
      </c>
      <c r="AA113" s="409" t="s">
        <v>4</v>
      </c>
      <c r="AB113" s="410" t="s">
        <v>3</v>
      </c>
    </row>
    <row r="114" spans="2:28">
      <c r="B114" s="2338" t="s">
        <v>623</v>
      </c>
      <c r="C114" s="169" t="s">
        <v>887</v>
      </c>
      <c r="D114" s="2386" t="s">
        <v>624</v>
      </c>
      <c r="E114" s="464">
        <f>F114+G114</f>
        <v>1122008.121764882</v>
      </c>
      <c r="F114" s="183">
        <v>520572.121764882</v>
      </c>
      <c r="G114" s="183">
        <v>601436</v>
      </c>
      <c r="H114" s="414">
        <v>812733</v>
      </c>
      <c r="I114" s="415">
        <f>E114/H114</f>
        <v>1.3805371773569943</v>
      </c>
      <c r="J114" s="416">
        <v>19710</v>
      </c>
      <c r="K114" s="417">
        <f>J114/H114</f>
        <v>2.4251506952467784E-2</v>
      </c>
      <c r="L114" s="418">
        <f>M114/J114</f>
        <v>0.12090309487569761</v>
      </c>
      <c r="M114" s="155">
        <v>2383</v>
      </c>
      <c r="N114" s="159">
        <v>1715</v>
      </c>
      <c r="O114" s="1362">
        <f>N114/M114</f>
        <v>0.71968107427612249</v>
      </c>
      <c r="P114" s="163">
        <f>E114/M114</f>
        <v>470.83849003981618</v>
      </c>
      <c r="Q114" s="159">
        <f>E114/N114</f>
        <v>654.23214097077664</v>
      </c>
      <c r="R114" s="155">
        <f>N114*T114</f>
        <v>1771595</v>
      </c>
      <c r="S114" s="421">
        <f>R114/E114</f>
        <v>1.5789502461117118</v>
      </c>
      <c r="T114" s="2380">
        <v>1033</v>
      </c>
      <c r="U114" s="422">
        <v>186</v>
      </c>
      <c r="V114" s="416">
        <v>137</v>
      </c>
      <c r="W114" s="417">
        <f>V114/U114</f>
        <v>0.73655913978494625</v>
      </c>
      <c r="X114" s="157">
        <f>E114/U114</f>
        <v>6032.3017299187204</v>
      </c>
      <c r="Y114" s="156">
        <f>E114/V114</f>
        <v>8189.8403048531536</v>
      </c>
      <c r="Z114" s="155">
        <f>V114*AB114</f>
        <v>170839</v>
      </c>
      <c r="AA114" s="423">
        <f>Z114/E114</f>
        <v>0.15226182118118348</v>
      </c>
      <c r="AB114" s="656">
        <v>1247</v>
      </c>
    </row>
    <row r="115" spans="2:28">
      <c r="B115" s="2338"/>
      <c r="C115" s="169" t="s">
        <v>888</v>
      </c>
      <c r="D115" s="2387"/>
      <c r="E115" s="464">
        <f>F115+G115</f>
        <v>67942.181594964393</v>
      </c>
      <c r="F115" s="183">
        <v>25292.9815949644</v>
      </c>
      <c r="G115" s="183">
        <v>42649.2</v>
      </c>
      <c r="H115" s="414">
        <v>46144</v>
      </c>
      <c r="I115" s="415">
        <f>E115/H115</f>
        <v>1.4723947120961423</v>
      </c>
      <c r="J115" s="416">
        <v>1612</v>
      </c>
      <c r="K115" s="417">
        <f>J115/H115</f>
        <v>3.4934119278779471E-2</v>
      </c>
      <c r="L115" s="418">
        <f>M115/J115</f>
        <v>0.13709677419354838</v>
      </c>
      <c r="M115" s="155">
        <v>221</v>
      </c>
      <c r="N115" s="159">
        <v>150</v>
      </c>
      <c r="O115" s="1362">
        <f>N115/M115</f>
        <v>0.67873303167420818</v>
      </c>
      <c r="P115" s="163">
        <f>E115/M115</f>
        <v>307.43068595006514</v>
      </c>
      <c r="Q115" s="159">
        <f>E115/N115</f>
        <v>452.94787729976264</v>
      </c>
      <c r="R115" s="155">
        <f>N115*T114</f>
        <v>154950</v>
      </c>
      <c r="S115" s="421">
        <f>R115/E115</f>
        <v>2.2806156111343396</v>
      </c>
      <c r="T115" s="2369"/>
      <c r="U115" s="422">
        <v>31</v>
      </c>
      <c r="V115" s="416">
        <v>22</v>
      </c>
      <c r="W115" s="417">
        <f>V115/U115</f>
        <v>0.70967741935483875</v>
      </c>
      <c r="X115" s="157">
        <f>E115/U115</f>
        <v>2191.683277256916</v>
      </c>
      <c r="Y115" s="156">
        <f>E115/V115</f>
        <v>3088.2809815892906</v>
      </c>
      <c r="Z115" s="155">
        <f>V115*AB115</f>
        <v>39754</v>
      </c>
      <c r="AA115" s="1388">
        <f>Z115/E115</f>
        <v>0.58511515330774144</v>
      </c>
      <c r="AB115" s="656">
        <v>1807</v>
      </c>
    </row>
    <row r="116" spans="2:28">
      <c r="B116" s="2338"/>
      <c r="C116" s="424" t="s">
        <v>37</v>
      </c>
      <c r="D116" s="425"/>
      <c r="E116" s="469">
        <f>F116+G116</f>
        <v>1189950.3033598464</v>
      </c>
      <c r="F116" s="470">
        <f>F114+F115</f>
        <v>545865.1033598464</v>
      </c>
      <c r="G116" s="471">
        <f>G114+G115</f>
        <v>644085.19999999995</v>
      </c>
      <c r="H116" s="429">
        <f>SUM(H114:H115)</f>
        <v>858877</v>
      </c>
      <c r="I116" s="430">
        <f>E116/H116</f>
        <v>1.3854723125195416</v>
      </c>
      <c r="J116" s="1364">
        <f>SUM(J114:J115)</f>
        <v>21322</v>
      </c>
      <c r="K116" s="432">
        <f>J116/H116</f>
        <v>2.4825440662632717E-2</v>
      </c>
      <c r="L116" s="1365">
        <f>M116/J116</f>
        <v>0.1221273801707157</v>
      </c>
      <c r="M116" s="431">
        <f>SUM(M114:M115)</f>
        <v>2604</v>
      </c>
      <c r="N116" s="431">
        <f>SUM(N114:N115)</f>
        <v>1865</v>
      </c>
      <c r="O116" s="1366">
        <f>N116/M116</f>
        <v>0.71620583717357911</v>
      </c>
      <c r="P116" s="475">
        <f>E116/M116</f>
        <v>456.97016258058613</v>
      </c>
      <c r="Q116" s="431">
        <f>E116/N116</f>
        <v>638.04305810179426</v>
      </c>
      <c r="R116" s="431">
        <f>N116*T114</f>
        <v>1926545</v>
      </c>
      <c r="S116" s="434">
        <f>R116/E116</f>
        <v>1.6190129911815352</v>
      </c>
      <c r="T116" s="1401"/>
      <c r="U116" s="1367">
        <f>SUM(U114:U115)</f>
        <v>217</v>
      </c>
      <c r="V116" s="1364">
        <f>SUM(V114:V115)</f>
        <v>159</v>
      </c>
      <c r="W116" s="432">
        <f>V116/U116</f>
        <v>0.73271889400921664</v>
      </c>
      <c r="X116" s="1368">
        <f>E116/U116</f>
        <v>5483.6419509670341</v>
      </c>
      <c r="Y116" s="1368">
        <f>E116/V116</f>
        <v>7483.9641720745058</v>
      </c>
      <c r="Z116" s="431">
        <f>V116*AB116</f>
        <v>164247</v>
      </c>
      <c r="AA116" s="1369">
        <f>Z116/E116</f>
        <v>0.13802845340368047</v>
      </c>
      <c r="AB116" s="476">
        <v>1033</v>
      </c>
    </row>
    <row r="117" spans="2:28">
      <c r="B117" s="2289"/>
      <c r="C117" s="153" t="s">
        <v>36</v>
      </c>
      <c r="D117" s="1389"/>
      <c r="E117" s="1371">
        <f>F117+G117</f>
        <v>1189950.3033598464</v>
      </c>
      <c r="F117" s="1372">
        <f>F116</f>
        <v>545865.1033598464</v>
      </c>
      <c r="G117" s="1373">
        <f>G116</f>
        <v>644085.19999999995</v>
      </c>
      <c r="H117" s="1374">
        <v>853556</v>
      </c>
      <c r="I117" s="1375">
        <f>E117/H117</f>
        <v>1.3941092363709544</v>
      </c>
      <c r="J117" s="1376">
        <v>20323</v>
      </c>
      <c r="K117" s="1377">
        <f>J117/H117</f>
        <v>2.3809802754593722E-2</v>
      </c>
      <c r="L117" s="1378">
        <f>M117/J117</f>
        <v>0.12050386261870787</v>
      </c>
      <c r="M117" s="146">
        <v>2449</v>
      </c>
      <c r="N117" s="146">
        <v>1755</v>
      </c>
      <c r="O117" s="1379">
        <f>N117/M117</f>
        <v>0.71661902817476519</v>
      </c>
      <c r="P117" s="147">
        <f>E117/M117</f>
        <v>485.89232476923087</v>
      </c>
      <c r="Q117" s="146">
        <f>E117/N117</f>
        <v>678.0343608888013</v>
      </c>
      <c r="R117" s="146">
        <f>N117*T114</f>
        <v>1812915</v>
      </c>
      <c r="S117" s="1380">
        <f>R117/E117</f>
        <v>1.5235216083236429</v>
      </c>
      <c r="T117" s="1402"/>
      <c r="U117" s="1381"/>
      <c r="V117" s="1376"/>
      <c r="W117" s="1377"/>
      <c r="X117" s="1382"/>
      <c r="Y117" s="1382"/>
      <c r="Z117" s="146"/>
      <c r="AA117" s="1383"/>
      <c r="AB117" s="1384"/>
    </row>
    <row r="118" spans="2:28">
      <c r="C118" s="951"/>
      <c r="D118" s="951"/>
    </row>
    <row r="119" spans="2:28">
      <c r="B119" s="1016"/>
    </row>
    <row r="120" spans="2:28">
      <c r="B120" s="1016"/>
    </row>
    <row r="121" spans="2:28">
      <c r="B121" s="248" t="s">
        <v>625</v>
      </c>
      <c r="E121" s="841"/>
      <c r="F121" s="1004"/>
      <c r="G121" s="1004"/>
    </row>
    <row r="122" spans="2:28" ht="16.5" customHeight="1">
      <c r="B122" s="2371" t="s">
        <v>195</v>
      </c>
      <c r="C122" s="2372" t="s">
        <v>100</v>
      </c>
      <c r="D122" s="2374" t="s">
        <v>30</v>
      </c>
      <c r="E122" s="2376" t="s">
        <v>29</v>
      </c>
      <c r="F122" s="2396"/>
      <c r="G122" s="2397"/>
      <c r="H122" s="2346" t="s">
        <v>28</v>
      </c>
      <c r="I122" s="2347"/>
      <c r="J122" s="2347"/>
      <c r="K122" s="2347"/>
      <c r="L122" s="2347"/>
      <c r="M122" s="2347"/>
      <c r="N122" s="2347"/>
      <c r="O122" s="2347"/>
      <c r="P122" s="2347"/>
      <c r="Q122" s="2347"/>
      <c r="R122" s="2347"/>
      <c r="S122" s="2347"/>
      <c r="T122" s="2348"/>
      <c r="U122" s="2349" t="s">
        <v>27</v>
      </c>
      <c r="V122" s="2350"/>
      <c r="W122" s="2350"/>
      <c r="X122" s="2350"/>
      <c r="Y122" s="2350"/>
      <c r="Z122" s="2350"/>
      <c r="AA122" s="2350"/>
      <c r="AB122" s="2351"/>
    </row>
    <row r="123" spans="2:28" ht="49.5">
      <c r="B123" s="2393"/>
      <c r="C123" s="2394"/>
      <c r="D123" s="2395"/>
      <c r="E123" s="179" t="s">
        <v>26</v>
      </c>
      <c r="F123" s="178" t="s">
        <v>138</v>
      </c>
      <c r="G123" s="174" t="s">
        <v>24</v>
      </c>
      <c r="H123" s="406" t="s">
        <v>23</v>
      </c>
      <c r="I123" s="354" t="s">
        <v>22</v>
      </c>
      <c r="J123" s="351" t="s">
        <v>21</v>
      </c>
      <c r="K123" s="354" t="s">
        <v>20</v>
      </c>
      <c r="L123" s="354" t="s">
        <v>19</v>
      </c>
      <c r="M123" s="355" t="s">
        <v>18</v>
      </c>
      <c r="N123" s="354" t="s">
        <v>17</v>
      </c>
      <c r="O123" s="356" t="s">
        <v>16</v>
      </c>
      <c r="P123" s="357" t="s">
        <v>15</v>
      </c>
      <c r="Q123" s="354" t="s">
        <v>14</v>
      </c>
      <c r="R123" s="354" t="s">
        <v>13</v>
      </c>
      <c r="S123" s="354" t="s">
        <v>12</v>
      </c>
      <c r="T123" s="352" t="s">
        <v>11</v>
      </c>
      <c r="U123" s="407" t="s">
        <v>10</v>
      </c>
      <c r="V123" s="408" t="s">
        <v>9</v>
      </c>
      <c r="W123" s="409" t="s">
        <v>8</v>
      </c>
      <c r="X123" s="409" t="s">
        <v>7</v>
      </c>
      <c r="Y123" s="409" t="s">
        <v>6</v>
      </c>
      <c r="Z123" s="409" t="s">
        <v>5</v>
      </c>
      <c r="AA123" s="409" t="s">
        <v>4</v>
      </c>
      <c r="AB123" s="410" t="s">
        <v>3</v>
      </c>
    </row>
    <row r="124" spans="2:28">
      <c r="B124" s="2288" t="s">
        <v>626</v>
      </c>
      <c r="C124" s="169" t="s">
        <v>890</v>
      </c>
      <c r="D124" s="184" t="s">
        <v>172</v>
      </c>
      <c r="E124" s="464">
        <f>SUM(F124:G124)</f>
        <v>1618695.03</v>
      </c>
      <c r="F124" s="465">
        <v>901407.03</v>
      </c>
      <c r="G124" s="182">
        <v>717288</v>
      </c>
      <c r="H124" s="414">
        <v>1364074</v>
      </c>
      <c r="I124" s="415">
        <f>E124/H124</f>
        <v>1.1866621825502135</v>
      </c>
      <c r="J124" s="416">
        <v>56216</v>
      </c>
      <c r="K124" s="417">
        <f>J124/H124</f>
        <v>4.1211840413350007E-2</v>
      </c>
      <c r="L124" s="418">
        <f>M124/J124</f>
        <v>0.16886651487121104</v>
      </c>
      <c r="M124" s="155">
        <v>9493</v>
      </c>
      <c r="N124" s="159">
        <v>7351</v>
      </c>
      <c r="O124" s="1362">
        <f>N124/M124</f>
        <v>0.77436005477720427</v>
      </c>
      <c r="P124" s="163">
        <f>E124/M124</f>
        <v>170.51459285789528</v>
      </c>
      <c r="Q124" s="159">
        <f>E124/N124</f>
        <v>220.20065705346212</v>
      </c>
      <c r="R124" s="155">
        <f>N124*$T$124</f>
        <v>5946959</v>
      </c>
      <c r="S124" s="421">
        <f>R124/E124</f>
        <v>3.6739218257808575</v>
      </c>
      <c r="T124" s="2290">
        <v>809</v>
      </c>
      <c r="U124" s="422">
        <v>311</v>
      </c>
      <c r="V124" s="416">
        <v>257</v>
      </c>
      <c r="W124" s="417">
        <f>V124/U124</f>
        <v>0.82636655948553051</v>
      </c>
      <c r="X124" s="157">
        <f>E124/U124</f>
        <v>5204.8071704180065</v>
      </c>
      <c r="Y124" s="156">
        <f>E124/V124</f>
        <v>6298.4242412451367</v>
      </c>
      <c r="Z124" s="155">
        <f>V124*AB124</f>
        <v>215880</v>
      </c>
      <c r="AA124" s="423">
        <f>Z124/E124</f>
        <v>0.13336669106842194</v>
      </c>
      <c r="AB124" s="656">
        <v>840</v>
      </c>
    </row>
    <row r="125" spans="2:28">
      <c r="B125" s="2338"/>
      <c r="C125" s="169" t="s">
        <v>891</v>
      </c>
      <c r="D125" s="184" t="s">
        <v>172</v>
      </c>
      <c r="E125" s="464">
        <f>SUM(F125:G125)</f>
        <v>1824057.73</v>
      </c>
      <c r="F125" s="465">
        <v>770917.73</v>
      </c>
      <c r="G125" s="182">
        <v>1053140</v>
      </c>
      <c r="H125" s="414">
        <v>1497527</v>
      </c>
      <c r="I125" s="415">
        <f>E125/H125</f>
        <v>1.2180466395597542</v>
      </c>
      <c r="J125" s="416">
        <v>78278</v>
      </c>
      <c r="K125" s="417">
        <f>J125/H125</f>
        <v>5.2271511632177581E-2</v>
      </c>
      <c r="L125" s="418">
        <f>M125/J125</f>
        <v>0.17496614629908785</v>
      </c>
      <c r="M125" s="155">
        <v>13696</v>
      </c>
      <c r="N125" s="159">
        <v>10631</v>
      </c>
      <c r="O125" s="1362">
        <f>N125/M125</f>
        <v>0.77621203271028039</v>
      </c>
      <c r="P125" s="163">
        <f>E125/M125</f>
        <v>133.18178519275702</v>
      </c>
      <c r="Q125" s="159">
        <f>E125/N125</f>
        <v>171.57912990311354</v>
      </c>
      <c r="R125" s="155">
        <f>N125*$T$124</f>
        <v>8600479</v>
      </c>
      <c r="S125" s="421">
        <f>R125/E125</f>
        <v>4.7150256587547812</v>
      </c>
      <c r="T125" s="2290"/>
      <c r="U125" s="422">
        <v>768</v>
      </c>
      <c r="V125" s="416">
        <v>587</v>
      </c>
      <c r="W125" s="417">
        <f>V125/U125</f>
        <v>0.76432291666666663</v>
      </c>
      <c r="X125" s="157">
        <f>E125/U125</f>
        <v>2375.0751692708332</v>
      </c>
      <c r="Y125" s="156">
        <f>E125/V125</f>
        <v>3107.4237308347529</v>
      </c>
      <c r="Z125" s="155">
        <f>V125*AB125</f>
        <v>422640</v>
      </c>
      <c r="AA125" s="423">
        <f>Z125/E125</f>
        <v>0.23170319285892338</v>
      </c>
      <c r="AB125" s="656">
        <v>720</v>
      </c>
    </row>
    <row r="126" spans="2:28">
      <c r="B126" s="2338"/>
      <c r="C126" s="169" t="s">
        <v>892</v>
      </c>
      <c r="D126" s="184" t="s">
        <v>172</v>
      </c>
      <c r="E126" s="464">
        <f>SUM(F126:G126)</f>
        <v>187734.82</v>
      </c>
      <c r="F126" s="465">
        <v>134769.82</v>
      </c>
      <c r="G126" s="182">
        <v>52965</v>
      </c>
      <c r="H126" s="414">
        <v>30397</v>
      </c>
      <c r="I126" s="415">
        <f>E126/H126</f>
        <v>6.1760969832549266</v>
      </c>
      <c r="J126" s="416">
        <v>6585</v>
      </c>
      <c r="K126" s="417">
        <f>J126/H126</f>
        <v>0.21663322038359048</v>
      </c>
      <c r="L126" s="418">
        <f>M126/J126</f>
        <v>0.32027334851936218</v>
      </c>
      <c r="M126" s="155">
        <v>2109</v>
      </c>
      <c r="N126" s="159">
        <v>1702</v>
      </c>
      <c r="O126" s="1362">
        <f>N126/M126</f>
        <v>0.80701754385964908</v>
      </c>
      <c r="P126" s="163">
        <f>E126/M126</f>
        <v>89.016036036036041</v>
      </c>
      <c r="Q126" s="159">
        <f>E126/N126</f>
        <v>110.30247943595771</v>
      </c>
      <c r="R126" s="155">
        <f>N126*$T$124</f>
        <v>1376918</v>
      </c>
      <c r="S126" s="421">
        <f>R126/E126</f>
        <v>7.3343772881344016</v>
      </c>
      <c r="T126" s="2369"/>
      <c r="U126" s="422">
        <f>52641-52564</f>
        <v>77</v>
      </c>
      <c r="V126" s="416">
        <f>U126-29</f>
        <v>48</v>
      </c>
      <c r="W126" s="417">
        <f>V126/U126</f>
        <v>0.62337662337662336</v>
      </c>
      <c r="X126" s="157">
        <f>E126/U126</f>
        <v>2438.1145454545454</v>
      </c>
      <c r="Y126" s="156">
        <f>E126/V126</f>
        <v>3911.1420833333336</v>
      </c>
      <c r="Z126" s="155">
        <f>V126*AB126</f>
        <v>35424</v>
      </c>
      <c r="AA126" s="423">
        <f>Z126/E126</f>
        <v>0.18869168756227533</v>
      </c>
      <c r="AB126" s="656">
        <v>738</v>
      </c>
    </row>
    <row r="127" spans="2:28">
      <c r="B127" s="2338"/>
      <c r="C127" s="424" t="s">
        <v>145</v>
      </c>
      <c r="D127" s="425"/>
      <c r="E127" s="469">
        <f>SUM(F127:G127)</f>
        <v>3630487.58</v>
      </c>
      <c r="F127" s="470">
        <f>SUM(F124:F126)</f>
        <v>1807094.58</v>
      </c>
      <c r="G127" s="471">
        <f>SUM(G124:G126)</f>
        <v>1823393</v>
      </c>
      <c r="H127" s="429">
        <f>SUM(H124:H126)</f>
        <v>2891998</v>
      </c>
      <c r="I127" s="430">
        <f>E127/H127</f>
        <v>1.2553561862767539</v>
      </c>
      <c r="J127" s="431">
        <f>SUM(J124:J126)</f>
        <v>141079</v>
      </c>
      <c r="K127" s="432">
        <f>J127/H127</f>
        <v>4.8782537194009122E-2</v>
      </c>
      <c r="L127" s="432">
        <f>M127/J127</f>
        <v>0.17931797078232764</v>
      </c>
      <c r="M127" s="431">
        <f>SUM(M124:M126)</f>
        <v>25298</v>
      </c>
      <c r="N127" s="431">
        <f>SUM(N124:N126)</f>
        <v>19684</v>
      </c>
      <c r="O127" s="1366">
        <f>N127/M127</f>
        <v>0.77808522412838954</v>
      </c>
      <c r="P127" s="475">
        <f>E127/M127</f>
        <v>143.5088773816112</v>
      </c>
      <c r="Q127" s="475">
        <f>E127/N127</f>
        <v>184.43850741719163</v>
      </c>
      <c r="R127" s="431">
        <f>N127*$T$124</f>
        <v>15924356</v>
      </c>
      <c r="S127" s="434">
        <f>R127/E127</f>
        <v>4.3862857671585811</v>
      </c>
      <c r="T127" s="476"/>
      <c r="U127" s="429">
        <f>SUM(U124:U126)</f>
        <v>1156</v>
      </c>
      <c r="V127" s="431">
        <f>SUM(V124:V126)</f>
        <v>892</v>
      </c>
      <c r="W127" s="432">
        <f>V127/U127</f>
        <v>0.77162629757785473</v>
      </c>
      <c r="X127" s="477">
        <f>E127/U127</f>
        <v>3140.5601903114189</v>
      </c>
      <c r="Y127" s="477">
        <f>E127/V127</f>
        <v>4070.0533408071751</v>
      </c>
      <c r="Z127" s="431">
        <f>V127*AB127</f>
        <v>721628</v>
      </c>
      <c r="AA127" s="436">
        <f>Z127/E127</f>
        <v>0.19876889373630635</v>
      </c>
      <c r="AB127" s="476">
        <f>T124</f>
        <v>809</v>
      </c>
    </row>
    <row r="128" spans="2:28">
      <c r="B128" s="2289"/>
      <c r="C128" s="437" t="s">
        <v>146</v>
      </c>
      <c r="D128" s="438"/>
      <c r="E128" s="472">
        <f>E127</f>
        <v>3630487.58</v>
      </c>
      <c r="F128" s="473">
        <f>F127</f>
        <v>1807094.58</v>
      </c>
      <c r="G128" s="474">
        <f>G127</f>
        <v>1823393</v>
      </c>
      <c r="H128" s="144">
        <v>2539728</v>
      </c>
      <c r="I128" s="442">
        <f>E128/H128</f>
        <v>1.4294788969527445</v>
      </c>
      <c r="J128" s="443">
        <v>101852</v>
      </c>
      <c r="K128" s="444">
        <f>J128/H128</f>
        <v>4.0103507147222064E-2</v>
      </c>
      <c r="L128" s="445">
        <f>M128/J128</f>
        <v>0.15761104347484586</v>
      </c>
      <c r="M128" s="141">
        <v>16053</v>
      </c>
      <c r="N128" s="141">
        <v>12467</v>
      </c>
      <c r="O128" s="1398">
        <f>N128/M128</f>
        <v>0.77661496293527688</v>
      </c>
      <c r="P128" s="478">
        <f>E128/M128</f>
        <v>226.1563309038809</v>
      </c>
      <c r="Q128" s="141">
        <f>E128/N128</f>
        <v>291.20779497874389</v>
      </c>
      <c r="R128" s="141">
        <f>N128*$T$124</f>
        <v>10085803</v>
      </c>
      <c r="S128" s="447">
        <f>R128/E128</f>
        <v>2.7780849755723445</v>
      </c>
      <c r="T128" s="479"/>
      <c r="U128" s="448">
        <v>1520</v>
      </c>
      <c r="V128" s="443">
        <v>1157</v>
      </c>
      <c r="W128" s="444">
        <f>V128/U128</f>
        <v>0.7611842105263158</v>
      </c>
      <c r="X128" s="480">
        <f>E128/U128</f>
        <v>2388.4786710526319</v>
      </c>
      <c r="Y128" s="480">
        <f>E128/V128</f>
        <v>3137.8457908383753</v>
      </c>
      <c r="Z128" s="141">
        <f>V128*AB128</f>
        <v>936013</v>
      </c>
      <c r="AA128" s="449">
        <f>Z128/E128</f>
        <v>0.2578201906422718</v>
      </c>
      <c r="AB128" s="479">
        <f>T124</f>
        <v>809</v>
      </c>
    </row>
    <row r="129" spans="2:28">
      <c r="B129" s="1016"/>
    </row>
    <row r="130" spans="2:28">
      <c r="B130" s="1016"/>
    </row>
    <row r="131" spans="2:28">
      <c r="B131" s="812"/>
    </row>
    <row r="133" spans="2:28">
      <c r="B133" s="248" t="s">
        <v>586</v>
      </c>
    </row>
    <row r="134" spans="2:28" ht="16.5" customHeight="1">
      <c r="B134" s="2371" t="s">
        <v>195</v>
      </c>
      <c r="C134" s="2372" t="s">
        <v>100</v>
      </c>
      <c r="D134" s="2374" t="s">
        <v>30</v>
      </c>
      <c r="E134" s="2376" t="s">
        <v>29</v>
      </c>
      <c r="F134" s="2377"/>
      <c r="G134" s="2378"/>
      <c r="H134" s="2346" t="s">
        <v>28</v>
      </c>
      <c r="I134" s="2346"/>
      <c r="J134" s="2346"/>
      <c r="K134" s="2346"/>
      <c r="L134" s="2346"/>
      <c r="M134" s="2346"/>
      <c r="N134" s="2346"/>
      <c r="O134" s="2346"/>
      <c r="P134" s="2346"/>
      <c r="Q134" s="2346"/>
      <c r="R134" s="2346"/>
      <c r="S134" s="2346"/>
      <c r="T134" s="2346"/>
      <c r="U134" s="2349" t="s">
        <v>27</v>
      </c>
      <c r="V134" s="2349"/>
      <c r="W134" s="2349"/>
      <c r="X134" s="2349"/>
      <c r="Y134" s="2349"/>
      <c r="Z134" s="2349"/>
      <c r="AA134" s="2349"/>
      <c r="AB134" s="2379"/>
    </row>
    <row r="135" spans="2:28" ht="49.5">
      <c r="B135" s="2371"/>
      <c r="C135" s="2373"/>
      <c r="D135" s="2375"/>
      <c r="E135" s="179" t="s">
        <v>26</v>
      </c>
      <c r="F135" s="178" t="s">
        <v>138</v>
      </c>
      <c r="G135" s="174" t="s">
        <v>24</v>
      </c>
      <c r="H135" s="406" t="s">
        <v>23</v>
      </c>
      <c r="I135" s="354" t="s">
        <v>22</v>
      </c>
      <c r="J135" s="351" t="s">
        <v>21</v>
      </c>
      <c r="K135" s="354" t="s">
        <v>20</v>
      </c>
      <c r="L135" s="354" t="s">
        <v>19</v>
      </c>
      <c r="M135" s="355" t="s">
        <v>18</v>
      </c>
      <c r="N135" s="354" t="s">
        <v>17</v>
      </c>
      <c r="O135" s="356" t="s">
        <v>16</v>
      </c>
      <c r="P135" s="357" t="s">
        <v>15</v>
      </c>
      <c r="Q135" s="354" t="s">
        <v>14</v>
      </c>
      <c r="R135" s="354" t="s">
        <v>13</v>
      </c>
      <c r="S135" s="354" t="s">
        <v>12</v>
      </c>
      <c r="T135" s="352" t="s">
        <v>11</v>
      </c>
      <c r="U135" s="407" t="s">
        <v>10</v>
      </c>
      <c r="V135" s="408" t="s">
        <v>9</v>
      </c>
      <c r="W135" s="409" t="s">
        <v>8</v>
      </c>
      <c r="X135" s="409" t="s">
        <v>7</v>
      </c>
      <c r="Y135" s="409" t="s">
        <v>6</v>
      </c>
      <c r="Z135" s="409" t="s">
        <v>5</v>
      </c>
      <c r="AA135" s="409" t="s">
        <v>4</v>
      </c>
      <c r="AB135" s="410" t="s">
        <v>3</v>
      </c>
    </row>
    <row r="136" spans="2:28">
      <c r="B136" s="2288" t="s">
        <v>627</v>
      </c>
      <c r="C136" s="169" t="s">
        <v>890</v>
      </c>
      <c r="D136" s="184" t="s">
        <v>172</v>
      </c>
      <c r="E136" s="464">
        <f>SUM(F136:G136)</f>
        <v>1304057.8900000001</v>
      </c>
      <c r="F136" s="465">
        <v>586769.89</v>
      </c>
      <c r="G136" s="182">
        <v>717288</v>
      </c>
      <c r="H136" s="414">
        <v>1145511</v>
      </c>
      <c r="I136" s="415">
        <f>E136/H136</f>
        <v>1.1384071300930327</v>
      </c>
      <c r="J136" s="416">
        <v>41334</v>
      </c>
      <c r="K136" s="417">
        <f>J136/H136</f>
        <v>3.6083459696153071E-2</v>
      </c>
      <c r="L136" s="418">
        <f>M136/J136</f>
        <v>0.17540039676779406</v>
      </c>
      <c r="M136" s="155">
        <v>7250</v>
      </c>
      <c r="N136" s="159">
        <v>5553</v>
      </c>
      <c r="O136" s="1362">
        <f>N136/M136</f>
        <v>0.76593103448275857</v>
      </c>
      <c r="P136" s="163">
        <f>E136/M136</f>
        <v>179.87005379310347</v>
      </c>
      <c r="Q136" s="159">
        <f>E136/N136</f>
        <v>234.83844588510718</v>
      </c>
      <c r="R136" s="155">
        <f>N136*$T$136</f>
        <v>4492377</v>
      </c>
      <c r="S136" s="421">
        <f>R136/E136</f>
        <v>3.4449214520683582</v>
      </c>
      <c r="T136" s="2369">
        <v>809</v>
      </c>
      <c r="U136" s="422">
        <v>207</v>
      </c>
      <c r="V136" s="416">
        <v>156</v>
      </c>
      <c r="W136" s="417">
        <f>V136/U136</f>
        <v>0.75362318840579712</v>
      </c>
      <c r="X136" s="157">
        <f>E136/U136</f>
        <v>6299.7965700483101</v>
      </c>
      <c r="Y136" s="156">
        <f>E136/V136</f>
        <v>8359.3454487179497</v>
      </c>
      <c r="Z136" s="155">
        <f>V136*AB136</f>
        <v>131040</v>
      </c>
      <c r="AA136" s="423">
        <f>Z136/E136</f>
        <v>0.10048633653832652</v>
      </c>
      <c r="AB136" s="656">
        <v>840</v>
      </c>
    </row>
    <row r="137" spans="2:28">
      <c r="B137" s="2338"/>
      <c r="C137" s="169" t="s">
        <v>891</v>
      </c>
      <c r="D137" s="184" t="s">
        <v>172</v>
      </c>
      <c r="E137" s="464">
        <f>SUM(F137:G137)</f>
        <v>1655118.2</v>
      </c>
      <c r="F137" s="465">
        <v>601978.19999999995</v>
      </c>
      <c r="G137" s="182">
        <v>1053140</v>
      </c>
      <c r="H137" s="414">
        <v>1297004</v>
      </c>
      <c r="I137" s="415">
        <f>E137/H137</f>
        <v>1.2761087860947229</v>
      </c>
      <c r="J137" s="416">
        <v>61658</v>
      </c>
      <c r="K137" s="417">
        <f>J137/H137</f>
        <v>4.7538789394635635E-2</v>
      </c>
      <c r="L137" s="418">
        <f>M137/J137</f>
        <v>0.1796198384637841</v>
      </c>
      <c r="M137" s="155">
        <v>11075</v>
      </c>
      <c r="N137" s="159">
        <v>8468</v>
      </c>
      <c r="O137" s="1362">
        <f>N137/M137</f>
        <v>0.76460496613995488</v>
      </c>
      <c r="P137" s="163">
        <f>E137/M137</f>
        <v>149.44633860045147</v>
      </c>
      <c r="Q137" s="159">
        <f>E137/N137</f>
        <v>195.45562116202171</v>
      </c>
      <c r="R137" s="155">
        <f>N137*$T$136</f>
        <v>6850612</v>
      </c>
      <c r="S137" s="421">
        <f>R137/E137</f>
        <v>4.1390469877015432</v>
      </c>
      <c r="T137" s="2370"/>
      <c r="U137" s="422">
        <v>579</v>
      </c>
      <c r="V137" s="416">
        <v>434</v>
      </c>
      <c r="W137" s="417">
        <f>V137/U137</f>
        <v>0.74956822107081178</v>
      </c>
      <c r="X137" s="157">
        <f>E137/U137</f>
        <v>2858.5806563039723</v>
      </c>
      <c r="Y137" s="156">
        <f>E137/V137</f>
        <v>3813.6364055299537</v>
      </c>
      <c r="Z137" s="155">
        <f>V137*AB137</f>
        <v>312480</v>
      </c>
      <c r="AA137" s="423">
        <f>Z137/E137</f>
        <v>0.18879618386167224</v>
      </c>
      <c r="AB137" s="656">
        <v>720</v>
      </c>
    </row>
    <row r="138" spans="2:28" s="348" customFormat="1">
      <c r="B138" s="2338"/>
      <c r="C138" s="169" t="s">
        <v>892</v>
      </c>
      <c r="D138" s="184" t="s">
        <v>172</v>
      </c>
      <c r="E138" s="464">
        <f>SUM(F138:G138)</f>
        <v>165663.95000000001</v>
      </c>
      <c r="F138" s="465">
        <v>112698.95</v>
      </c>
      <c r="G138" s="182">
        <v>52965</v>
      </c>
      <c r="H138" s="414">
        <v>27922</v>
      </c>
      <c r="I138" s="415">
        <f>E138/H138</f>
        <v>5.9330975574815561</v>
      </c>
      <c r="J138" s="416">
        <v>5513</v>
      </c>
      <c r="K138" s="417">
        <f>J138/H138</f>
        <v>0.19744287658477186</v>
      </c>
      <c r="L138" s="418">
        <f>M138/J138</f>
        <v>0.31924541991656086</v>
      </c>
      <c r="M138" s="155">
        <v>1760</v>
      </c>
      <c r="N138" s="159">
        <v>1408</v>
      </c>
      <c r="O138" s="1362">
        <f>N138/M138</f>
        <v>0.8</v>
      </c>
      <c r="P138" s="163">
        <f>E138/M138</f>
        <v>94.127244318181823</v>
      </c>
      <c r="Q138" s="159">
        <f>E138/N138</f>
        <v>117.65905539772729</v>
      </c>
      <c r="R138" s="155">
        <f>N138*$T$136</f>
        <v>1139072</v>
      </c>
      <c r="S138" s="421">
        <f>R138/E138</f>
        <v>6.8757988687339635</v>
      </c>
      <c r="T138" s="2370"/>
      <c r="U138" s="422">
        <v>59</v>
      </c>
      <c r="V138" s="416">
        <v>34</v>
      </c>
      <c r="W138" s="417">
        <f>V138/U138</f>
        <v>0.57627118644067798</v>
      </c>
      <c r="X138" s="157">
        <f>E138/U138</f>
        <v>2807.8635593220342</v>
      </c>
      <c r="Y138" s="156">
        <f>E138/V138</f>
        <v>4872.4691176470587</v>
      </c>
      <c r="Z138" s="155">
        <f>V138*AB138</f>
        <v>25092</v>
      </c>
      <c r="AA138" s="423">
        <f>Z138/E138</f>
        <v>0.15146324834099392</v>
      </c>
      <c r="AB138" s="656">
        <v>738</v>
      </c>
    </row>
    <row r="139" spans="2:28" s="349" customFormat="1">
      <c r="B139" s="2338"/>
      <c r="C139" s="424" t="s">
        <v>145</v>
      </c>
      <c r="D139" s="425"/>
      <c r="E139" s="469">
        <f>SUM(F139:G139)</f>
        <v>3124840.04</v>
      </c>
      <c r="F139" s="470">
        <f>SUM(F136:F138)</f>
        <v>1301447.0399999998</v>
      </c>
      <c r="G139" s="471">
        <f>SUM(G136:G138)</f>
        <v>1823393</v>
      </c>
      <c r="H139" s="429">
        <f>SUM(H136:H138)</f>
        <v>2470437</v>
      </c>
      <c r="I139" s="430">
        <f>E139/H139</f>
        <v>1.2648936362271128</v>
      </c>
      <c r="J139" s="431">
        <f>SUM(J136:J138)</f>
        <v>108505</v>
      </c>
      <c r="K139" s="432">
        <f>J139/H139</f>
        <v>4.3921379092039178E-2</v>
      </c>
      <c r="L139" s="432">
        <f>M139/J139</f>
        <v>0.18510667711165385</v>
      </c>
      <c r="M139" s="431">
        <f>SUM(M136:M138)</f>
        <v>20085</v>
      </c>
      <c r="N139" s="431">
        <f>SUM(N136:N138)</f>
        <v>15429</v>
      </c>
      <c r="O139" s="1366">
        <f>N139/M139</f>
        <v>0.76818521284540697</v>
      </c>
      <c r="P139" s="475">
        <f>E139/M139</f>
        <v>155.58078366940504</v>
      </c>
      <c r="Q139" s="475">
        <f>E139/N139</f>
        <v>202.5303026767775</v>
      </c>
      <c r="R139" s="431">
        <f>N139*$T$136</f>
        <v>12482061</v>
      </c>
      <c r="S139" s="434">
        <f>R139/E139</f>
        <v>3.9944639854269148</v>
      </c>
      <c r="T139" s="476"/>
      <c r="U139" s="429">
        <f>SUM(U136:U138)</f>
        <v>845</v>
      </c>
      <c r="V139" s="431">
        <f>SUM(V136:V138)</f>
        <v>624</v>
      </c>
      <c r="W139" s="432">
        <f>V139/U139</f>
        <v>0.7384615384615385</v>
      </c>
      <c r="X139" s="477">
        <f>E139/U139</f>
        <v>3698.0355502958582</v>
      </c>
      <c r="Y139" s="477">
        <f>E139/V139</f>
        <v>5007.7564743589746</v>
      </c>
      <c r="Z139" s="431">
        <f>V139*AB139</f>
        <v>504816</v>
      </c>
      <c r="AA139" s="436">
        <f>Z139/E139</f>
        <v>0.16154938926089799</v>
      </c>
      <c r="AB139" s="476">
        <f>T136</f>
        <v>809</v>
      </c>
    </row>
    <row r="140" spans="2:28" s="349" customFormat="1">
      <c r="B140" s="2289"/>
      <c r="C140" s="437" t="s">
        <v>146</v>
      </c>
      <c r="D140" s="438"/>
      <c r="E140" s="472">
        <f>E139</f>
        <v>3124840.04</v>
      </c>
      <c r="F140" s="473">
        <f>F139</f>
        <v>1301447.0399999998</v>
      </c>
      <c r="G140" s="474">
        <f>G139</f>
        <v>1823393</v>
      </c>
      <c r="H140" s="144">
        <v>2159208</v>
      </c>
      <c r="I140" s="442">
        <f>E140/H140</f>
        <v>1.4472158495151926</v>
      </c>
      <c r="J140" s="443">
        <v>78131</v>
      </c>
      <c r="K140" s="444">
        <f>J140/H140</f>
        <v>3.6185027102530187E-2</v>
      </c>
      <c r="L140" s="445">
        <f>M140/J140</f>
        <v>0.1635586386965481</v>
      </c>
      <c r="M140" s="141">
        <v>12779</v>
      </c>
      <c r="N140" s="141">
        <v>9793</v>
      </c>
      <c r="O140" s="1398">
        <f>N140/M140</f>
        <v>0.76633539400579076</v>
      </c>
      <c r="P140" s="478">
        <f>E140/M140</f>
        <v>244.52930902261522</v>
      </c>
      <c r="Q140" s="141">
        <f>E140/N140</f>
        <v>319.08914939242317</v>
      </c>
      <c r="R140" s="141">
        <f>N140*$T$136</f>
        <v>7922537</v>
      </c>
      <c r="S140" s="447">
        <f>R140/E140</f>
        <v>2.5353416170384198</v>
      </c>
      <c r="T140" s="479"/>
      <c r="U140" s="448">
        <v>1078</v>
      </c>
      <c r="V140" s="443">
        <v>811</v>
      </c>
      <c r="W140" s="444">
        <f>V140/U140</f>
        <v>0.75231910946196656</v>
      </c>
      <c r="X140" s="480">
        <f>E140/U140</f>
        <v>2898.7384415584415</v>
      </c>
      <c r="Y140" s="480">
        <f>E140/V140</f>
        <v>3853.0703329223184</v>
      </c>
      <c r="Z140" s="141">
        <f>V140*AB140</f>
        <v>656099</v>
      </c>
      <c r="AA140" s="449">
        <f>Z140/E140</f>
        <v>0.20996242738876322</v>
      </c>
      <c r="AB140" s="479">
        <f>T136</f>
        <v>809</v>
      </c>
    </row>
    <row r="141" spans="2:28" s="349" customFormat="1">
      <c r="B141" s="1121"/>
      <c r="C141" s="1884"/>
      <c r="D141" s="1884"/>
      <c r="E141" s="1885"/>
      <c r="F141" s="1886"/>
      <c r="G141" s="1886"/>
      <c r="H141" s="1887"/>
      <c r="I141" s="1888"/>
      <c r="J141" s="1889"/>
      <c r="K141" s="1890"/>
      <c r="L141" s="1891"/>
      <c r="M141" s="1887"/>
      <c r="N141" s="1887"/>
      <c r="O141" s="1892"/>
      <c r="P141" s="1893"/>
      <c r="Q141" s="1887"/>
      <c r="R141" s="1887"/>
      <c r="S141" s="1894"/>
      <c r="T141" s="1887"/>
      <c r="U141" s="1889"/>
      <c r="V141" s="1889"/>
      <c r="W141" s="1890"/>
      <c r="X141" s="1895"/>
      <c r="Y141" s="1895"/>
      <c r="Z141" s="1887"/>
      <c r="AA141" s="1896"/>
      <c r="AB141" s="1887"/>
    </row>
    <row r="142" spans="2:28" s="349" customFormat="1">
      <c r="B142" s="1016"/>
      <c r="C142" s="841"/>
      <c r="D142" s="841"/>
      <c r="E142" s="839"/>
      <c r="F142" s="839"/>
      <c r="G142" s="839"/>
      <c r="H142" s="839"/>
      <c r="I142" s="839"/>
      <c r="J142" s="839"/>
      <c r="K142" s="839"/>
      <c r="L142" s="839"/>
      <c r="M142" s="839"/>
      <c r="N142" s="839"/>
      <c r="O142" s="839"/>
      <c r="P142" s="839"/>
      <c r="Q142" s="839"/>
      <c r="R142" s="839"/>
      <c r="S142" s="839"/>
      <c r="T142" s="839"/>
      <c r="U142" s="839"/>
      <c r="V142" s="839"/>
      <c r="W142" s="839"/>
      <c r="X142" s="839"/>
      <c r="Y142" s="839"/>
      <c r="Z142" s="839"/>
      <c r="AA142" s="839"/>
      <c r="AB142" s="839"/>
    </row>
    <row r="143" spans="2:28" s="349" customFormat="1">
      <c r="C143" s="841"/>
      <c r="D143" s="841"/>
      <c r="E143" s="839"/>
      <c r="F143" s="839"/>
      <c r="G143" s="839"/>
      <c r="H143" s="839"/>
      <c r="I143" s="839"/>
      <c r="J143" s="839"/>
      <c r="K143" s="839"/>
      <c r="L143" s="839"/>
      <c r="M143" s="839"/>
      <c r="N143" s="839"/>
      <c r="O143" s="839"/>
      <c r="P143" s="839"/>
      <c r="Q143" s="839"/>
      <c r="R143" s="839"/>
      <c r="S143" s="839"/>
      <c r="T143" s="839"/>
      <c r="U143" s="839"/>
      <c r="V143" s="839"/>
      <c r="W143" s="839"/>
      <c r="X143" s="839"/>
      <c r="Y143" s="839"/>
      <c r="Z143" s="839"/>
      <c r="AA143" s="839"/>
      <c r="AB143" s="839"/>
    </row>
    <row r="144" spans="2:28" s="348" customFormat="1">
      <c r="B144" s="248" t="s">
        <v>175</v>
      </c>
      <c r="C144" s="841"/>
      <c r="D144" s="841"/>
      <c r="E144" s="839"/>
      <c r="F144" s="839"/>
      <c r="G144" s="839"/>
      <c r="H144" s="839"/>
      <c r="I144" s="839"/>
      <c r="J144" s="839"/>
      <c r="K144" s="839"/>
      <c r="L144" s="839"/>
      <c r="M144" s="839"/>
      <c r="N144" s="839"/>
      <c r="O144" s="839"/>
      <c r="P144" s="839"/>
      <c r="Q144" s="839"/>
      <c r="R144" s="839"/>
      <c r="S144" s="839"/>
      <c r="T144" s="839"/>
      <c r="U144" s="839"/>
      <c r="V144" s="839"/>
      <c r="W144" s="839"/>
      <c r="X144" s="839"/>
      <c r="Y144" s="839"/>
      <c r="Z144" s="839"/>
      <c r="AA144" s="839"/>
      <c r="AB144" s="839"/>
    </row>
    <row r="145" spans="2:28" ht="16.5" customHeight="1">
      <c r="B145" s="2371" t="s">
        <v>195</v>
      </c>
      <c r="C145" s="2372" t="s">
        <v>100</v>
      </c>
      <c r="D145" s="2374" t="s">
        <v>30</v>
      </c>
      <c r="E145" s="2376" t="s">
        <v>29</v>
      </c>
      <c r="F145" s="2377"/>
      <c r="G145" s="2378"/>
      <c r="H145" s="2346" t="s">
        <v>28</v>
      </c>
      <c r="I145" s="2346"/>
      <c r="J145" s="2346"/>
      <c r="K145" s="2346"/>
      <c r="L145" s="2346"/>
      <c r="M145" s="2346"/>
      <c r="N145" s="2346"/>
      <c r="O145" s="2346"/>
      <c r="P145" s="2346"/>
      <c r="Q145" s="2346"/>
      <c r="R145" s="2346"/>
      <c r="S145" s="2346"/>
      <c r="T145" s="2346"/>
      <c r="U145" s="2349" t="s">
        <v>27</v>
      </c>
      <c r="V145" s="2349"/>
      <c r="W145" s="2349"/>
      <c r="X145" s="2349"/>
      <c r="Y145" s="2349"/>
      <c r="Z145" s="2349"/>
      <c r="AA145" s="2349"/>
      <c r="AB145" s="2379"/>
    </row>
    <row r="146" spans="2:28" ht="49.5">
      <c r="B146" s="2371"/>
      <c r="C146" s="2373"/>
      <c r="D146" s="2375"/>
      <c r="E146" s="179" t="s">
        <v>26</v>
      </c>
      <c r="F146" s="178" t="s">
        <v>138</v>
      </c>
      <c r="G146" s="174" t="s">
        <v>24</v>
      </c>
      <c r="H146" s="406" t="s">
        <v>23</v>
      </c>
      <c r="I146" s="354" t="s">
        <v>22</v>
      </c>
      <c r="J146" s="351" t="s">
        <v>21</v>
      </c>
      <c r="K146" s="354" t="s">
        <v>20</v>
      </c>
      <c r="L146" s="354" t="s">
        <v>19</v>
      </c>
      <c r="M146" s="355" t="s">
        <v>18</v>
      </c>
      <c r="N146" s="354" t="s">
        <v>17</v>
      </c>
      <c r="O146" s="356" t="s">
        <v>16</v>
      </c>
      <c r="P146" s="357" t="s">
        <v>15</v>
      </c>
      <c r="Q146" s="354" t="s">
        <v>14</v>
      </c>
      <c r="R146" s="354" t="s">
        <v>13</v>
      </c>
      <c r="S146" s="354" t="s">
        <v>12</v>
      </c>
      <c r="T146" s="352" t="s">
        <v>11</v>
      </c>
      <c r="U146" s="407" t="s">
        <v>10</v>
      </c>
      <c r="V146" s="408" t="s">
        <v>9</v>
      </c>
      <c r="W146" s="409" t="s">
        <v>8</v>
      </c>
      <c r="X146" s="409" t="s">
        <v>7</v>
      </c>
      <c r="Y146" s="409" t="s">
        <v>6</v>
      </c>
      <c r="Z146" s="409" t="s">
        <v>5</v>
      </c>
      <c r="AA146" s="409" t="s">
        <v>4</v>
      </c>
      <c r="AB146" s="410" t="s">
        <v>3</v>
      </c>
    </row>
    <row r="147" spans="2:28">
      <c r="B147" s="2288" t="s">
        <v>628</v>
      </c>
      <c r="C147" s="169" t="s">
        <v>890</v>
      </c>
      <c r="D147" s="184" t="s">
        <v>172</v>
      </c>
      <c r="E147" s="464">
        <f>SUM(F147:G147)</f>
        <v>1203336.2</v>
      </c>
      <c r="F147" s="465">
        <v>486048.2</v>
      </c>
      <c r="G147" s="182">
        <v>717288</v>
      </c>
      <c r="H147" s="414">
        <v>968712</v>
      </c>
      <c r="I147" s="415">
        <f>E147/H147</f>
        <v>1.2422022231581729</v>
      </c>
      <c r="J147" s="416">
        <v>30461</v>
      </c>
      <c r="K147" s="417">
        <f>J147/H147</f>
        <v>3.1444846352682736E-2</v>
      </c>
      <c r="L147" s="418">
        <f>M147/J147</f>
        <v>0.1896523423393848</v>
      </c>
      <c r="M147" s="155">
        <v>5777</v>
      </c>
      <c r="N147" s="159">
        <v>4394</v>
      </c>
      <c r="O147" s="1362">
        <f>N147/M147</f>
        <v>0.76060238878310538</v>
      </c>
      <c r="P147" s="163">
        <f>E147/M147</f>
        <v>208.29776700709709</v>
      </c>
      <c r="Q147" s="159">
        <f>E147/N147</f>
        <v>273.85894401456528</v>
      </c>
      <c r="R147" s="155">
        <f>N147*$T$147</f>
        <v>3554746</v>
      </c>
      <c r="S147" s="421">
        <f>R147/E147</f>
        <v>2.9540755110666495</v>
      </c>
      <c r="T147" s="2369">
        <v>809</v>
      </c>
      <c r="U147" s="422">
        <v>189</v>
      </c>
      <c r="V147" s="416">
        <v>124</v>
      </c>
      <c r="W147" s="417">
        <f>V147/U147</f>
        <v>0.65608465608465605</v>
      </c>
      <c r="X147" s="157">
        <f>E147/U147</f>
        <v>6366.8582010582004</v>
      </c>
      <c r="Y147" s="156">
        <f>E147/V147</f>
        <v>9704.3241935483875</v>
      </c>
      <c r="Z147" s="155">
        <f>V147*AB147</f>
        <v>104160</v>
      </c>
      <c r="AA147" s="423">
        <f>Z147/E147</f>
        <v>8.655935057883242E-2</v>
      </c>
      <c r="AB147" s="656">
        <v>840</v>
      </c>
    </row>
    <row r="148" spans="2:28">
      <c r="B148" s="2338"/>
      <c r="C148" s="169" t="s">
        <v>891</v>
      </c>
      <c r="D148" s="184" t="s">
        <v>172</v>
      </c>
      <c r="E148" s="464">
        <f>SUM(F148:G148)</f>
        <v>1569925.51</v>
      </c>
      <c r="F148" s="465">
        <v>516785.51</v>
      </c>
      <c r="G148" s="182">
        <v>1053140</v>
      </c>
      <c r="H148" s="414">
        <v>1123924</v>
      </c>
      <c r="I148" s="415">
        <f>E148/H148</f>
        <v>1.3968253280470921</v>
      </c>
      <c r="J148" s="416">
        <v>53012</v>
      </c>
      <c r="K148" s="417">
        <f>J148/H148</f>
        <v>4.7166890287955412E-2</v>
      </c>
      <c r="L148" s="418">
        <f>M148/J148</f>
        <v>0.1868633516939561</v>
      </c>
      <c r="M148" s="155">
        <v>9906</v>
      </c>
      <c r="N148" s="159">
        <v>7515</v>
      </c>
      <c r="O148" s="1362">
        <f>N148/M148</f>
        <v>0.75863113264688065</v>
      </c>
      <c r="P148" s="163">
        <f>E148/M148</f>
        <v>158.48228447405612</v>
      </c>
      <c r="Q148" s="159">
        <f>E148/N148</f>
        <v>208.90559015302728</v>
      </c>
      <c r="R148" s="155">
        <f>N148*$T$147</f>
        <v>6079635</v>
      </c>
      <c r="S148" s="421">
        <f>R148/E148</f>
        <v>3.8725627179597839</v>
      </c>
      <c r="T148" s="2370"/>
      <c r="U148" s="422">
        <v>487</v>
      </c>
      <c r="V148" s="416">
        <v>351</v>
      </c>
      <c r="W148" s="417">
        <f>V148/U148</f>
        <v>0.72073921971252564</v>
      </c>
      <c r="X148" s="157">
        <f>E148/U148</f>
        <v>3223.6663449691991</v>
      </c>
      <c r="Y148" s="156">
        <f>E148/V148</f>
        <v>4472.7222507122506</v>
      </c>
      <c r="Z148" s="155">
        <f>V148*AB148</f>
        <v>252720</v>
      </c>
      <c r="AA148" s="423">
        <f>Z148/E148</f>
        <v>0.16097579050104102</v>
      </c>
      <c r="AB148" s="656">
        <v>720</v>
      </c>
    </row>
    <row r="149" spans="2:28">
      <c r="B149" s="2338"/>
      <c r="C149" s="169" t="s">
        <v>892</v>
      </c>
      <c r="D149" s="184" t="s">
        <v>172</v>
      </c>
      <c r="E149" s="464">
        <f>SUM(F149:G149)</f>
        <v>151123.75</v>
      </c>
      <c r="F149" s="465">
        <v>98158.75</v>
      </c>
      <c r="G149" s="182">
        <v>52965</v>
      </c>
      <c r="H149" s="414">
        <v>27305</v>
      </c>
      <c r="I149" s="415">
        <f>E149/H149</f>
        <v>5.5346548251236038</v>
      </c>
      <c r="J149" s="416">
        <v>5268</v>
      </c>
      <c r="K149" s="417">
        <f>J149/H149</f>
        <v>0.19293169749130196</v>
      </c>
      <c r="L149" s="418">
        <f>M149/J149</f>
        <v>0.30960516324981019</v>
      </c>
      <c r="M149" s="155">
        <v>1631</v>
      </c>
      <c r="N149" s="159">
        <v>1306</v>
      </c>
      <c r="O149" s="1362">
        <f>N149/M149</f>
        <v>0.80073574494175348</v>
      </c>
      <c r="P149" s="163">
        <f>E149/M149</f>
        <v>92.657112201103615</v>
      </c>
      <c r="Q149" s="159">
        <f>E149/N149</f>
        <v>115.71496937212864</v>
      </c>
      <c r="R149" s="155">
        <f>N149*$T$147</f>
        <v>1056554</v>
      </c>
      <c r="S149" s="421">
        <f>R149/E149</f>
        <v>6.9913167189141348</v>
      </c>
      <c r="T149" s="2370"/>
      <c r="U149" s="422">
        <v>58</v>
      </c>
      <c r="V149" s="416">
        <v>33</v>
      </c>
      <c r="W149" s="417">
        <f>V149/U149</f>
        <v>0.56896551724137934</v>
      </c>
      <c r="X149" s="157">
        <f>E149/U149</f>
        <v>2605.5818965517242</v>
      </c>
      <c r="Y149" s="156">
        <f>E149/V149</f>
        <v>4579.507575757576</v>
      </c>
      <c r="Z149" s="155">
        <f>V149*AB149</f>
        <v>24354</v>
      </c>
      <c r="AA149" s="423">
        <f>Z149/E149</f>
        <v>0.16115269770634993</v>
      </c>
      <c r="AB149" s="656">
        <v>738</v>
      </c>
    </row>
    <row r="150" spans="2:28" ht="28.5" customHeight="1">
      <c r="B150" s="2338"/>
      <c r="C150" s="424" t="s">
        <v>145</v>
      </c>
      <c r="D150" s="425"/>
      <c r="E150" s="469">
        <f>SUM(F150:G150)</f>
        <v>2924385.46</v>
      </c>
      <c r="F150" s="470">
        <f>SUM(F147:F149)</f>
        <v>1100992.46</v>
      </c>
      <c r="G150" s="471">
        <f>SUM(G147:G149)</f>
        <v>1823393</v>
      </c>
      <c r="H150" s="429">
        <f>SUM(H147:H149)</f>
        <v>2119941</v>
      </c>
      <c r="I150" s="430">
        <f>E150/H150</f>
        <v>1.3794654945585749</v>
      </c>
      <c r="J150" s="431">
        <f>SUM(J147:J149)</f>
        <v>88741</v>
      </c>
      <c r="K150" s="432">
        <f>J150/H150</f>
        <v>4.1860127239390151E-2</v>
      </c>
      <c r="L150" s="432">
        <f>M150/J150</f>
        <v>0.19510710945335302</v>
      </c>
      <c r="M150" s="431">
        <f>SUM(M147:M149)</f>
        <v>17314</v>
      </c>
      <c r="N150" s="431">
        <f>SUM(N147:N149)</f>
        <v>13215</v>
      </c>
      <c r="O150" s="1366">
        <f>N150/M150</f>
        <v>0.76325516922721492</v>
      </c>
      <c r="P150" s="475">
        <f>E150/M150</f>
        <v>168.90293750721958</v>
      </c>
      <c r="Q150" s="475">
        <f>E150/N150</f>
        <v>221.29288384411655</v>
      </c>
      <c r="R150" s="431">
        <f>N150*$T$147</f>
        <v>10690935</v>
      </c>
      <c r="S150" s="434">
        <f>R150/E150</f>
        <v>3.655788590878851</v>
      </c>
      <c r="T150" s="476"/>
      <c r="U150" s="429">
        <f>SUM(U147:U149)</f>
        <v>734</v>
      </c>
      <c r="V150" s="431">
        <f>SUM(V147:V149)</f>
        <v>508</v>
      </c>
      <c r="W150" s="432">
        <f>V150/U150</f>
        <v>0.69209809264305178</v>
      </c>
      <c r="X150" s="477">
        <f>E150/U150</f>
        <v>3984.1763760217982</v>
      </c>
      <c r="Y150" s="477">
        <f>E150/V150</f>
        <v>5756.6642913385822</v>
      </c>
      <c r="Z150" s="431">
        <f>V150*AB150</f>
        <v>410972</v>
      </c>
      <c r="AA150" s="436">
        <f>Z150/E150</f>
        <v>0.14053277367888431</v>
      </c>
      <c r="AB150" s="476">
        <f>T147</f>
        <v>809</v>
      </c>
    </row>
    <row r="151" spans="2:28">
      <c r="B151" s="2289"/>
      <c r="C151" s="437" t="s">
        <v>146</v>
      </c>
      <c r="D151" s="438"/>
      <c r="E151" s="472">
        <f>E150</f>
        <v>2924385.46</v>
      </c>
      <c r="F151" s="473">
        <f>F150</f>
        <v>1100992.46</v>
      </c>
      <c r="G151" s="474">
        <f>G150</f>
        <v>1823393</v>
      </c>
      <c r="H151" s="144">
        <v>1934049</v>
      </c>
      <c r="I151" s="442">
        <f>E151/H151</f>
        <v>1.5120534484907053</v>
      </c>
      <c r="J151" s="443">
        <v>66329</v>
      </c>
      <c r="K151" s="444">
        <f>J151/H151</f>
        <v>3.4295408234227776E-2</v>
      </c>
      <c r="L151" s="445">
        <f>M151/J151</f>
        <v>0.16983521536582791</v>
      </c>
      <c r="M151" s="141">
        <v>11265</v>
      </c>
      <c r="N151" s="141">
        <v>8569</v>
      </c>
      <c r="O151" s="1398">
        <f>N151/M151</f>
        <v>0.76067465601420325</v>
      </c>
      <c r="P151" s="478">
        <f>E151/M151</f>
        <v>259.59924189968928</v>
      </c>
      <c r="Q151" s="141">
        <f>E151/N151</f>
        <v>341.27499824950399</v>
      </c>
      <c r="R151" s="141">
        <f>N151*$T$147</f>
        <v>6932321</v>
      </c>
      <c r="S151" s="447">
        <f>R151/E151</f>
        <v>2.3705223182172435</v>
      </c>
      <c r="T151" s="479"/>
      <c r="U151" s="448">
        <v>869</v>
      </c>
      <c r="V151" s="443">
        <v>645</v>
      </c>
      <c r="W151" s="444">
        <f>V151/U151</f>
        <v>0.74223245109321057</v>
      </c>
      <c r="X151" s="480">
        <f>E151/U151</f>
        <v>3365.2306789413119</v>
      </c>
      <c r="Y151" s="480">
        <f>E151/V151</f>
        <v>4533.9309457364343</v>
      </c>
      <c r="Z151" s="141">
        <f>V151*AB151</f>
        <v>521805</v>
      </c>
      <c r="AA151" s="449">
        <f>Z151/E151</f>
        <v>0.17843236028126061</v>
      </c>
      <c r="AB151" s="479">
        <f>T147</f>
        <v>809</v>
      </c>
    </row>
    <row r="152" spans="2:28">
      <c r="B152" s="1016"/>
    </row>
    <row r="153" spans="2:28">
      <c r="B153" s="1016"/>
    </row>
    <row r="155" spans="2:28">
      <c r="B155" s="248" t="s">
        <v>176</v>
      </c>
    </row>
    <row r="156" spans="2:28" ht="16.5" customHeight="1">
      <c r="B156" s="2357" t="s">
        <v>195</v>
      </c>
      <c r="C156" s="2359" t="s">
        <v>100</v>
      </c>
      <c r="D156" s="2391" t="s">
        <v>30</v>
      </c>
      <c r="E156" s="2363" t="s">
        <v>29</v>
      </c>
      <c r="F156" s="2364"/>
      <c r="G156" s="2365"/>
      <c r="H156" s="2366" t="s">
        <v>28</v>
      </c>
      <c r="I156" s="2367"/>
      <c r="J156" s="2367"/>
      <c r="K156" s="2367"/>
      <c r="L156" s="2367"/>
      <c r="M156" s="2367"/>
      <c r="N156" s="2367"/>
      <c r="O156" s="2367"/>
      <c r="P156" s="2367"/>
      <c r="Q156" s="2367"/>
      <c r="R156" s="2367"/>
      <c r="S156" s="2367"/>
      <c r="T156" s="2368"/>
      <c r="U156" s="2366" t="s">
        <v>27</v>
      </c>
      <c r="V156" s="2367"/>
      <c r="W156" s="2367"/>
      <c r="X156" s="2367"/>
      <c r="Y156" s="2367"/>
      <c r="Z156" s="2367"/>
      <c r="AA156" s="2367"/>
      <c r="AB156" s="2368"/>
    </row>
    <row r="157" spans="2:28" ht="49.5">
      <c r="B157" s="2358"/>
      <c r="C157" s="2360"/>
      <c r="D157" s="2392"/>
      <c r="E157" s="1403" t="s">
        <v>26</v>
      </c>
      <c r="F157" s="1404" t="s">
        <v>138</v>
      </c>
      <c r="G157" s="1405" t="s">
        <v>24</v>
      </c>
      <c r="H157" s="1406" t="s">
        <v>23</v>
      </c>
      <c r="I157" s="1407" t="s">
        <v>22</v>
      </c>
      <c r="J157" s="1404" t="s">
        <v>21</v>
      </c>
      <c r="K157" s="1407" t="s">
        <v>20</v>
      </c>
      <c r="L157" s="1407" t="s">
        <v>19</v>
      </c>
      <c r="M157" s="1406" t="s">
        <v>18</v>
      </c>
      <c r="N157" s="1407" t="s">
        <v>17</v>
      </c>
      <c r="O157" s="1407" t="s">
        <v>16</v>
      </c>
      <c r="P157" s="1408" t="s">
        <v>15</v>
      </c>
      <c r="Q157" s="1407" t="s">
        <v>14</v>
      </c>
      <c r="R157" s="1407" t="s">
        <v>13</v>
      </c>
      <c r="S157" s="1407" t="s">
        <v>12</v>
      </c>
      <c r="T157" s="1409" t="s">
        <v>11</v>
      </c>
      <c r="U157" s="1410" t="s">
        <v>10</v>
      </c>
      <c r="V157" s="1408" t="s">
        <v>9</v>
      </c>
      <c r="W157" s="1411" t="s">
        <v>8</v>
      </c>
      <c r="X157" s="1411" t="s">
        <v>7</v>
      </c>
      <c r="Y157" s="1411" t="s">
        <v>6</v>
      </c>
      <c r="Z157" s="1411" t="s">
        <v>5</v>
      </c>
      <c r="AA157" s="1411" t="s">
        <v>4</v>
      </c>
      <c r="AB157" s="1412" t="s">
        <v>3</v>
      </c>
    </row>
    <row r="158" spans="2:28">
      <c r="B158" s="2354" t="s">
        <v>629</v>
      </c>
      <c r="C158" s="1413" t="s">
        <v>890</v>
      </c>
      <c r="D158" s="1897" t="s">
        <v>172</v>
      </c>
      <c r="E158" s="1414">
        <f>SUM(F158:G158)</f>
        <v>1108567.42</v>
      </c>
      <c r="F158" s="1415">
        <v>391279.42</v>
      </c>
      <c r="G158" s="1416">
        <v>717288</v>
      </c>
      <c r="H158" s="1417">
        <v>425178</v>
      </c>
      <c r="I158" s="1418">
        <f>E158/H158</f>
        <v>2.6073019300151934</v>
      </c>
      <c r="J158" s="1419">
        <v>11346</v>
      </c>
      <c r="K158" s="1898">
        <f>J158/H158</f>
        <v>2.6685294159152165E-2</v>
      </c>
      <c r="L158" s="1898">
        <f>M158/J158</f>
        <v>0.24290498854221751</v>
      </c>
      <c r="M158" s="1421">
        <v>2756</v>
      </c>
      <c r="N158" s="1419">
        <v>2174</v>
      </c>
      <c r="O158" s="1899">
        <f>N158/M158</f>
        <v>0.78882438316400583</v>
      </c>
      <c r="P158" s="1423">
        <f>E158/M158</f>
        <v>402.23781567489112</v>
      </c>
      <c r="Q158" s="1424">
        <f>E158/N158</f>
        <v>509.92061637534493</v>
      </c>
      <c r="R158" s="1421">
        <f>N158*$T$158</f>
        <v>1758766</v>
      </c>
      <c r="S158" s="1900">
        <f>R158/E158</f>
        <v>1.5865214584783667</v>
      </c>
      <c r="T158" s="2356">
        <v>809</v>
      </c>
      <c r="U158" s="1426">
        <f>735909-735784</f>
        <v>125</v>
      </c>
      <c r="V158" s="1427">
        <f>733399-733323</f>
        <v>76</v>
      </c>
      <c r="W158" s="1428">
        <f>V158/U158</f>
        <v>0.60799999999999998</v>
      </c>
      <c r="X158" s="1429">
        <f>E158/U158</f>
        <v>8868.5393599999989</v>
      </c>
      <c r="Y158" s="1430">
        <f>E158/V158</f>
        <v>14586.41342105263</v>
      </c>
      <c r="Z158" s="1431">
        <f>V158*AB158</f>
        <v>63840</v>
      </c>
      <c r="AA158" s="1432">
        <f>Z158/E158</f>
        <v>5.7587837102410971E-2</v>
      </c>
      <c r="AB158" s="973">
        <v>840</v>
      </c>
    </row>
    <row r="159" spans="2:28">
      <c r="B159" s="2354"/>
      <c r="C159" s="1413" t="s">
        <v>891</v>
      </c>
      <c r="D159" s="1897" t="s">
        <v>172</v>
      </c>
      <c r="E159" s="1414">
        <f>SUM(F159:G159)</f>
        <v>1547771.69</v>
      </c>
      <c r="F159" s="1415">
        <v>494631.69</v>
      </c>
      <c r="G159" s="1416">
        <v>1053140</v>
      </c>
      <c r="H159" s="1417">
        <v>467175</v>
      </c>
      <c r="I159" s="1418">
        <f>E159/H159</f>
        <v>3.3130447690908116</v>
      </c>
      <c r="J159" s="1419">
        <v>30297</v>
      </c>
      <c r="K159" s="1898">
        <f>J159/H159</f>
        <v>6.4851501043506177E-2</v>
      </c>
      <c r="L159" s="1898">
        <f>M159/J159</f>
        <v>0.20695118328547382</v>
      </c>
      <c r="M159" s="1421">
        <v>6270</v>
      </c>
      <c r="N159" s="1419">
        <v>4736</v>
      </c>
      <c r="O159" s="1899">
        <f>N159/M159</f>
        <v>0.75534290271132376</v>
      </c>
      <c r="P159" s="1423">
        <f>E159/M159</f>
        <v>246.85353907496011</v>
      </c>
      <c r="Q159" s="1424">
        <f>E159/N159</f>
        <v>326.80990076013512</v>
      </c>
      <c r="R159" s="1421">
        <f>N159*$T$158</f>
        <v>3831424</v>
      </c>
      <c r="S159" s="1900">
        <f>R159/E159</f>
        <v>2.4754451995436098</v>
      </c>
      <c r="T159" s="2356"/>
      <c r="U159" s="1433">
        <v>290</v>
      </c>
      <c r="V159" s="937">
        <v>224</v>
      </c>
      <c r="W159" s="1428">
        <f>V159/U159</f>
        <v>0.77241379310344827</v>
      </c>
      <c r="X159" s="1429">
        <f>E159/U159</f>
        <v>5337.1437586206894</v>
      </c>
      <c r="Y159" s="1430">
        <f>E159/V159</f>
        <v>6909.6950446428573</v>
      </c>
      <c r="Z159" s="1431">
        <f>V159*AB159</f>
        <v>161280</v>
      </c>
      <c r="AA159" s="1432">
        <f>Z159/E159</f>
        <v>0.10420141487405032</v>
      </c>
      <c r="AB159" s="973">
        <v>720</v>
      </c>
    </row>
    <row r="160" spans="2:28">
      <c r="B160" s="2354"/>
      <c r="C160" s="36" t="s">
        <v>892</v>
      </c>
      <c r="D160" s="1897" t="s">
        <v>172</v>
      </c>
      <c r="E160" s="1414">
        <f>SUM(F160:G160)</f>
        <v>134471.07</v>
      </c>
      <c r="F160" s="1434">
        <v>81506.070000000007</v>
      </c>
      <c r="G160" s="1416">
        <v>52965</v>
      </c>
      <c r="H160" s="1435">
        <v>17711</v>
      </c>
      <c r="I160" s="1436">
        <f>E160/H160</f>
        <v>7.5925170797809276</v>
      </c>
      <c r="J160" s="1427">
        <v>4130</v>
      </c>
      <c r="K160" s="1901">
        <f>J160/H160</f>
        <v>0.23318841398001242</v>
      </c>
      <c r="L160" s="1901">
        <f>M160/J160</f>
        <v>0.27457627118644068</v>
      </c>
      <c r="M160" s="1431">
        <v>1134</v>
      </c>
      <c r="N160" s="1427">
        <v>921</v>
      </c>
      <c r="O160" s="1902">
        <f>N160/M160</f>
        <v>0.81216931216931221</v>
      </c>
      <c r="P160" s="1438">
        <f>E160/M160</f>
        <v>118.58119047619049</v>
      </c>
      <c r="Q160" s="1439">
        <f>E160/N160</f>
        <v>146.0055048859935</v>
      </c>
      <c r="R160" s="1431">
        <f>N160*$T$158</f>
        <v>745089</v>
      </c>
      <c r="S160" s="1903">
        <f>R160/E160</f>
        <v>5.5408869729377477</v>
      </c>
      <c r="T160" s="2390"/>
      <c r="U160" s="1426">
        <v>15</v>
      </c>
      <c r="V160" s="1427" t="s">
        <v>630</v>
      </c>
      <c r="W160" s="1428" t="e">
        <f>V160/U160</f>
        <v>#VALUE!</v>
      </c>
      <c r="X160" s="1429">
        <f>E160/U160</f>
        <v>8964.7380000000012</v>
      </c>
      <c r="Y160" s="1430" t="e">
        <f>E160/V160</f>
        <v>#VALUE!</v>
      </c>
      <c r="Z160" s="1431" t="e">
        <f>V160*AB160</f>
        <v>#VALUE!</v>
      </c>
      <c r="AA160" s="1432" t="e">
        <f>Z160/E160</f>
        <v>#VALUE!</v>
      </c>
      <c r="AB160" s="973">
        <v>738</v>
      </c>
    </row>
    <row r="161" spans="2:28">
      <c r="B161" s="2355"/>
      <c r="C161" s="1441" t="s">
        <v>0</v>
      </c>
      <c r="D161" s="1441"/>
      <c r="E161" s="1442">
        <f>SUM(F161:G161)</f>
        <v>2790810.1799999997</v>
      </c>
      <c r="F161" s="1443">
        <f>SUM(F158:F160)</f>
        <v>967417.17999999993</v>
      </c>
      <c r="G161" s="1444">
        <f>SUM(G158:G160)</f>
        <v>1823393</v>
      </c>
      <c r="H161" s="1445">
        <f>SUM(H158:H160)</f>
        <v>910064</v>
      </c>
      <c r="I161" s="1446">
        <f>E161/H161</f>
        <v>3.0666087000474689</v>
      </c>
      <c r="J161" s="1447">
        <f>SUM(J158:J160)</f>
        <v>45773</v>
      </c>
      <c r="K161" s="1904">
        <f>J161/H161</f>
        <v>5.0296462666361924E-2</v>
      </c>
      <c r="L161" s="1904">
        <f>M161/J161</f>
        <v>0.22196491381382039</v>
      </c>
      <c r="M161" s="1447">
        <f>SUM(M158:M160)</f>
        <v>10160</v>
      </c>
      <c r="N161" s="1447">
        <f>SUM(N158:N160)</f>
        <v>7831</v>
      </c>
      <c r="O161" s="1904">
        <f>N161/M161</f>
        <v>0.77076771653543308</v>
      </c>
      <c r="P161" s="1449">
        <f>E161/M161</f>
        <v>274.68604133858264</v>
      </c>
      <c r="Q161" s="1449">
        <f>E161/N161</f>
        <v>356.3797956838207</v>
      </c>
      <c r="R161" s="1447">
        <f>N161*$T$158</f>
        <v>6335279</v>
      </c>
      <c r="S161" s="1905">
        <f>R161/E161</f>
        <v>2.2700501257308732</v>
      </c>
      <c r="T161" s="1447"/>
      <c r="U161" s="1445">
        <f>SUM(U158:U160)</f>
        <v>430</v>
      </c>
      <c r="V161" s="1447">
        <f>SUM(V158:V160)</f>
        <v>300</v>
      </c>
      <c r="W161" s="1448">
        <f>V161/U161</f>
        <v>0.69767441860465118</v>
      </c>
      <c r="X161" s="1451">
        <f>E161/U161</f>
        <v>6490.2562325581384</v>
      </c>
      <c r="Y161" s="1451">
        <f>E161/V161</f>
        <v>9302.7005999999983</v>
      </c>
      <c r="Z161" s="1447">
        <f>V161*AB161</f>
        <v>242700</v>
      </c>
      <c r="AA161" s="1452">
        <f>Z161/E161</f>
        <v>8.6963994090060268E-2</v>
      </c>
      <c r="AB161" s="1453">
        <f>T158</f>
        <v>809</v>
      </c>
    </row>
    <row r="165" spans="2:28">
      <c r="B165" s="248" t="s">
        <v>589</v>
      </c>
    </row>
    <row r="166" spans="2:28" ht="16.5" customHeight="1">
      <c r="B166" s="2357" t="s">
        <v>32</v>
      </c>
      <c r="C166" s="2359" t="s">
        <v>100</v>
      </c>
      <c r="D166" s="2361" t="s">
        <v>30</v>
      </c>
      <c r="E166" s="2363" t="s">
        <v>29</v>
      </c>
      <c r="F166" s="2364"/>
      <c r="G166" s="2365"/>
      <c r="H166" s="2366" t="s">
        <v>28</v>
      </c>
      <c r="I166" s="2367"/>
      <c r="J166" s="2367"/>
      <c r="K166" s="2367"/>
      <c r="L166" s="2367"/>
      <c r="M166" s="2367"/>
      <c r="N166" s="2367"/>
      <c r="O166" s="2367"/>
      <c r="P166" s="2367"/>
      <c r="Q166" s="2367"/>
      <c r="R166" s="2367"/>
      <c r="S166" s="2367"/>
      <c r="T166" s="2368"/>
      <c r="U166" s="2366" t="s">
        <v>27</v>
      </c>
      <c r="V166" s="2367"/>
      <c r="W166" s="2367"/>
      <c r="X166" s="2367"/>
      <c r="Y166" s="2367"/>
      <c r="Z166" s="2367"/>
      <c r="AA166" s="2367"/>
      <c r="AB166" s="2368"/>
    </row>
    <row r="167" spans="2:28" ht="49.5">
      <c r="B167" s="2358"/>
      <c r="C167" s="2360"/>
      <c r="D167" s="2362"/>
      <c r="E167" s="1403" t="s">
        <v>26</v>
      </c>
      <c r="F167" s="1404" t="s">
        <v>200</v>
      </c>
      <c r="G167" s="1405" t="s">
        <v>201</v>
      </c>
      <c r="H167" s="1406" t="s">
        <v>202</v>
      </c>
      <c r="I167" s="1407" t="s">
        <v>203</v>
      </c>
      <c r="J167" s="1404" t="s">
        <v>204</v>
      </c>
      <c r="K167" s="1407" t="s">
        <v>205</v>
      </c>
      <c r="L167" s="1407" t="s">
        <v>206</v>
      </c>
      <c r="M167" s="1406" t="s">
        <v>207</v>
      </c>
      <c r="N167" s="1407" t="s">
        <v>631</v>
      </c>
      <c r="O167" s="1407" t="s">
        <v>632</v>
      </c>
      <c r="P167" s="1408" t="s">
        <v>633</v>
      </c>
      <c r="Q167" s="1407" t="s">
        <v>634</v>
      </c>
      <c r="R167" s="1407" t="s">
        <v>635</v>
      </c>
      <c r="S167" s="1407" t="s">
        <v>636</v>
      </c>
      <c r="T167" s="1409" t="s">
        <v>11</v>
      </c>
      <c r="U167" s="1410" t="s">
        <v>10</v>
      </c>
      <c r="V167" s="1408" t="s">
        <v>9</v>
      </c>
      <c r="W167" s="1411" t="s">
        <v>8</v>
      </c>
      <c r="X167" s="1411" t="s">
        <v>7</v>
      </c>
      <c r="Y167" s="1411" t="s">
        <v>6</v>
      </c>
      <c r="Z167" s="1411" t="s">
        <v>5</v>
      </c>
      <c r="AA167" s="1411" t="s">
        <v>4</v>
      </c>
      <c r="AB167" s="1412" t="s">
        <v>3</v>
      </c>
    </row>
    <row r="168" spans="2:28">
      <c r="B168" s="2354" t="s">
        <v>589</v>
      </c>
      <c r="C168" s="1413" t="s">
        <v>890</v>
      </c>
      <c r="D168" s="36" t="s">
        <v>584</v>
      </c>
      <c r="E168" s="1414">
        <f>SUM(F168:G168)</f>
        <v>837152</v>
      </c>
      <c r="F168" s="1415">
        <v>119864</v>
      </c>
      <c r="G168" s="1416">
        <v>717288</v>
      </c>
      <c r="H168" s="1417">
        <v>386573</v>
      </c>
      <c r="I168" s="1418">
        <f>E168/H168</f>
        <v>2.1655728672204213</v>
      </c>
      <c r="J168" s="1419">
        <v>5958</v>
      </c>
      <c r="K168" s="1420">
        <f>J168/H168</f>
        <v>1.5412354199594901E-2</v>
      </c>
      <c r="L168" s="1420">
        <f>M168/J168</f>
        <v>0</v>
      </c>
      <c r="M168" s="1421"/>
      <c r="N168" s="1419"/>
      <c r="O168" s="1422" t="e">
        <f>N168/M168</f>
        <v>#DIV/0!</v>
      </c>
      <c r="P168" s="1423" t="e">
        <f>E168/M168</f>
        <v>#DIV/0!</v>
      </c>
      <c r="Q168" s="1424" t="e">
        <f>E168/N168</f>
        <v>#DIV/0!</v>
      </c>
      <c r="R168" s="1421">
        <f>N168*$T$118</f>
        <v>0</v>
      </c>
      <c r="S168" s="1425">
        <f>R168/E168</f>
        <v>0</v>
      </c>
      <c r="T168" s="2356"/>
      <c r="U168" s="1426"/>
      <c r="V168" s="1427"/>
      <c r="W168" s="1428" t="e">
        <f>V168/U168</f>
        <v>#DIV/0!</v>
      </c>
      <c r="X168" s="1429" t="e">
        <f>E168/U168</f>
        <v>#DIV/0!</v>
      </c>
      <c r="Y168" s="1430" t="e">
        <f>E168/V168</f>
        <v>#DIV/0!</v>
      </c>
      <c r="Z168" s="1431">
        <f>V168*AB168</f>
        <v>0</v>
      </c>
      <c r="AA168" s="1432">
        <f>Z168/E168</f>
        <v>0</v>
      </c>
      <c r="AB168" s="973"/>
    </row>
    <row r="169" spans="2:28">
      <c r="B169" s="2354"/>
      <c r="C169" s="1413" t="s">
        <v>891</v>
      </c>
      <c r="D169" s="36" t="s">
        <v>584</v>
      </c>
      <c r="E169" s="1414">
        <f>SUM(F169:G169)</f>
        <v>1152077.8500000001</v>
      </c>
      <c r="F169" s="1415">
        <v>98937.85</v>
      </c>
      <c r="G169" s="1416">
        <v>1053140</v>
      </c>
      <c r="H169" s="1417">
        <v>236946</v>
      </c>
      <c r="I169" s="1418">
        <f>E169/H169</f>
        <v>4.8621958167683781</v>
      </c>
      <c r="J169" s="1419">
        <v>10320</v>
      </c>
      <c r="K169" s="1420">
        <f>J169/H169</f>
        <v>4.3554227545516702E-2</v>
      </c>
      <c r="L169" s="1420">
        <f>M169/J169</f>
        <v>0</v>
      </c>
      <c r="M169" s="1421"/>
      <c r="N169" s="1419"/>
      <c r="O169" s="1422" t="e">
        <f>N169/M169</f>
        <v>#DIV/0!</v>
      </c>
      <c r="P169" s="1423" t="e">
        <f>E169/M169</f>
        <v>#DIV/0!</v>
      </c>
      <c r="Q169" s="1424" t="e">
        <f>E169/N169</f>
        <v>#DIV/0!</v>
      </c>
      <c r="R169" s="1421">
        <f>N169*$T$118</f>
        <v>0</v>
      </c>
      <c r="S169" s="1425">
        <f>R169/E169</f>
        <v>0</v>
      </c>
      <c r="T169" s="2356"/>
      <c r="U169" s="1433"/>
      <c r="V169" s="937"/>
      <c r="W169" s="1428" t="e">
        <f>V169/U169</f>
        <v>#DIV/0!</v>
      </c>
      <c r="X169" s="1429" t="e">
        <f>E169/U169</f>
        <v>#DIV/0!</v>
      </c>
      <c r="Y169" s="1430" t="e">
        <f>E169/V169</f>
        <v>#DIV/0!</v>
      </c>
      <c r="Z169" s="1431">
        <f>V169*AB169</f>
        <v>0</v>
      </c>
      <c r="AA169" s="1432">
        <f>Z169/E169</f>
        <v>0</v>
      </c>
      <c r="AB169" s="973"/>
    </row>
    <row r="170" spans="2:28">
      <c r="B170" s="2354"/>
      <c r="C170" s="36" t="s">
        <v>892</v>
      </c>
      <c r="D170" s="36" t="s">
        <v>584</v>
      </c>
      <c r="E170" s="1414">
        <f>SUM(F170:G170)</f>
        <v>54120.22</v>
      </c>
      <c r="F170" s="1434">
        <v>1155.22</v>
      </c>
      <c r="G170" s="1416">
        <v>52965</v>
      </c>
      <c r="H170" s="1435">
        <v>12781</v>
      </c>
      <c r="I170" s="1436">
        <f>E170/H170</f>
        <v>4.2344276660668179</v>
      </c>
      <c r="J170" s="1427">
        <v>1697</v>
      </c>
      <c r="K170" s="1428">
        <f>J170/H170</f>
        <v>0.13277521320710431</v>
      </c>
      <c r="L170" s="1428">
        <f>M170/J170</f>
        <v>0</v>
      </c>
      <c r="M170" s="1431"/>
      <c r="N170" s="1427"/>
      <c r="O170" s="1437" t="e">
        <f>N170/M170</f>
        <v>#DIV/0!</v>
      </c>
      <c r="P170" s="1438" t="e">
        <f>E170/M170</f>
        <v>#DIV/0!</v>
      </c>
      <c r="Q170" s="1439" t="e">
        <f>E170/N170</f>
        <v>#DIV/0!</v>
      </c>
      <c r="R170" s="1431">
        <f>N170*$T$118</f>
        <v>0</v>
      </c>
      <c r="S170" s="1440">
        <f>R170/E170</f>
        <v>0</v>
      </c>
      <c r="T170" s="2356"/>
      <c r="U170" s="1426"/>
      <c r="V170" s="1427"/>
      <c r="W170" s="1428" t="e">
        <f>V170/U170</f>
        <v>#DIV/0!</v>
      </c>
      <c r="X170" s="1429" t="e">
        <f>E170/U170</f>
        <v>#DIV/0!</v>
      </c>
      <c r="Y170" s="1430" t="e">
        <f>E170/V170</f>
        <v>#DIV/0!</v>
      </c>
      <c r="Z170" s="1431">
        <f>V170*AB170</f>
        <v>0</v>
      </c>
      <c r="AA170" s="1432">
        <f>Z170/E170</f>
        <v>0</v>
      </c>
      <c r="AB170" s="973"/>
    </row>
    <row r="171" spans="2:28">
      <c r="B171" s="2355"/>
      <c r="C171" s="1441" t="s">
        <v>0</v>
      </c>
      <c r="D171" s="1441"/>
      <c r="E171" s="1442">
        <f>SUM(F171:G171)</f>
        <v>2043350.07</v>
      </c>
      <c r="F171" s="1443">
        <f>SUM(F168:F170)</f>
        <v>219957.07</v>
      </c>
      <c r="G171" s="1444">
        <f>SUM(G168:G170)</f>
        <v>1823393</v>
      </c>
      <c r="H171" s="1445">
        <f>SUM(H168:H170)</f>
        <v>636300</v>
      </c>
      <c r="I171" s="1446">
        <f>E171/H171</f>
        <v>3.2112998114097127</v>
      </c>
      <c r="J171" s="1447">
        <f>SUM(J168:J170)</f>
        <v>17975</v>
      </c>
      <c r="K171" s="1448">
        <f>J171/H171</f>
        <v>2.8249253496778249E-2</v>
      </c>
      <c r="L171" s="1448">
        <f>M171/J171</f>
        <v>0</v>
      </c>
      <c r="M171" s="1447">
        <f>SUM(M168:M170)</f>
        <v>0</v>
      </c>
      <c r="N171" s="1447">
        <f>SUM(N168:N170)</f>
        <v>0</v>
      </c>
      <c r="O171" s="1448" t="e">
        <f>N171/M171</f>
        <v>#DIV/0!</v>
      </c>
      <c r="P171" s="1449" t="e">
        <f>E171/M171</f>
        <v>#DIV/0!</v>
      </c>
      <c r="Q171" s="1449" t="e">
        <f>E171/N171</f>
        <v>#DIV/0!</v>
      </c>
      <c r="R171" s="1447">
        <f>N171*$T$118</f>
        <v>0</v>
      </c>
      <c r="S171" s="1450">
        <f>R171/E171</f>
        <v>0</v>
      </c>
      <c r="T171" s="1447">
        <f>T168</f>
        <v>0</v>
      </c>
      <c r="U171" s="1445">
        <f>SUM(U168:U170)</f>
        <v>0</v>
      </c>
      <c r="V171" s="1447">
        <f>SUM(V168:V170)</f>
        <v>0</v>
      </c>
      <c r="W171" s="1448" t="e">
        <f>V171/U171</f>
        <v>#DIV/0!</v>
      </c>
      <c r="X171" s="1451" t="e">
        <f>E171/U171</f>
        <v>#DIV/0!</v>
      </c>
      <c r="Y171" s="1451" t="e">
        <f>E171/V171</f>
        <v>#DIV/0!</v>
      </c>
      <c r="Z171" s="1447">
        <f>V171*AB171</f>
        <v>0</v>
      </c>
      <c r="AA171" s="1452">
        <f>Z171/E171</f>
        <v>0</v>
      </c>
      <c r="AB171" s="1453">
        <f>T171</f>
        <v>0</v>
      </c>
    </row>
    <row r="174" spans="2:28">
      <c r="B174" s="840" t="s">
        <v>637</v>
      </c>
    </row>
    <row r="175" spans="2:28">
      <c r="B175" s="849" t="s">
        <v>638</v>
      </c>
    </row>
    <row r="176" spans="2:28">
      <c r="B176" s="849" t="s">
        <v>639</v>
      </c>
    </row>
    <row r="177" spans="2:10">
      <c r="B177" s="849" t="s">
        <v>640</v>
      </c>
    </row>
    <row r="178" spans="2:10">
      <c r="B178" s="849"/>
      <c r="D178" s="839"/>
      <c r="F178" s="1906"/>
    </row>
    <row r="180" spans="2:10">
      <c r="B180" s="847" t="s">
        <v>641</v>
      </c>
      <c r="G180" s="1906"/>
    </row>
    <row r="181" spans="2:10">
      <c r="B181" s="1907" t="s">
        <v>642</v>
      </c>
      <c r="J181" s="1906"/>
    </row>
    <row r="182" spans="2:10">
      <c r="B182" s="1016" t="s">
        <v>643</v>
      </c>
      <c r="J182" s="1908"/>
    </row>
    <row r="183" spans="2:10">
      <c r="B183" s="1016" t="s">
        <v>644</v>
      </c>
    </row>
    <row r="184" spans="2:10">
      <c r="B184" s="1016" t="s">
        <v>645</v>
      </c>
    </row>
  </sheetData>
  <mergeCells count="125">
    <mergeCell ref="T24:T26"/>
    <mergeCell ref="B34:B35"/>
    <mergeCell ref="C34:C35"/>
    <mergeCell ref="D34:D35"/>
    <mergeCell ref="E34:G34"/>
    <mergeCell ref="H34:T34"/>
    <mergeCell ref="H14:J14"/>
    <mergeCell ref="K14:W14"/>
    <mergeCell ref="X14:AE14"/>
    <mergeCell ref="B16:B17"/>
    <mergeCell ref="B22:B23"/>
    <mergeCell ref="C22:C23"/>
    <mergeCell ref="D22:D23"/>
    <mergeCell ref="E22:G22"/>
    <mergeCell ref="H22:T22"/>
    <mergeCell ref="U22:AB22"/>
    <mergeCell ref="B14:B15"/>
    <mergeCell ref="C14:C15"/>
    <mergeCell ref="D14:D15"/>
    <mergeCell ref="E14:E15"/>
    <mergeCell ref="F14:F15"/>
    <mergeCell ref="G14:G15"/>
    <mergeCell ref="T48:T50"/>
    <mergeCell ref="B58:B59"/>
    <mergeCell ref="C58:C59"/>
    <mergeCell ref="D58:D59"/>
    <mergeCell ref="E58:G58"/>
    <mergeCell ref="H58:T58"/>
    <mergeCell ref="U34:AB34"/>
    <mergeCell ref="T36:T38"/>
    <mergeCell ref="B46:B47"/>
    <mergeCell ref="C46:C47"/>
    <mergeCell ref="D46:D47"/>
    <mergeCell ref="E46:G46"/>
    <mergeCell ref="H46:T46"/>
    <mergeCell ref="U46:AB46"/>
    <mergeCell ref="B72:B75"/>
    <mergeCell ref="D72:D73"/>
    <mergeCell ref="T72:T73"/>
    <mergeCell ref="B82:B83"/>
    <mergeCell ref="C82:C83"/>
    <mergeCell ref="D82:D83"/>
    <mergeCell ref="E82:G82"/>
    <mergeCell ref="H82:T82"/>
    <mergeCell ref="U58:AB58"/>
    <mergeCell ref="B60:B63"/>
    <mergeCell ref="D60:D61"/>
    <mergeCell ref="T60:T61"/>
    <mergeCell ref="B70:B71"/>
    <mergeCell ref="C70:C71"/>
    <mergeCell ref="D70:D71"/>
    <mergeCell ref="E70:G70"/>
    <mergeCell ref="H70:T70"/>
    <mergeCell ref="U70:AB70"/>
    <mergeCell ref="B94:B97"/>
    <mergeCell ref="D94:D95"/>
    <mergeCell ref="T94:T95"/>
    <mergeCell ref="B102:B103"/>
    <mergeCell ref="C102:C103"/>
    <mergeCell ref="D102:D103"/>
    <mergeCell ref="E102:G102"/>
    <mergeCell ref="H102:T102"/>
    <mergeCell ref="U82:AB82"/>
    <mergeCell ref="B84:B87"/>
    <mergeCell ref="D84:D85"/>
    <mergeCell ref="T84:T85"/>
    <mergeCell ref="B92:B93"/>
    <mergeCell ref="C92:C93"/>
    <mergeCell ref="D92:D93"/>
    <mergeCell ref="E92:G92"/>
    <mergeCell ref="H92:T92"/>
    <mergeCell ref="U92:AB92"/>
    <mergeCell ref="B114:B117"/>
    <mergeCell ref="D114:D115"/>
    <mergeCell ref="T114:T115"/>
    <mergeCell ref="B122:B123"/>
    <mergeCell ref="C122:C123"/>
    <mergeCell ref="D122:D123"/>
    <mergeCell ref="E122:G122"/>
    <mergeCell ref="H122:T122"/>
    <mergeCell ref="U102:AB102"/>
    <mergeCell ref="B104:B107"/>
    <mergeCell ref="D104:D105"/>
    <mergeCell ref="T104:T105"/>
    <mergeCell ref="B112:B113"/>
    <mergeCell ref="C112:C113"/>
    <mergeCell ref="D112:D113"/>
    <mergeCell ref="E112:G112"/>
    <mergeCell ref="H112:T112"/>
    <mergeCell ref="U112:AB112"/>
    <mergeCell ref="B136:B140"/>
    <mergeCell ref="T136:T138"/>
    <mergeCell ref="B145:B146"/>
    <mergeCell ref="C145:C146"/>
    <mergeCell ref="D145:D146"/>
    <mergeCell ref="E145:G145"/>
    <mergeCell ref="H145:T145"/>
    <mergeCell ref="U122:AB122"/>
    <mergeCell ref="B124:B128"/>
    <mergeCell ref="T124:T126"/>
    <mergeCell ref="B134:B135"/>
    <mergeCell ref="C134:C135"/>
    <mergeCell ref="D134:D135"/>
    <mergeCell ref="E134:G134"/>
    <mergeCell ref="H134:T134"/>
    <mergeCell ref="U134:AB134"/>
    <mergeCell ref="U145:AB145"/>
    <mergeCell ref="B147:B151"/>
    <mergeCell ref="T147:T149"/>
    <mergeCell ref="B156:B157"/>
    <mergeCell ref="C156:C157"/>
    <mergeCell ref="D156:D157"/>
    <mergeCell ref="E156:G156"/>
    <mergeCell ref="H156:T156"/>
    <mergeCell ref="U156:AB156"/>
    <mergeCell ref="U166:AB166"/>
    <mergeCell ref="B168:B171"/>
    <mergeCell ref="T168:T170"/>
    <mergeCell ref="B158:B161"/>
    <mergeCell ref="T158:T160"/>
    <mergeCell ref="B166:B167"/>
    <mergeCell ref="C166:C167"/>
    <mergeCell ref="D166:D167"/>
    <mergeCell ref="E166:G166"/>
    <mergeCell ref="H166:T166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DFB2-5226-1F49-AFB6-852AE51ED49B}">
  <dimension ref="A2:AE83"/>
  <sheetViews>
    <sheetView showGridLines="0" workbookViewId="0">
      <selection activeCell="F17" sqref="F17"/>
    </sheetView>
  </sheetViews>
  <sheetFormatPr defaultColWidth="8.08203125" defaultRowHeight="16.5"/>
  <cols>
    <col min="1" max="1" width="4" style="1849" customWidth="1"/>
    <col min="2" max="2" width="25.4140625" style="1849" customWidth="1"/>
    <col min="3" max="3" width="30.6640625" style="1849" customWidth="1"/>
    <col min="4" max="4" width="18.6640625" style="1849" customWidth="1"/>
    <col min="5" max="5" width="15.6640625" style="1849" customWidth="1"/>
    <col min="6" max="6" width="20.4140625" style="1849" customWidth="1"/>
    <col min="7" max="7" width="24.33203125" style="1849" customWidth="1"/>
    <col min="8" max="20" width="16.33203125" style="1849" customWidth="1"/>
    <col min="21" max="21" width="11" style="1849" customWidth="1"/>
    <col min="22" max="23" width="9.33203125" style="1849" bestFit="1" customWidth="1"/>
    <col min="24" max="24" width="14.08203125" style="1849" customWidth="1"/>
    <col min="25" max="25" width="12.33203125" style="1849" bestFit="1" customWidth="1"/>
    <col min="26" max="26" width="13" style="1849" bestFit="1" customWidth="1"/>
    <col min="27" max="27" width="10.08203125" style="1849" bestFit="1" customWidth="1"/>
    <col min="28" max="28" width="11.33203125" style="1849" customWidth="1"/>
    <col min="29" max="29" width="13.75" style="1849" customWidth="1"/>
    <col min="30" max="30" width="14" style="1849" customWidth="1"/>
    <col min="31" max="31" width="14.6640625" style="1849" customWidth="1"/>
    <col min="32" max="16384" width="8.08203125" style="1849"/>
  </cols>
  <sheetData>
    <row r="2" spans="1:31">
      <c r="B2" s="840" t="s">
        <v>236</v>
      </c>
    </row>
    <row r="3" spans="1:31">
      <c r="B3" s="840" t="s">
        <v>182</v>
      </c>
    </row>
    <row r="4" spans="1:31">
      <c r="B4" s="849" t="s">
        <v>237</v>
      </c>
    </row>
    <row r="5" spans="1:31">
      <c r="B5" s="849" t="s">
        <v>183</v>
      </c>
    </row>
    <row r="7" spans="1:31" s="1867" customFormat="1" ht="22.5">
      <c r="B7" s="1763" t="s">
        <v>709</v>
      </c>
      <c r="C7" s="1764"/>
      <c r="D7" s="1764"/>
      <c r="E7" s="1765"/>
      <c r="F7" s="1765"/>
      <c r="G7" s="1765"/>
      <c r="H7" s="1765"/>
      <c r="I7" s="1765"/>
      <c r="J7" s="1765"/>
      <c r="K7" s="1765"/>
      <c r="L7" s="1765"/>
      <c r="M7" s="1765"/>
      <c r="N7" s="1765"/>
      <c r="O7" s="1765"/>
      <c r="P7" s="1765"/>
      <c r="Q7" s="1765"/>
      <c r="R7" s="1765"/>
      <c r="S7" s="1765"/>
      <c r="T7" s="1765"/>
      <c r="U7" s="1765"/>
      <c r="V7" s="1765"/>
      <c r="W7" s="1765"/>
      <c r="X7" s="1765"/>
      <c r="Y7" s="1765"/>
      <c r="Z7" s="1765"/>
      <c r="AA7" s="1765"/>
      <c r="AB7" s="1765"/>
      <c r="AC7" s="1750"/>
      <c r="AD7" s="1750"/>
      <c r="AE7" s="1750"/>
    </row>
    <row r="8" spans="1:31" s="1869" customFormat="1">
      <c r="B8" s="1767" t="s">
        <v>95</v>
      </c>
      <c r="C8" s="1768" t="s">
        <v>531</v>
      </c>
      <c r="D8" s="1769"/>
      <c r="E8" s="1767"/>
      <c r="F8" s="1767"/>
      <c r="G8" s="1767"/>
      <c r="H8" s="1767"/>
      <c r="I8" s="1767"/>
      <c r="J8" s="1767"/>
      <c r="K8" s="1767"/>
      <c r="L8" s="1767"/>
      <c r="M8" s="1767"/>
      <c r="N8" s="1767"/>
      <c r="O8" s="1767"/>
      <c r="P8" s="1767"/>
      <c r="Q8" s="1767"/>
      <c r="R8" s="1767"/>
      <c r="S8" s="1767"/>
      <c r="T8" s="1767"/>
      <c r="U8" s="1767"/>
      <c r="V8" s="1767"/>
      <c r="W8" s="1767"/>
      <c r="X8" s="1767"/>
      <c r="Y8" s="1767"/>
      <c r="Z8" s="1767"/>
      <c r="AA8" s="1767"/>
      <c r="AB8" s="1767"/>
      <c r="AC8"/>
      <c r="AD8"/>
      <c r="AE8"/>
    </row>
    <row r="9" spans="1:31" s="1869" customFormat="1">
      <c r="B9" s="1767" t="s">
        <v>96</v>
      </c>
      <c r="C9" s="1350" t="s">
        <v>710</v>
      </c>
      <c r="D9" s="1769"/>
      <c r="E9" s="1767"/>
      <c r="F9" s="1767"/>
      <c r="G9" s="1767"/>
      <c r="H9" s="1767"/>
      <c r="I9" s="1767"/>
      <c r="J9" s="1767"/>
      <c r="K9" s="1767"/>
      <c r="L9" s="1767"/>
      <c r="M9" s="1767"/>
      <c r="N9" s="1767"/>
      <c r="O9" s="1767"/>
      <c r="P9" s="1767"/>
      <c r="Q9" s="1767"/>
      <c r="R9" s="1767"/>
      <c r="S9" s="1767"/>
      <c r="T9" s="1767"/>
      <c r="U9" s="1767"/>
      <c r="V9" s="1767"/>
      <c r="W9" s="1767"/>
      <c r="X9" s="1767"/>
      <c r="Y9" s="1767"/>
      <c r="Z9" s="1767"/>
      <c r="AA9" s="1767"/>
      <c r="AB9" s="1767"/>
      <c r="AC9"/>
      <c r="AD9"/>
      <c r="AE9"/>
    </row>
    <row r="10" spans="1:31" s="839" customFormat="1">
      <c r="B10" s="336" t="s">
        <v>561</v>
      </c>
      <c r="C10" s="706" t="s">
        <v>412</v>
      </c>
      <c r="D10" s="70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  <c r="AC10"/>
      <c r="AD10"/>
      <c r="AE10"/>
    </row>
    <row r="11" spans="1:31" customFormat="1">
      <c r="A11" s="1766"/>
      <c r="B11" s="336"/>
      <c r="C11" s="706"/>
      <c r="D11" s="70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  <c r="AA11" s="336"/>
      <c r="AB11" s="336"/>
    </row>
    <row r="12" spans="1:31" customFormat="1">
      <c r="A12" s="1766"/>
      <c r="B12" s="66" t="s">
        <v>603</v>
      </c>
    </row>
    <row r="13" spans="1:31" customFormat="1">
      <c r="A13" s="1766"/>
      <c r="B13" s="2297" t="s">
        <v>32</v>
      </c>
      <c r="C13" s="2299" t="s">
        <v>31</v>
      </c>
      <c r="D13" s="2299" t="s">
        <v>437</v>
      </c>
      <c r="E13" s="2299" t="s">
        <v>439</v>
      </c>
      <c r="F13" s="2299" t="s">
        <v>441</v>
      </c>
      <c r="G13" s="2299" t="s">
        <v>30</v>
      </c>
      <c r="H13" s="2302" t="s">
        <v>29</v>
      </c>
      <c r="I13" s="2303"/>
      <c r="J13" s="2304"/>
      <c r="K13" s="2305" t="s">
        <v>28</v>
      </c>
      <c r="L13" s="2303"/>
      <c r="M13" s="2303"/>
      <c r="N13" s="2303"/>
      <c r="O13" s="2303"/>
      <c r="P13" s="2303"/>
      <c r="Q13" s="2303"/>
      <c r="R13" s="2303"/>
      <c r="S13" s="2303"/>
      <c r="T13" s="2303"/>
      <c r="U13" s="2303"/>
      <c r="V13" s="2303"/>
      <c r="W13" s="2304"/>
      <c r="X13" s="2305" t="s">
        <v>27</v>
      </c>
      <c r="Y13" s="2303"/>
      <c r="Z13" s="2303"/>
      <c r="AA13" s="2303"/>
      <c r="AB13" s="2303"/>
      <c r="AC13" s="2303"/>
      <c r="AD13" s="2303"/>
      <c r="AE13" s="2304"/>
    </row>
    <row r="14" spans="1:31" customFormat="1" ht="82.5">
      <c r="A14" s="1766"/>
      <c r="B14" s="2298"/>
      <c r="C14" s="2300"/>
      <c r="D14" s="2301"/>
      <c r="E14" s="2301"/>
      <c r="F14" s="2301"/>
      <c r="G14" s="2301"/>
      <c r="H14" s="179" t="s">
        <v>26</v>
      </c>
      <c r="I14" s="178" t="s">
        <v>25</v>
      </c>
      <c r="J14" s="174" t="s">
        <v>24</v>
      </c>
      <c r="K14" s="177" t="s">
        <v>23</v>
      </c>
      <c r="L14" s="175" t="s">
        <v>44</v>
      </c>
      <c r="M14" s="178" t="s">
        <v>21</v>
      </c>
      <c r="N14" s="175" t="s">
        <v>20</v>
      </c>
      <c r="O14" s="175" t="s">
        <v>19</v>
      </c>
      <c r="P14" s="177" t="s">
        <v>18</v>
      </c>
      <c r="Q14" s="175" t="s">
        <v>17</v>
      </c>
      <c r="R14" s="58" t="s">
        <v>16</v>
      </c>
      <c r="S14" s="172" t="s">
        <v>15</v>
      </c>
      <c r="T14" s="175" t="s">
        <v>14</v>
      </c>
      <c r="U14" s="58" t="s">
        <v>13</v>
      </c>
      <c r="V14" s="175" t="s">
        <v>12</v>
      </c>
      <c r="W14" s="1457" t="s">
        <v>11</v>
      </c>
      <c r="X14" s="173" t="s">
        <v>10</v>
      </c>
      <c r="Y14" s="172" t="s">
        <v>9</v>
      </c>
      <c r="Z14" s="171" t="s">
        <v>8</v>
      </c>
      <c r="AA14" s="171" t="s">
        <v>7</v>
      </c>
      <c r="AB14" s="171" t="s">
        <v>6</v>
      </c>
      <c r="AC14" s="171" t="s">
        <v>5</v>
      </c>
      <c r="AD14" s="171" t="s">
        <v>4</v>
      </c>
      <c r="AE14" s="170" t="s">
        <v>3</v>
      </c>
    </row>
    <row r="15" spans="1:31" customFormat="1">
      <c r="A15" s="1766"/>
      <c r="B15" s="2288" t="s">
        <v>711</v>
      </c>
      <c r="C15" s="169" t="s">
        <v>893</v>
      </c>
      <c r="D15" s="169" t="s">
        <v>542</v>
      </c>
      <c r="E15" s="169" t="s">
        <v>712</v>
      </c>
      <c r="F15" s="169" t="s">
        <v>604</v>
      </c>
      <c r="G15" s="169" t="s">
        <v>713</v>
      </c>
      <c r="H15" s="221">
        <f>J15+I15</f>
        <v>671167.75305193407</v>
      </c>
      <c r="I15" s="195">
        <v>257010.75305193401</v>
      </c>
      <c r="J15" s="194">
        <v>414157</v>
      </c>
      <c r="K15" s="1351">
        <v>1040294</v>
      </c>
      <c r="L15" s="1352">
        <f>H15/K15</f>
        <v>0.6451712237616809</v>
      </c>
      <c r="M15" s="186">
        <v>10506</v>
      </c>
      <c r="N15" s="1353">
        <f>M15/K15</f>
        <v>1.0099068148042765E-2</v>
      </c>
      <c r="O15" s="1354">
        <f>P15/M15</f>
        <v>0.11450599657338664</v>
      </c>
      <c r="P15" s="188">
        <v>1203</v>
      </c>
      <c r="Q15" s="186">
        <v>1081</v>
      </c>
      <c r="R15" s="101">
        <f>Q15/P15</f>
        <v>0.8985868661679135</v>
      </c>
      <c r="S15" s="198">
        <f>H15/P15</f>
        <v>557.91168167243063</v>
      </c>
      <c r="T15" s="1455">
        <f>H15/Q15</f>
        <v>620.87673732833866</v>
      </c>
      <c r="U15" s="198">
        <f>Q15*$W15</f>
        <v>617251</v>
      </c>
      <c r="V15" s="1456">
        <f>IFERROR(U15/H15,"-")</f>
        <v>0.91966724741055605</v>
      </c>
      <c r="W15" s="1458">
        <v>571</v>
      </c>
      <c r="X15" s="187">
        <v>434</v>
      </c>
      <c r="Y15" s="186">
        <v>423</v>
      </c>
      <c r="Z15" s="45">
        <f>Y15/X15</f>
        <v>0.97465437788018439</v>
      </c>
      <c r="AA15" s="44">
        <f>H15/X15</f>
        <v>1546.4694770781891</v>
      </c>
      <c r="AB15" s="99">
        <f>H15/Y15</f>
        <v>1586.6849953946432</v>
      </c>
      <c r="AC15" s="42">
        <f>Y15*AE15</f>
        <v>433575</v>
      </c>
      <c r="AD15" s="41">
        <f>IFERROR(AC15/H15,"-")</f>
        <v>0.64600094093979887</v>
      </c>
      <c r="AE15" s="40">
        <v>1025</v>
      </c>
    </row>
    <row r="16" spans="1:31" customFormat="1">
      <c r="A16" s="1766"/>
      <c r="B16" s="2289"/>
      <c r="C16" s="153" t="s">
        <v>0</v>
      </c>
      <c r="D16" s="153"/>
      <c r="E16" s="153"/>
      <c r="F16" s="153"/>
      <c r="G16" s="153"/>
      <c r="H16" s="82">
        <f>SUM(H15)</f>
        <v>671167.75305193407</v>
      </c>
      <c r="I16" s="81">
        <f>SUM(I15)</f>
        <v>257010.75305193401</v>
      </c>
      <c r="J16" s="80">
        <f>SUM(J15)</f>
        <v>414157</v>
      </c>
      <c r="K16" s="76">
        <f>SUM(K15:K15)</f>
        <v>1040294</v>
      </c>
      <c r="L16" s="79">
        <f>H16/K16</f>
        <v>0.6451712237616809</v>
      </c>
      <c r="M16" s="76">
        <f>SUM(M15)</f>
        <v>10506</v>
      </c>
      <c r="N16" s="78">
        <f>M16/K16</f>
        <v>1.0099068148042765E-2</v>
      </c>
      <c r="O16" s="78">
        <f>P16/M16</f>
        <v>0.11450599657338664</v>
      </c>
      <c r="P16" s="76">
        <f>SUM(P15)</f>
        <v>1203</v>
      </c>
      <c r="Q16" s="76">
        <f>SUM(Q15)</f>
        <v>1081</v>
      </c>
      <c r="R16" s="78">
        <f>Q16/P16</f>
        <v>0.8985868661679135</v>
      </c>
      <c r="S16" s="77">
        <f>H16/P16</f>
        <v>557.91168167243063</v>
      </c>
      <c r="T16" s="77">
        <f>H16/Q16</f>
        <v>620.87673732833866</v>
      </c>
      <c r="U16" s="76">
        <f>Q16*$W15</f>
        <v>617251</v>
      </c>
      <c r="V16" s="118">
        <f>U16/H16</f>
        <v>0.91966724741055605</v>
      </c>
      <c r="W16" s="74"/>
      <c r="X16" s="73">
        <f>SUM(X15)</f>
        <v>434</v>
      </c>
      <c r="Y16" s="70">
        <f>SUM(Y15)</f>
        <v>423</v>
      </c>
      <c r="Z16" s="72">
        <f>Y16/X16</f>
        <v>0.97465437788018439</v>
      </c>
      <c r="AA16" s="71">
        <f>H16/X16</f>
        <v>1546.4694770781891</v>
      </c>
      <c r="AB16" s="71">
        <f>H16/Y16</f>
        <v>1586.6849953946432</v>
      </c>
      <c r="AC16" s="70">
        <f>Y16*AE15</f>
        <v>433575</v>
      </c>
      <c r="AD16" s="69">
        <f>AC16/H16</f>
        <v>0.64600094093979887</v>
      </c>
      <c r="AE16" s="68"/>
    </row>
    <row r="17" spans="1:28" customFormat="1">
      <c r="A17" s="1766"/>
      <c r="B17" s="1386"/>
      <c r="C17" s="706"/>
      <c r="D17" s="70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</row>
    <row r="18" spans="1:28" customFormat="1">
      <c r="A18" s="234"/>
      <c r="B18" s="404"/>
      <c r="C18" s="235"/>
      <c r="D18" s="235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593"/>
      <c r="V18" s="593"/>
      <c r="W18" s="593"/>
      <c r="X18" s="593"/>
      <c r="Y18" s="593"/>
      <c r="Z18" s="593"/>
      <c r="AA18" s="593"/>
      <c r="AB18" s="593"/>
    </row>
    <row r="19" spans="1:28" customFormat="1">
      <c r="A19" s="234"/>
      <c r="B19" s="66" t="s">
        <v>128</v>
      </c>
      <c r="C19" s="235"/>
      <c r="D19" s="235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593"/>
      <c r="V19" s="593"/>
      <c r="W19" s="593"/>
      <c r="X19" s="593"/>
      <c r="Y19" s="593"/>
      <c r="Z19" s="593"/>
      <c r="AA19" s="593"/>
      <c r="AB19" s="593"/>
    </row>
    <row r="20" spans="1:28" customFormat="1">
      <c r="A20" s="234"/>
      <c r="B20" s="248" t="s">
        <v>714</v>
      </c>
      <c r="C20" s="594"/>
      <c r="D20" s="594"/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593"/>
      <c r="Y20" s="593"/>
      <c r="Z20" s="593"/>
      <c r="AA20" s="593"/>
      <c r="AB20" s="593"/>
    </row>
    <row r="21" spans="1:28" customFormat="1" ht="32.25" customHeight="1">
      <c r="A21" s="234"/>
      <c r="B21" s="2329" t="s">
        <v>32</v>
      </c>
      <c r="C21" s="2331" t="s">
        <v>31</v>
      </c>
      <c r="D21" s="2336" t="s">
        <v>30</v>
      </c>
      <c r="E21" s="2333" t="s">
        <v>102</v>
      </c>
      <c r="F21" s="2333"/>
      <c r="G21" s="2333"/>
      <c r="H21" s="2324" t="s">
        <v>28</v>
      </c>
      <c r="I21" s="2324"/>
      <c r="J21" s="2324"/>
      <c r="K21" s="2324"/>
      <c r="L21" s="2324"/>
      <c r="M21" s="2324"/>
      <c r="N21" s="2324"/>
      <c r="O21" s="2324"/>
      <c r="P21" s="2324"/>
      <c r="Q21" s="2324"/>
      <c r="R21" s="2324"/>
      <c r="S21" s="2324"/>
      <c r="T21" s="2400"/>
      <c r="U21" s="593"/>
      <c r="V21" s="593"/>
      <c r="W21" s="593"/>
      <c r="X21" s="593"/>
      <c r="Y21" s="593"/>
      <c r="Z21" s="593"/>
      <c r="AA21" s="593"/>
      <c r="AB21" s="593"/>
    </row>
    <row r="22" spans="1:28" customFormat="1" ht="49.5">
      <c r="A22" s="234"/>
      <c r="B22" s="2329"/>
      <c r="C22" s="2331"/>
      <c r="D22" s="2336"/>
      <c r="E22" s="1773" t="s">
        <v>26</v>
      </c>
      <c r="F22" s="1774" t="s">
        <v>138</v>
      </c>
      <c r="G22" s="1775" t="s">
        <v>24</v>
      </c>
      <c r="H22" s="1776" t="s">
        <v>23</v>
      </c>
      <c r="I22" s="1777" t="s">
        <v>22</v>
      </c>
      <c r="J22" s="1774" t="s">
        <v>21</v>
      </c>
      <c r="K22" s="1777" t="s">
        <v>20</v>
      </c>
      <c r="L22" s="1777" t="s">
        <v>19</v>
      </c>
      <c r="M22" s="1776" t="s">
        <v>18</v>
      </c>
      <c r="N22" s="1777" t="s">
        <v>17</v>
      </c>
      <c r="O22" s="1777" t="s">
        <v>16</v>
      </c>
      <c r="P22" s="1778" t="s">
        <v>15</v>
      </c>
      <c r="Q22" s="1777" t="s">
        <v>14</v>
      </c>
      <c r="R22" s="1777" t="s">
        <v>13</v>
      </c>
      <c r="S22" s="1777" t="s">
        <v>12</v>
      </c>
      <c r="T22" s="1847" t="s">
        <v>11</v>
      </c>
      <c r="U22" s="593"/>
      <c r="V22" s="593"/>
      <c r="W22" s="593"/>
      <c r="X22" s="593"/>
      <c r="Y22" s="593"/>
      <c r="Z22" s="593"/>
      <c r="AA22" s="593"/>
      <c r="AB22" s="593"/>
    </row>
    <row r="23" spans="1:28" customFormat="1">
      <c r="A23" s="234"/>
      <c r="B23" s="2050" t="s">
        <v>715</v>
      </c>
      <c r="C23" s="2051" t="s">
        <v>410</v>
      </c>
      <c r="D23" s="2052" t="s">
        <v>716</v>
      </c>
      <c r="E23" s="2053">
        <f>F23+G23</f>
        <v>240112.75</v>
      </c>
      <c r="F23" s="2054">
        <v>83190.64</v>
      </c>
      <c r="G23" s="2055">
        <v>156922.10999999999</v>
      </c>
      <c r="H23" s="2056">
        <v>81054</v>
      </c>
      <c r="I23" s="2057">
        <f>E23/H23</f>
        <v>2.9623800182594322</v>
      </c>
      <c r="J23" s="2058">
        <v>5326</v>
      </c>
      <c r="K23" s="2059">
        <f>J23/H23</f>
        <v>6.5709280232931128E-2</v>
      </c>
      <c r="L23" s="2059">
        <f>M23/J23</f>
        <v>0.16090874953060458</v>
      </c>
      <c r="M23" s="2060">
        <v>857</v>
      </c>
      <c r="N23" s="2058">
        <v>650</v>
      </c>
      <c r="O23" s="2061">
        <f>N23/M23</f>
        <v>0.75845974329054844</v>
      </c>
      <c r="P23" s="2060">
        <f>E23/M23</f>
        <v>280.17823803967326</v>
      </c>
      <c r="Q23" s="2058">
        <f>E23/N23</f>
        <v>369.40423076923076</v>
      </c>
      <c r="R23" s="2060">
        <f>N23*T23</f>
        <v>366600</v>
      </c>
      <c r="S23" s="2062">
        <f>R23/E23</f>
        <v>1.5267827301965431</v>
      </c>
      <c r="T23" s="2063">
        <v>564</v>
      </c>
      <c r="U23" s="593"/>
      <c r="V23" s="593"/>
      <c r="W23" s="593"/>
      <c r="X23" s="593"/>
      <c r="Y23" s="593"/>
      <c r="Z23" s="593"/>
      <c r="AA23" s="593"/>
      <c r="AB23" s="593"/>
    </row>
    <row r="24" spans="1:28" customFormat="1">
      <c r="A24" s="234"/>
      <c r="B24" s="233"/>
      <c r="C24" s="232" t="s">
        <v>461</v>
      </c>
      <c r="D24" s="231" t="s">
        <v>462</v>
      </c>
      <c r="E24" s="230">
        <f>SUM(F24,G24)</f>
        <v>240112.75</v>
      </c>
      <c r="F24" s="183">
        <v>83190.64</v>
      </c>
      <c r="G24" s="228">
        <v>156922.10999999999</v>
      </c>
      <c r="H24" s="593"/>
      <c r="I24" s="593"/>
      <c r="J24" s="593"/>
      <c r="K24" s="593"/>
      <c r="L24" s="593"/>
      <c r="M24" s="593"/>
      <c r="N24" s="593"/>
      <c r="O24" s="593"/>
      <c r="P24" s="593"/>
      <c r="Q24" s="593"/>
      <c r="R24" s="593"/>
      <c r="S24" s="593"/>
      <c r="T24" s="593"/>
      <c r="U24" s="593"/>
      <c r="V24" s="593"/>
      <c r="W24" s="593"/>
      <c r="X24" s="593"/>
      <c r="Y24" s="593"/>
      <c r="Z24" s="593"/>
      <c r="AA24" s="593"/>
      <c r="AB24" s="593"/>
    </row>
    <row r="25" spans="1:28" customFormat="1">
      <c r="A25" s="234"/>
      <c r="B25" s="227"/>
      <c r="C25" s="226" t="s">
        <v>463</v>
      </c>
      <c r="D25" s="225" t="s">
        <v>418</v>
      </c>
      <c r="E25" s="224">
        <f>E23/E24</f>
        <v>1</v>
      </c>
      <c r="F25" s="223">
        <f>IFERROR(F23/F24,"-")</f>
        <v>1</v>
      </c>
      <c r="G25" s="1385">
        <f>G23/G24</f>
        <v>1</v>
      </c>
      <c r="H25" s="1849"/>
      <c r="I25" s="1849"/>
      <c r="J25" s="1849"/>
      <c r="K25" s="1849"/>
      <c r="L25" s="1849"/>
      <c r="M25" s="1849"/>
      <c r="N25" s="1849"/>
      <c r="O25" s="1849"/>
      <c r="P25" s="1849"/>
      <c r="Q25" s="2064"/>
      <c r="R25" s="1849"/>
      <c r="S25" s="1849"/>
      <c r="T25" s="1849"/>
      <c r="U25" s="593"/>
      <c r="V25" s="593"/>
      <c r="W25" s="593"/>
      <c r="X25" s="593"/>
      <c r="Y25" s="593"/>
      <c r="Z25" s="593"/>
      <c r="AA25" s="593"/>
      <c r="AB25" s="593"/>
    </row>
    <row r="26" spans="1:28" customFormat="1">
      <c r="A26" s="234"/>
      <c r="B26" s="1849"/>
      <c r="C26" s="1849" t="s">
        <v>894</v>
      </c>
      <c r="D26" s="1849"/>
      <c r="E26" s="1849"/>
      <c r="F26" s="1849"/>
      <c r="G26" s="1849"/>
      <c r="H26" s="1849"/>
      <c r="I26" s="1849"/>
      <c r="J26" s="1849"/>
      <c r="K26" s="1849"/>
      <c r="L26" s="1849"/>
      <c r="M26" s="1849"/>
      <c r="N26" s="1849"/>
      <c r="O26" s="1849"/>
      <c r="P26" s="1849"/>
      <c r="Q26" s="2064"/>
      <c r="R26" s="1849"/>
      <c r="S26" s="1849"/>
      <c r="T26" s="1849"/>
      <c r="U26" s="593"/>
      <c r="V26" s="593"/>
      <c r="W26" s="593"/>
      <c r="X26" s="593"/>
      <c r="Y26" s="593"/>
      <c r="Z26" s="593"/>
      <c r="AA26" s="593"/>
      <c r="AB26" s="593"/>
    </row>
    <row r="27" spans="1:28" customFormat="1">
      <c r="A27" s="234"/>
      <c r="B27" s="236"/>
      <c r="C27" s="235"/>
      <c r="D27" s="235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593"/>
      <c r="V27" s="593"/>
      <c r="W27" s="593"/>
      <c r="X27" s="593"/>
      <c r="Y27" s="593"/>
      <c r="Z27" s="593"/>
      <c r="AA27" s="593"/>
      <c r="AB27" s="593"/>
    </row>
    <row r="28" spans="1:28" customFormat="1">
      <c r="A28" s="234"/>
      <c r="B28" s="236"/>
      <c r="C28" s="235"/>
      <c r="D28" s="235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593"/>
      <c r="V28" s="593"/>
      <c r="W28" s="593"/>
      <c r="X28" s="593"/>
      <c r="Y28" s="593"/>
      <c r="Z28" s="593"/>
      <c r="AA28" s="593"/>
      <c r="AB28" s="593"/>
    </row>
    <row r="29" spans="1:28" customFormat="1">
      <c r="A29" s="234"/>
      <c r="B29" s="236"/>
      <c r="C29" s="235"/>
      <c r="D29" s="235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593"/>
      <c r="V29" s="593"/>
      <c r="W29" s="593"/>
      <c r="X29" s="593"/>
      <c r="Y29" s="593"/>
      <c r="Z29" s="593"/>
      <c r="AA29" s="593"/>
      <c r="AB29" s="593"/>
    </row>
    <row r="30" spans="1:28" customFormat="1">
      <c r="A30" s="234"/>
      <c r="B30" s="248" t="s">
        <v>717</v>
      </c>
      <c r="C30" s="594"/>
      <c r="D30" s="594"/>
      <c r="E30" s="593"/>
      <c r="F30" s="593"/>
      <c r="G30" s="593"/>
      <c r="H30" s="593"/>
      <c r="I30" s="593"/>
      <c r="J30" s="593"/>
      <c r="K30" s="593"/>
      <c r="L30" s="593"/>
      <c r="M30" s="593"/>
      <c r="N30" s="593"/>
      <c r="O30" s="593"/>
      <c r="P30" s="593"/>
      <c r="Q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</row>
    <row r="31" spans="1:28" customFormat="1" ht="32.25" customHeight="1">
      <c r="A31" s="234"/>
      <c r="B31" s="2329" t="s">
        <v>32</v>
      </c>
      <c r="C31" s="2331" t="s">
        <v>31</v>
      </c>
      <c r="D31" s="2336" t="s">
        <v>30</v>
      </c>
      <c r="E31" s="2333" t="s">
        <v>102</v>
      </c>
      <c r="F31" s="2333"/>
      <c r="G31" s="2333"/>
      <c r="H31" s="2324" t="s">
        <v>28</v>
      </c>
      <c r="I31" s="2324"/>
      <c r="J31" s="2324"/>
      <c r="K31" s="2324"/>
      <c r="L31" s="2324"/>
      <c r="M31" s="2324"/>
      <c r="N31" s="2324"/>
      <c r="O31" s="2324"/>
      <c r="P31" s="2324"/>
      <c r="Q31" s="2324"/>
      <c r="R31" s="2324"/>
      <c r="S31" s="2324"/>
      <c r="T31" s="2400"/>
      <c r="U31" s="593"/>
      <c r="V31" s="593"/>
      <c r="W31" s="593"/>
      <c r="X31" s="593"/>
      <c r="Y31" s="593"/>
      <c r="Z31" s="593"/>
      <c r="AA31" s="593"/>
      <c r="AB31" s="593"/>
    </row>
    <row r="32" spans="1:28" customFormat="1" ht="49.5">
      <c r="A32" s="234"/>
      <c r="B32" s="2329"/>
      <c r="C32" s="2331"/>
      <c r="D32" s="2336"/>
      <c r="E32" s="1773" t="s">
        <v>26</v>
      </c>
      <c r="F32" s="1774" t="s">
        <v>138</v>
      </c>
      <c r="G32" s="1775" t="s">
        <v>24</v>
      </c>
      <c r="H32" s="1776" t="s">
        <v>23</v>
      </c>
      <c r="I32" s="1777" t="s">
        <v>22</v>
      </c>
      <c r="J32" s="1774" t="s">
        <v>21</v>
      </c>
      <c r="K32" s="1777" t="s">
        <v>20</v>
      </c>
      <c r="L32" s="1777" t="s">
        <v>19</v>
      </c>
      <c r="M32" s="1776" t="s">
        <v>18</v>
      </c>
      <c r="N32" s="1777" t="s">
        <v>17</v>
      </c>
      <c r="O32" s="1777" t="s">
        <v>16</v>
      </c>
      <c r="P32" s="1778" t="s">
        <v>15</v>
      </c>
      <c r="Q32" s="1777" t="s">
        <v>14</v>
      </c>
      <c r="R32" s="1777" t="s">
        <v>13</v>
      </c>
      <c r="S32" s="1777" t="s">
        <v>12</v>
      </c>
      <c r="T32" s="1847" t="s">
        <v>11</v>
      </c>
      <c r="U32" s="593"/>
      <c r="V32" s="593"/>
      <c r="W32" s="593"/>
      <c r="X32" s="593"/>
      <c r="Y32" s="593"/>
      <c r="Z32" s="593"/>
      <c r="AA32" s="593"/>
      <c r="AB32" s="593"/>
    </row>
    <row r="33" spans="1:28" customFormat="1">
      <c r="A33" s="234"/>
      <c r="B33" s="2050" t="s">
        <v>718</v>
      </c>
      <c r="C33" s="2051" t="s">
        <v>410</v>
      </c>
      <c r="D33" s="2052" t="s">
        <v>716</v>
      </c>
      <c r="E33" s="2053">
        <f>F33+G33</f>
        <v>115005.17</v>
      </c>
      <c r="F33" s="2054">
        <v>44822.17</v>
      </c>
      <c r="G33" s="2055">
        <v>70183</v>
      </c>
      <c r="H33" s="2056">
        <v>43396</v>
      </c>
      <c r="I33" s="2057">
        <f>E33/H33</f>
        <v>2.6501329615632776</v>
      </c>
      <c r="J33" s="2058">
        <v>3279</v>
      </c>
      <c r="K33" s="2059">
        <f>J33/H33</f>
        <v>7.5559959443266655E-2</v>
      </c>
      <c r="L33" s="2059">
        <f>M33/J33</f>
        <v>0.14425129612686793</v>
      </c>
      <c r="M33" s="2060">
        <v>473</v>
      </c>
      <c r="N33" s="2058">
        <v>351</v>
      </c>
      <c r="O33" s="2061">
        <f>N33/M33</f>
        <v>0.74207188160676529</v>
      </c>
      <c r="P33" s="2060">
        <f>E33/M33</f>
        <v>243.13989429175476</v>
      </c>
      <c r="Q33" s="2058">
        <f>E33/N33</f>
        <v>327.650056980057</v>
      </c>
      <c r="R33" s="2060">
        <f>N33*T33</f>
        <v>197964</v>
      </c>
      <c r="S33" s="2062">
        <f>R33/E33</f>
        <v>1.7213487011062198</v>
      </c>
      <c r="T33" s="2063">
        <v>564</v>
      </c>
      <c r="U33" s="593"/>
      <c r="V33" s="593"/>
      <c r="W33" s="593"/>
      <c r="X33" s="593"/>
      <c r="Y33" s="593"/>
      <c r="Z33" s="593"/>
      <c r="AA33" s="593"/>
      <c r="AB33" s="593"/>
    </row>
    <row r="34" spans="1:28" customFormat="1">
      <c r="A34" s="234"/>
      <c r="B34" s="233"/>
      <c r="C34" s="232" t="s">
        <v>461</v>
      </c>
      <c r="D34" s="231" t="s">
        <v>462</v>
      </c>
      <c r="E34" s="230">
        <f>SUM(F34,G34)</f>
        <v>240112.75</v>
      </c>
      <c r="F34" s="183">
        <v>83190.64</v>
      </c>
      <c r="G34" s="228">
        <v>156922.10999999999</v>
      </c>
      <c r="H34" s="593"/>
      <c r="I34" s="593"/>
      <c r="J34" s="593"/>
      <c r="K34" s="593"/>
      <c r="L34" s="593"/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</row>
    <row r="35" spans="1:28" customFormat="1">
      <c r="A35" s="234"/>
      <c r="B35" s="227"/>
      <c r="C35" s="226" t="s">
        <v>463</v>
      </c>
      <c r="D35" s="225" t="s">
        <v>418</v>
      </c>
      <c r="E35" s="224">
        <f>E33/E34</f>
        <v>0.4789631954154871</v>
      </c>
      <c r="F35" s="223">
        <f>IFERROR(F33/F34,"-")</f>
        <v>0.53878861852727666</v>
      </c>
      <c r="G35" s="1385">
        <f>G33/G34</f>
        <v>0.44724736367615758</v>
      </c>
      <c r="H35" s="1849"/>
      <c r="I35" s="1849"/>
      <c r="J35" s="1849"/>
      <c r="K35" s="1849"/>
      <c r="L35" s="1849"/>
      <c r="M35" s="1849"/>
      <c r="N35" s="1849"/>
      <c r="O35" s="1849"/>
      <c r="P35" s="1849"/>
      <c r="Q35" s="2064"/>
      <c r="R35" s="1849"/>
      <c r="S35" s="1849"/>
      <c r="T35" s="1849"/>
      <c r="U35" s="593"/>
      <c r="V35" s="593"/>
      <c r="W35" s="593"/>
      <c r="X35" s="593"/>
      <c r="Y35" s="593"/>
      <c r="Z35" s="593"/>
      <c r="AA35" s="593"/>
      <c r="AB35" s="593"/>
    </row>
    <row r="36" spans="1:28" customFormat="1">
      <c r="A36" s="234"/>
      <c r="B36" s="1849"/>
      <c r="C36" s="1849" t="s">
        <v>894</v>
      </c>
      <c r="D36" s="1849"/>
      <c r="E36" s="1849"/>
      <c r="F36" s="1849"/>
      <c r="G36" s="1849"/>
      <c r="H36" s="2065"/>
      <c r="I36" s="1849"/>
      <c r="J36" s="2065"/>
      <c r="K36" s="1849"/>
      <c r="L36" s="1849"/>
      <c r="M36" s="1849"/>
      <c r="N36" s="1849"/>
      <c r="O36" s="1849"/>
      <c r="P36" s="1849"/>
      <c r="Q36" s="1849"/>
      <c r="R36" s="1849"/>
      <c r="S36" s="1849"/>
      <c r="T36" s="1849"/>
      <c r="U36" s="593"/>
      <c r="V36" s="593"/>
      <c r="W36" s="593"/>
      <c r="X36" s="593"/>
      <c r="Y36" s="593"/>
      <c r="Z36" s="593"/>
      <c r="AA36" s="593"/>
      <c r="AB36" s="593"/>
    </row>
    <row r="37" spans="1:28" customFormat="1">
      <c r="A37" s="234"/>
      <c r="B37" s="236"/>
      <c r="C37" s="235"/>
      <c r="D37" s="235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593"/>
      <c r="V37" s="593"/>
      <c r="W37" s="593"/>
      <c r="X37" s="593"/>
      <c r="Y37" s="593"/>
      <c r="Z37" s="593"/>
      <c r="AA37" s="593"/>
      <c r="AB37" s="593"/>
    </row>
    <row r="38" spans="1:28" customFormat="1">
      <c r="A38" s="234"/>
      <c r="B38" s="236"/>
      <c r="C38" s="235"/>
      <c r="D38" s="235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593"/>
      <c r="V38" s="593"/>
      <c r="W38" s="593"/>
      <c r="X38" s="593"/>
      <c r="Y38" s="593"/>
      <c r="Z38" s="593"/>
      <c r="AA38" s="593"/>
      <c r="AB38" s="593"/>
    </row>
    <row r="39" spans="1:28" customFormat="1">
      <c r="A39" s="234"/>
      <c r="B39" s="236"/>
      <c r="C39" s="235"/>
      <c r="D39" s="235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593"/>
      <c r="V39" s="593"/>
      <c r="W39" s="593"/>
      <c r="X39" s="593"/>
      <c r="Y39" s="593"/>
      <c r="Z39" s="593"/>
      <c r="AA39" s="593"/>
      <c r="AB39" s="593"/>
    </row>
    <row r="40" spans="1:28" customFormat="1">
      <c r="A40" s="234"/>
      <c r="B40" s="248" t="s">
        <v>719</v>
      </c>
      <c r="C40" s="594"/>
      <c r="D40" s="594"/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</row>
    <row r="41" spans="1:28" customFormat="1" ht="32.25" customHeight="1">
      <c r="A41" s="234"/>
      <c r="B41" s="2329" t="s">
        <v>32</v>
      </c>
      <c r="C41" s="2331" t="s">
        <v>31</v>
      </c>
      <c r="D41" s="2336" t="s">
        <v>30</v>
      </c>
      <c r="E41" s="2333" t="s">
        <v>102</v>
      </c>
      <c r="F41" s="2333"/>
      <c r="G41" s="2333"/>
      <c r="H41" s="2324" t="s">
        <v>28</v>
      </c>
      <c r="I41" s="2324"/>
      <c r="J41" s="2324"/>
      <c r="K41" s="2324"/>
      <c r="L41" s="2324"/>
      <c r="M41" s="2324"/>
      <c r="N41" s="2324"/>
      <c r="O41" s="2324"/>
      <c r="P41" s="2324"/>
      <c r="Q41" s="2324"/>
      <c r="R41" s="2324"/>
      <c r="S41" s="2324"/>
      <c r="T41" s="2400"/>
      <c r="U41" s="593"/>
      <c r="V41" s="593"/>
      <c r="W41" s="593"/>
      <c r="X41" s="593"/>
      <c r="Y41" s="593"/>
      <c r="Z41" s="593"/>
      <c r="AA41" s="593"/>
      <c r="AB41" s="593"/>
    </row>
    <row r="42" spans="1:28" customFormat="1" ht="49.5">
      <c r="A42" s="234"/>
      <c r="B42" s="2329"/>
      <c r="C42" s="2331"/>
      <c r="D42" s="2336"/>
      <c r="E42" s="1773" t="s">
        <v>26</v>
      </c>
      <c r="F42" s="1774" t="s">
        <v>138</v>
      </c>
      <c r="G42" s="1775" t="s">
        <v>24</v>
      </c>
      <c r="H42" s="1776" t="s">
        <v>23</v>
      </c>
      <c r="I42" s="1777" t="s">
        <v>22</v>
      </c>
      <c r="J42" s="1774" t="s">
        <v>21</v>
      </c>
      <c r="K42" s="1777" t="s">
        <v>20</v>
      </c>
      <c r="L42" s="1777" t="s">
        <v>19</v>
      </c>
      <c r="M42" s="1776" t="s">
        <v>18</v>
      </c>
      <c r="N42" s="1777" t="s">
        <v>17</v>
      </c>
      <c r="O42" s="1777" t="s">
        <v>16</v>
      </c>
      <c r="P42" s="1778" t="s">
        <v>15</v>
      </c>
      <c r="Q42" s="1777" t="s">
        <v>14</v>
      </c>
      <c r="R42" s="1777" t="s">
        <v>13</v>
      </c>
      <c r="S42" s="1777" t="s">
        <v>12</v>
      </c>
      <c r="T42" s="1847" t="s">
        <v>11</v>
      </c>
      <c r="U42" s="593"/>
      <c r="V42" s="593"/>
      <c r="W42" s="593"/>
      <c r="X42" s="593"/>
      <c r="Y42" s="593"/>
      <c r="Z42" s="593"/>
      <c r="AA42" s="593"/>
      <c r="AB42" s="593"/>
    </row>
    <row r="43" spans="1:28" customFormat="1">
      <c r="A43" s="234"/>
      <c r="B43" s="2050" t="s">
        <v>720</v>
      </c>
      <c r="C43" s="2051" t="s">
        <v>410</v>
      </c>
      <c r="D43" s="2052" t="s">
        <v>716</v>
      </c>
      <c r="E43" s="2053">
        <f>F43+G43</f>
        <v>79125.56</v>
      </c>
      <c r="F43" s="2054">
        <v>26923</v>
      </c>
      <c r="G43" s="2055">
        <v>52202.559999999998</v>
      </c>
      <c r="H43" s="2056">
        <v>21026</v>
      </c>
      <c r="I43" s="2057">
        <f>E43/H43</f>
        <v>3.7632245790925518</v>
      </c>
      <c r="J43" s="2058">
        <v>1697</v>
      </c>
      <c r="K43" s="2059">
        <f>J43/H43</f>
        <v>8.0709597641015887E-2</v>
      </c>
      <c r="L43" s="2059">
        <f>M43/J43</f>
        <v>0.13494401885680612</v>
      </c>
      <c r="M43" s="2060">
        <v>229</v>
      </c>
      <c r="N43" s="2058">
        <v>167</v>
      </c>
      <c r="O43" s="2061">
        <f>N43/M43</f>
        <v>0.72925764192139741</v>
      </c>
      <c r="P43" s="2060">
        <f>E43/M43</f>
        <v>345.52646288209604</v>
      </c>
      <c r="Q43" s="2058">
        <f>E43/N43</f>
        <v>473.80574850299399</v>
      </c>
      <c r="R43" s="2060">
        <f>N43*T43</f>
        <v>94188</v>
      </c>
      <c r="S43" s="2062">
        <f>R43/E43</f>
        <v>1.1903612435728734</v>
      </c>
      <c r="T43" s="2063">
        <v>564</v>
      </c>
      <c r="U43" s="593"/>
      <c r="V43" s="593"/>
      <c r="W43" s="593"/>
      <c r="X43" s="593"/>
      <c r="Y43" s="593"/>
      <c r="Z43" s="593"/>
      <c r="AA43" s="593"/>
      <c r="AB43" s="593"/>
    </row>
    <row r="44" spans="1:28" customFormat="1">
      <c r="A44" s="234"/>
      <c r="B44" s="233"/>
      <c r="C44" s="232" t="s">
        <v>461</v>
      </c>
      <c r="D44" s="231" t="s">
        <v>462</v>
      </c>
      <c r="E44" s="230">
        <f>SUM(F44,G44)</f>
        <v>240112.75</v>
      </c>
      <c r="F44" s="183">
        <v>83190.64</v>
      </c>
      <c r="G44" s="228">
        <v>156922.10999999999</v>
      </c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</row>
    <row r="45" spans="1:28" customFormat="1">
      <c r="A45" s="234"/>
      <c r="B45" s="227"/>
      <c r="C45" s="226" t="s">
        <v>463</v>
      </c>
      <c r="D45" s="225" t="s">
        <v>418</v>
      </c>
      <c r="E45" s="224">
        <f>E43/E44</f>
        <v>0.32953502052681499</v>
      </c>
      <c r="F45" s="223">
        <f>IFERROR(F43/F44,"-")</f>
        <v>0.32363015839281917</v>
      </c>
      <c r="G45" s="1385">
        <f>G43/G44</f>
        <v>0.33266542235507796</v>
      </c>
      <c r="H45" s="1849"/>
      <c r="I45" s="1849"/>
      <c r="J45" s="1849"/>
      <c r="K45" s="1849"/>
      <c r="L45" s="1849"/>
      <c r="M45" s="1849"/>
      <c r="N45" s="1849"/>
      <c r="O45" s="1849"/>
      <c r="P45" s="1849"/>
      <c r="Q45" s="2064"/>
      <c r="R45" s="1849"/>
      <c r="S45" s="1849"/>
      <c r="T45" s="1849"/>
      <c r="U45" s="593"/>
      <c r="V45" s="593"/>
      <c r="W45" s="593"/>
      <c r="X45" s="593"/>
      <c r="Y45" s="593"/>
      <c r="Z45" s="593"/>
      <c r="AA45" s="593"/>
      <c r="AB45" s="593"/>
    </row>
    <row r="46" spans="1:28" customFormat="1">
      <c r="A46" s="234"/>
      <c r="B46" s="1849"/>
      <c r="C46" s="1849" t="s">
        <v>894</v>
      </c>
      <c r="D46" s="1849"/>
      <c r="E46" s="1849"/>
      <c r="F46" s="1849"/>
      <c r="G46" s="1849"/>
      <c r="H46" s="1849"/>
      <c r="I46" s="1849"/>
      <c r="J46" s="1849"/>
      <c r="K46" s="1849"/>
      <c r="L46" s="1849"/>
      <c r="M46" s="1849"/>
      <c r="N46" s="1849"/>
      <c r="O46" s="1849"/>
      <c r="P46" s="1849"/>
      <c r="Q46" s="1849"/>
      <c r="R46" s="1849"/>
      <c r="S46" s="1849"/>
      <c r="T46" s="1849"/>
      <c r="U46" s="593"/>
      <c r="V46" s="593"/>
      <c r="W46" s="593"/>
      <c r="X46" s="593"/>
      <c r="Y46" s="593"/>
      <c r="Z46" s="593"/>
      <c r="AA46" s="593"/>
      <c r="AB46" s="593"/>
    </row>
    <row r="47" spans="1:28" customFormat="1">
      <c r="A47" s="234"/>
      <c r="B47" s="236"/>
      <c r="C47" s="235"/>
      <c r="D47" s="235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593"/>
      <c r="V47" s="593"/>
      <c r="W47" s="593"/>
      <c r="X47" s="593"/>
      <c r="Y47" s="593"/>
      <c r="Z47" s="593"/>
      <c r="AA47" s="593"/>
      <c r="AB47" s="593"/>
    </row>
    <row r="48" spans="1:28" customFormat="1">
      <c r="A48" s="234"/>
      <c r="B48" s="236"/>
      <c r="C48" s="235"/>
      <c r="D48" s="235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593"/>
      <c r="V48" s="593"/>
      <c r="W48" s="593"/>
      <c r="X48" s="593"/>
      <c r="Y48" s="593"/>
      <c r="Z48" s="593"/>
      <c r="AA48" s="593"/>
      <c r="AB48" s="593"/>
    </row>
    <row r="49" spans="1:28" customFormat="1">
      <c r="A49" s="234"/>
      <c r="B49" s="236"/>
      <c r="C49" s="235"/>
      <c r="D49" s="235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593"/>
      <c r="V49" s="593"/>
      <c r="W49" s="593"/>
      <c r="X49" s="593"/>
      <c r="Y49" s="593"/>
      <c r="Z49" s="593"/>
      <c r="AA49" s="593"/>
      <c r="AB49" s="593"/>
    </row>
    <row r="50" spans="1:28" customFormat="1">
      <c r="A50" s="234"/>
      <c r="B50" s="236"/>
      <c r="C50" s="235"/>
      <c r="D50" s="235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593"/>
      <c r="V50" s="593"/>
      <c r="W50" s="593"/>
      <c r="X50" s="593"/>
      <c r="Y50" s="593"/>
      <c r="Z50" s="593"/>
      <c r="AA50" s="593"/>
      <c r="AB50" s="593"/>
    </row>
    <row r="51" spans="1:28">
      <c r="A51" s="593"/>
      <c r="B51" s="248" t="s">
        <v>721</v>
      </c>
      <c r="C51" s="594"/>
      <c r="D51" s="594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</row>
    <row r="52" spans="1:28" ht="36.75" customHeight="1">
      <c r="A52" s="593"/>
      <c r="B52" s="2329" t="s">
        <v>32</v>
      </c>
      <c r="C52" s="2331" t="s">
        <v>31</v>
      </c>
      <c r="D52" s="2336" t="s">
        <v>30</v>
      </c>
      <c r="E52" s="2333" t="s">
        <v>102</v>
      </c>
      <c r="F52" s="2333"/>
      <c r="G52" s="2333"/>
      <c r="H52" s="2324" t="s">
        <v>28</v>
      </c>
      <c r="I52" s="2324"/>
      <c r="J52" s="2324"/>
      <c r="K52" s="2324"/>
      <c r="L52" s="2324"/>
      <c r="M52" s="2324"/>
      <c r="N52" s="2324"/>
      <c r="O52" s="2324"/>
      <c r="P52" s="2324"/>
      <c r="Q52" s="2324"/>
      <c r="R52" s="2324"/>
      <c r="S52" s="2324"/>
      <c r="T52" s="2400"/>
      <c r="U52" s="593"/>
      <c r="V52" s="593"/>
      <c r="W52" s="593"/>
      <c r="X52" s="593"/>
      <c r="Y52" s="593"/>
      <c r="Z52" s="593"/>
      <c r="AA52" s="593"/>
      <c r="AB52" s="593"/>
    </row>
    <row r="53" spans="1:28" ht="51.75" customHeight="1">
      <c r="A53" s="593"/>
      <c r="B53" s="2329"/>
      <c r="C53" s="2331"/>
      <c r="D53" s="2336"/>
      <c r="E53" s="1773" t="s">
        <v>26</v>
      </c>
      <c r="F53" s="1774" t="s">
        <v>138</v>
      </c>
      <c r="G53" s="1775" t="s">
        <v>24</v>
      </c>
      <c r="H53" s="1776" t="s">
        <v>23</v>
      </c>
      <c r="I53" s="1777" t="s">
        <v>22</v>
      </c>
      <c r="J53" s="1774" t="s">
        <v>21</v>
      </c>
      <c r="K53" s="1777" t="s">
        <v>20</v>
      </c>
      <c r="L53" s="1777" t="s">
        <v>19</v>
      </c>
      <c r="M53" s="1776" t="s">
        <v>18</v>
      </c>
      <c r="N53" s="1777" t="s">
        <v>17</v>
      </c>
      <c r="O53" s="1777" t="s">
        <v>16</v>
      </c>
      <c r="P53" s="1778" t="s">
        <v>15</v>
      </c>
      <c r="Q53" s="1777" t="s">
        <v>14</v>
      </c>
      <c r="R53" s="1777" t="s">
        <v>13</v>
      </c>
      <c r="S53" s="1777" t="s">
        <v>12</v>
      </c>
      <c r="T53" s="1847" t="s">
        <v>11</v>
      </c>
      <c r="U53" s="593"/>
      <c r="V53" s="593"/>
      <c r="W53" s="593"/>
      <c r="X53" s="593"/>
      <c r="Y53" s="593"/>
      <c r="Z53" s="593"/>
      <c r="AA53" s="593"/>
      <c r="AB53" s="593"/>
    </row>
    <row r="54" spans="1:28" s="2066" customFormat="1" ht="23.25" customHeight="1">
      <c r="A54" s="593"/>
      <c r="B54" s="2050" t="s">
        <v>722</v>
      </c>
      <c r="C54" s="2051" t="s">
        <v>410</v>
      </c>
      <c r="D54" s="2052" t="s">
        <v>716</v>
      </c>
      <c r="E54" s="2053">
        <f>F54+G54</f>
        <v>22474.46</v>
      </c>
      <c r="F54" s="2054">
        <v>6744.76</v>
      </c>
      <c r="G54" s="2055">
        <v>15729.7</v>
      </c>
      <c r="H54" s="2056">
        <v>7587</v>
      </c>
      <c r="I54" s="2057">
        <f>E54/H54</f>
        <v>2.9622327665744033</v>
      </c>
      <c r="J54" s="2058">
        <v>345</v>
      </c>
      <c r="K54" s="2059">
        <f>J54/H54</f>
        <v>4.5472518782127325E-2</v>
      </c>
      <c r="L54" s="2059">
        <f>M54/J54</f>
        <v>8.9855072463768115E-2</v>
      </c>
      <c r="M54" s="2060">
        <v>31</v>
      </c>
      <c r="N54" s="2058">
        <v>25</v>
      </c>
      <c r="O54" s="2061">
        <f>N54/M54</f>
        <v>0.80645161290322576</v>
      </c>
      <c r="P54" s="2060">
        <f>E54/M54</f>
        <v>724.98258064516131</v>
      </c>
      <c r="Q54" s="2058">
        <f>E54/N54</f>
        <v>898.97839999999997</v>
      </c>
      <c r="R54" s="2060">
        <f>N54*T54</f>
        <v>14100</v>
      </c>
      <c r="S54" s="2062">
        <f>R54/E54</f>
        <v>0.62737881132627882</v>
      </c>
      <c r="T54" s="2063">
        <v>564</v>
      </c>
      <c r="U54" s="593"/>
      <c r="V54" s="593"/>
      <c r="W54" s="593"/>
      <c r="X54" s="593"/>
      <c r="Y54" s="593"/>
      <c r="Z54" s="593"/>
      <c r="AA54" s="593"/>
      <c r="AB54" s="593"/>
    </row>
    <row r="55" spans="1:28">
      <c r="A55" s="593"/>
      <c r="B55" s="233"/>
      <c r="C55" s="232" t="s">
        <v>461</v>
      </c>
      <c r="D55" s="231" t="s">
        <v>462</v>
      </c>
      <c r="E55" s="230">
        <f>SUM(F55,G55)</f>
        <v>240112.75</v>
      </c>
      <c r="F55" s="183">
        <v>83190.64</v>
      </c>
      <c r="G55" s="228">
        <v>156922.10999999999</v>
      </c>
      <c r="H55" s="593"/>
      <c r="I55" s="593"/>
      <c r="J55" s="593"/>
      <c r="K55" s="593"/>
      <c r="L55" s="593"/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  <c r="AA55" s="593"/>
      <c r="AB55" s="593"/>
    </row>
    <row r="56" spans="1:28">
      <c r="B56" s="227"/>
      <c r="C56" s="226" t="s">
        <v>463</v>
      </c>
      <c r="D56" s="225" t="s">
        <v>418</v>
      </c>
      <c r="E56" s="224">
        <f>E54/E55</f>
        <v>9.3599611016074738E-2</v>
      </c>
      <c r="F56" s="223">
        <f>IFERROR(F54/F55,"-")</f>
        <v>8.1075947967223241E-2</v>
      </c>
      <c r="G56" s="1385">
        <f>G54/G55</f>
        <v>0.10023890196225377</v>
      </c>
    </row>
    <row r="57" spans="1:28">
      <c r="C57" s="1849" t="s">
        <v>894</v>
      </c>
    </row>
    <row r="59" spans="1:28">
      <c r="A59" s="593"/>
      <c r="B59" s="601"/>
      <c r="C59" s="592"/>
      <c r="D59" s="592"/>
      <c r="E59" s="593"/>
      <c r="F59" s="593"/>
      <c r="G59" s="593"/>
      <c r="H59" s="593"/>
      <c r="I59" s="593"/>
      <c r="J59" s="593"/>
      <c r="K59" s="593"/>
      <c r="L59" s="593"/>
      <c r="M59" s="593"/>
      <c r="N59" s="593"/>
      <c r="O59" s="593"/>
      <c r="P59" s="593"/>
      <c r="Q59" s="593"/>
      <c r="R59" s="593"/>
      <c r="S59" s="593"/>
      <c r="T59" s="593"/>
      <c r="U59" s="593"/>
      <c r="V59" s="593"/>
      <c r="W59" s="593"/>
      <c r="X59" s="593"/>
      <c r="Y59" s="593"/>
      <c r="Z59" s="593"/>
      <c r="AA59" s="593"/>
      <c r="AB59" s="593"/>
    </row>
    <row r="60" spans="1:28">
      <c r="A60" s="593"/>
      <c r="B60" s="248" t="s">
        <v>584</v>
      </c>
      <c r="C60" s="592"/>
      <c r="D60" s="592"/>
      <c r="E60" s="592"/>
      <c r="F60" s="2067"/>
      <c r="G60" s="2067"/>
      <c r="H60" s="593"/>
      <c r="I60" s="593"/>
      <c r="J60" s="593"/>
      <c r="K60" s="593"/>
      <c r="L60" s="593"/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</row>
    <row r="61" spans="1:28">
      <c r="A61" s="593"/>
      <c r="B61" s="2329" t="s">
        <v>32</v>
      </c>
      <c r="C61" s="2331" t="s">
        <v>31</v>
      </c>
      <c r="D61" s="2336" t="s">
        <v>30</v>
      </c>
      <c r="E61" s="2333" t="s">
        <v>102</v>
      </c>
      <c r="F61" s="2334"/>
      <c r="G61" s="2335"/>
      <c r="H61" s="2324" t="s">
        <v>28</v>
      </c>
      <c r="I61" s="2325"/>
      <c r="J61" s="2325"/>
      <c r="K61" s="2325"/>
      <c r="L61" s="2325"/>
      <c r="M61" s="2325"/>
      <c r="N61" s="2325"/>
      <c r="O61" s="2325"/>
      <c r="P61" s="2325"/>
      <c r="Q61" s="2325"/>
      <c r="R61" s="2325"/>
      <c r="S61" s="2325"/>
      <c r="T61" s="2326"/>
      <c r="U61" s="2324" t="s">
        <v>27</v>
      </c>
      <c r="V61" s="2325"/>
      <c r="W61" s="2325"/>
      <c r="X61" s="2325"/>
      <c r="Y61" s="2325"/>
      <c r="Z61" s="2325"/>
      <c r="AA61" s="2325"/>
      <c r="AB61" s="2326"/>
    </row>
    <row r="62" spans="1:28" ht="49.5">
      <c r="A62" s="593"/>
      <c r="B62" s="2330"/>
      <c r="C62" s="2332"/>
      <c r="D62" s="2337"/>
      <c r="E62" s="1773" t="s">
        <v>26</v>
      </c>
      <c r="F62" s="1774" t="s">
        <v>138</v>
      </c>
      <c r="G62" s="1775" t="s">
        <v>24</v>
      </c>
      <c r="H62" s="1776" t="s">
        <v>23</v>
      </c>
      <c r="I62" s="1777" t="s">
        <v>22</v>
      </c>
      <c r="J62" s="1774" t="s">
        <v>21</v>
      </c>
      <c r="K62" s="1777" t="s">
        <v>20</v>
      </c>
      <c r="L62" s="1777" t="s">
        <v>19</v>
      </c>
      <c r="M62" s="1776" t="s">
        <v>18</v>
      </c>
      <c r="N62" s="1777" t="s">
        <v>17</v>
      </c>
      <c r="O62" s="1777" t="s">
        <v>16</v>
      </c>
      <c r="P62" s="1778" t="s">
        <v>15</v>
      </c>
      <c r="Q62" s="1777" t="s">
        <v>14</v>
      </c>
      <c r="R62" s="1777" t="s">
        <v>13</v>
      </c>
      <c r="S62" s="1777" t="s">
        <v>12</v>
      </c>
      <c r="T62" s="1847" t="s">
        <v>11</v>
      </c>
      <c r="U62" s="1848" t="s">
        <v>10</v>
      </c>
      <c r="V62" s="1778" t="s">
        <v>9</v>
      </c>
      <c r="W62" s="1781" t="s">
        <v>8</v>
      </c>
      <c r="X62" s="1781" t="s">
        <v>7</v>
      </c>
      <c r="Y62" s="1781" t="s">
        <v>6</v>
      </c>
      <c r="Z62" s="1781" t="s">
        <v>5</v>
      </c>
      <c r="AA62" s="1781" t="s">
        <v>4</v>
      </c>
      <c r="AB62" s="1782" t="s">
        <v>3</v>
      </c>
    </row>
    <row r="63" spans="1:28">
      <c r="A63" s="593"/>
      <c r="B63" s="2327" t="s">
        <v>584</v>
      </c>
      <c r="C63" s="1783" t="s">
        <v>895</v>
      </c>
      <c r="D63" s="1783" t="s">
        <v>584</v>
      </c>
      <c r="E63" s="1784">
        <f>SUM(F63:G63)</f>
        <v>559816.17999999993</v>
      </c>
      <c r="F63" s="229">
        <v>214275.38</v>
      </c>
      <c r="G63" s="1785">
        <v>345540.8</v>
      </c>
      <c r="H63" s="1826">
        <v>261920</v>
      </c>
      <c r="I63" s="1787">
        <f>E63/H63</f>
        <v>2.1373556047648132</v>
      </c>
      <c r="J63" s="1788">
        <v>17236</v>
      </c>
      <c r="K63" s="1789">
        <f>J63/H63</f>
        <v>6.5806353084911423E-2</v>
      </c>
      <c r="L63" s="1789">
        <f>M63/J63</f>
        <v>9.973311673242051E-2</v>
      </c>
      <c r="M63" s="1790">
        <v>1719</v>
      </c>
      <c r="N63" s="1788">
        <v>1353</v>
      </c>
      <c r="O63" s="1791">
        <f>N63/M63</f>
        <v>0.78708551483420597</v>
      </c>
      <c r="P63" s="1792">
        <f>E63/M63</f>
        <v>325.66386271087839</v>
      </c>
      <c r="Q63" s="1793">
        <f>E63/N63</f>
        <v>413.75918699186985</v>
      </c>
      <c r="R63" s="1790">
        <f>N63*T63</f>
        <v>956571</v>
      </c>
      <c r="S63" s="1794">
        <f>R63/E63</f>
        <v>1.7087233884522597</v>
      </c>
      <c r="T63" s="2399">
        <v>707</v>
      </c>
      <c r="U63" s="1796">
        <v>563</v>
      </c>
      <c r="V63" s="1788">
        <v>446</v>
      </c>
      <c r="W63" s="1797">
        <f>V63/U63</f>
        <v>0.79218472468916523</v>
      </c>
      <c r="X63" s="1798">
        <f>E63/U63</f>
        <v>994.34490230905851</v>
      </c>
      <c r="Y63" s="1799">
        <f>E63/V63</f>
        <v>1255.1932286995514</v>
      </c>
      <c r="Z63" s="1790">
        <f>V63*AB63</f>
        <v>413442</v>
      </c>
      <c r="AA63" s="1800">
        <f>Z63/E63</f>
        <v>0.73853170874768226</v>
      </c>
      <c r="AB63" s="1801">
        <v>927</v>
      </c>
    </row>
    <row r="64" spans="1:28">
      <c r="A64" s="593"/>
      <c r="B64" s="2327"/>
      <c r="C64" s="1783" t="s">
        <v>896</v>
      </c>
      <c r="D64" s="1783" t="s">
        <v>584</v>
      </c>
      <c r="E64" s="1784">
        <f>SUM(F64:G64)</f>
        <v>275153.5</v>
      </c>
      <c r="F64" s="229">
        <v>101804.5</v>
      </c>
      <c r="G64" s="1785">
        <v>173349</v>
      </c>
      <c r="H64" s="1826">
        <v>215226</v>
      </c>
      <c r="I64" s="1787">
        <f>E64/H64</f>
        <v>1.2784398725061099</v>
      </c>
      <c r="J64" s="1788">
        <v>7014</v>
      </c>
      <c r="K64" s="1789">
        <f>J64/H64</f>
        <v>3.2588999470324218E-2</v>
      </c>
      <c r="L64" s="1789">
        <f>M64/J64</f>
        <v>0.10136869118905047</v>
      </c>
      <c r="M64" s="1790">
        <v>711</v>
      </c>
      <c r="N64" s="1788">
        <v>559</v>
      </c>
      <c r="O64" s="1791">
        <f>N64/M64</f>
        <v>0.78621659634317864</v>
      </c>
      <c r="P64" s="1792">
        <f>E64/M64</f>
        <v>386.99507735583683</v>
      </c>
      <c r="Q64" s="1793">
        <f>E64/N64</f>
        <v>492.22450805008947</v>
      </c>
      <c r="R64" s="1790">
        <f>N64*T63</f>
        <v>395213</v>
      </c>
      <c r="S64" s="1794">
        <f>R64/E64</f>
        <v>1.4363364449298301</v>
      </c>
      <c r="T64" s="2399"/>
      <c r="U64" s="1796">
        <v>155</v>
      </c>
      <c r="V64" s="1788">
        <v>115</v>
      </c>
      <c r="W64" s="1797">
        <f>V64/U64</f>
        <v>0.74193548387096775</v>
      </c>
      <c r="X64" s="1798">
        <f>E64/U64</f>
        <v>1775.183870967742</v>
      </c>
      <c r="Y64" s="1799">
        <f>E64/V64</f>
        <v>2392.6391304347826</v>
      </c>
      <c r="Z64" s="1790">
        <f>V64*AB64</f>
        <v>20700</v>
      </c>
      <c r="AA64" s="1800">
        <f>Z64/E64</f>
        <v>7.5230734844368694E-2</v>
      </c>
      <c r="AB64" s="1801">
        <v>180</v>
      </c>
    </row>
    <row r="65" spans="1:28">
      <c r="A65" s="593"/>
      <c r="B65" s="2327"/>
      <c r="C65" s="2068" t="s">
        <v>145</v>
      </c>
      <c r="D65" s="2068"/>
      <c r="E65" s="2069">
        <f>SUM(F65:G65)</f>
        <v>834969.67999999993</v>
      </c>
      <c r="F65" s="2070">
        <f>SUM(F63:F64)</f>
        <v>316079.88</v>
      </c>
      <c r="G65" s="2071">
        <f>SUM(G63:G64)</f>
        <v>518889.8</v>
      </c>
      <c r="H65" s="429">
        <f>SUM(H63:H64)</f>
        <v>477146</v>
      </c>
      <c r="I65" s="430">
        <f>E65/H65</f>
        <v>1.7499249286381944</v>
      </c>
      <c r="J65" s="431">
        <f>SUM(J63:J64)</f>
        <v>24250</v>
      </c>
      <c r="K65" s="432">
        <f>J65/H65</f>
        <v>5.0823018531015667E-2</v>
      </c>
      <c r="L65" s="432">
        <f>M65/J65</f>
        <v>0.1002061855670103</v>
      </c>
      <c r="M65" s="431">
        <f>SUM(M63:M64)</f>
        <v>2430</v>
      </c>
      <c r="N65" s="431">
        <f>SUM(N63:N64)</f>
        <v>1912</v>
      </c>
      <c r="O65" s="1366">
        <f>N65/M65</f>
        <v>0.78683127572016465</v>
      </c>
      <c r="P65" s="475">
        <f>E65/M65</f>
        <v>343.60892181069954</v>
      </c>
      <c r="Q65" s="475">
        <f>E65/N65</f>
        <v>436.69962343096233</v>
      </c>
      <c r="R65" s="431" t="e">
        <f>N65*#REF!</f>
        <v>#REF!</v>
      </c>
      <c r="S65" s="434" t="e">
        <f>R65/E65</f>
        <v>#REF!</v>
      </c>
      <c r="T65" s="2072"/>
      <c r="U65" s="429">
        <f>SUM(U63:U64)</f>
        <v>718</v>
      </c>
      <c r="V65" s="431">
        <f>SUM(V63:V64)</f>
        <v>561</v>
      </c>
      <c r="W65" s="432">
        <f>V65/U65</f>
        <v>0.78133704735376042</v>
      </c>
      <c r="X65" s="477">
        <f>E65/U65</f>
        <v>1162.910417827298</v>
      </c>
      <c r="Y65" s="477">
        <f>E65/V65</f>
        <v>1488.3595008912655</v>
      </c>
      <c r="Z65" s="431">
        <f>V65*AB65</f>
        <v>396627</v>
      </c>
      <c r="AA65" s="2073">
        <f>Z65/E65</f>
        <v>0.47501964382706691</v>
      </c>
      <c r="AB65" s="2074">
        <f>T63</f>
        <v>707</v>
      </c>
    </row>
    <row r="66" spans="1:28">
      <c r="A66" s="593"/>
      <c r="B66" s="2328"/>
      <c r="C66" s="1802" t="s">
        <v>146</v>
      </c>
      <c r="D66" s="1802"/>
      <c r="E66" s="1803">
        <f>SUM(F65:G65)</f>
        <v>834969.67999999993</v>
      </c>
      <c r="F66" s="1804">
        <f>SUM(F63:F64)</f>
        <v>316079.88</v>
      </c>
      <c r="G66" s="1805">
        <f>SUM(G63:G64)</f>
        <v>518889.8</v>
      </c>
      <c r="H66" s="1806">
        <v>451367</v>
      </c>
      <c r="I66" s="1807">
        <f>E66/H66</f>
        <v>1.8498686877862138</v>
      </c>
      <c r="J66" s="1808">
        <v>21291</v>
      </c>
      <c r="K66" s="1809">
        <f>J66/H66</f>
        <v>4.7170041230307047E-2</v>
      </c>
      <c r="L66" s="1809">
        <f>M66/J66</f>
        <v>9.8821098116575079E-2</v>
      </c>
      <c r="M66" s="1808">
        <v>2104</v>
      </c>
      <c r="N66" s="1808">
        <v>1635</v>
      </c>
      <c r="O66" s="1809">
        <f>N66/M66</f>
        <v>0.77709125475285168</v>
      </c>
      <c r="P66" s="1810">
        <f>E66/M66</f>
        <v>396.84870722433459</v>
      </c>
      <c r="Q66" s="1810">
        <f>E66/N66</f>
        <v>510.68481957186538</v>
      </c>
      <c r="R66" s="1808">
        <f>N66*T63</f>
        <v>1155945</v>
      </c>
      <c r="S66" s="1811">
        <f>R66/E66</f>
        <v>1.3844155394959972</v>
      </c>
      <c r="T66" s="1808"/>
      <c r="U66" s="1806">
        <v>827</v>
      </c>
      <c r="V66" s="1808">
        <v>654</v>
      </c>
      <c r="W66" s="1812">
        <f>V66/U66</f>
        <v>0.79081015719467962</v>
      </c>
      <c r="X66" s="1813">
        <f>E66/U66</f>
        <v>1009.6368561064086</v>
      </c>
      <c r="Y66" s="1813">
        <f>E66/V66</f>
        <v>1276.7120489296635</v>
      </c>
      <c r="Z66" s="1808">
        <f>V66*AB66</f>
        <v>462378</v>
      </c>
      <c r="AA66" s="1814">
        <f>Z66/E66</f>
        <v>0.55376621579839891</v>
      </c>
      <c r="AB66" s="1815">
        <v>707</v>
      </c>
    </row>
    <row r="67" spans="1:28">
      <c r="A67" s="593"/>
      <c r="B67" s="593"/>
      <c r="C67" s="594"/>
      <c r="D67" s="594"/>
      <c r="E67" s="593"/>
      <c r="F67" s="593"/>
      <c r="G67" s="593"/>
      <c r="H67" s="593"/>
      <c r="I67" s="593"/>
      <c r="J67" s="593"/>
      <c r="K67" s="593"/>
      <c r="L67" s="593"/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593"/>
      <c r="Y67" s="593"/>
      <c r="Z67" s="593"/>
      <c r="AA67" s="593"/>
      <c r="AB67" s="593"/>
    </row>
    <row r="70" spans="1:28">
      <c r="B70" s="248" t="s">
        <v>586</v>
      </c>
    </row>
    <row r="71" spans="1:28">
      <c r="B71" s="2329" t="s">
        <v>32</v>
      </c>
      <c r="C71" s="2331" t="s">
        <v>31</v>
      </c>
      <c r="D71" s="2336" t="s">
        <v>30</v>
      </c>
      <c r="E71" s="2333" t="s">
        <v>102</v>
      </c>
      <c r="F71" s="2334"/>
      <c r="G71" s="2335"/>
      <c r="H71" s="2324" t="s">
        <v>28</v>
      </c>
      <c r="I71" s="2325"/>
      <c r="J71" s="2325"/>
      <c r="K71" s="2325"/>
      <c r="L71" s="2325"/>
      <c r="M71" s="2325"/>
      <c r="N71" s="2325"/>
      <c r="O71" s="2325"/>
      <c r="P71" s="2325"/>
      <c r="Q71" s="2325"/>
      <c r="R71" s="2325"/>
      <c r="S71" s="2325"/>
      <c r="T71" s="2326"/>
      <c r="U71" s="2324" t="s">
        <v>27</v>
      </c>
      <c r="V71" s="2325"/>
      <c r="W71" s="2325"/>
      <c r="X71" s="2325"/>
      <c r="Y71" s="2325"/>
      <c r="Z71" s="2325"/>
      <c r="AA71" s="2325"/>
      <c r="AB71" s="2326"/>
    </row>
    <row r="72" spans="1:28" ht="49.5">
      <c r="B72" s="2330"/>
      <c r="C72" s="2332"/>
      <c r="D72" s="2337"/>
      <c r="E72" s="1773" t="s">
        <v>26</v>
      </c>
      <c r="F72" s="1774" t="s">
        <v>138</v>
      </c>
      <c r="G72" s="1775" t="s">
        <v>24</v>
      </c>
      <c r="H72" s="1776" t="s">
        <v>23</v>
      </c>
      <c r="I72" s="1777" t="s">
        <v>22</v>
      </c>
      <c r="J72" s="1774" t="s">
        <v>21</v>
      </c>
      <c r="K72" s="1777" t="s">
        <v>20</v>
      </c>
      <c r="L72" s="1777" t="s">
        <v>19</v>
      </c>
      <c r="M72" s="1776" t="s">
        <v>18</v>
      </c>
      <c r="N72" s="1777" t="s">
        <v>17</v>
      </c>
      <c r="O72" s="1777" t="s">
        <v>16</v>
      </c>
      <c r="P72" s="1778" t="s">
        <v>15</v>
      </c>
      <c r="Q72" s="1777" t="s">
        <v>14</v>
      </c>
      <c r="R72" s="1777" t="s">
        <v>13</v>
      </c>
      <c r="S72" s="1777" t="s">
        <v>12</v>
      </c>
      <c r="T72" s="1847" t="s">
        <v>11</v>
      </c>
      <c r="U72" s="1848" t="s">
        <v>10</v>
      </c>
      <c r="V72" s="1778" t="s">
        <v>9</v>
      </c>
      <c r="W72" s="1781" t="s">
        <v>8</v>
      </c>
      <c r="X72" s="1781" t="s">
        <v>7</v>
      </c>
      <c r="Y72" s="1781" t="s">
        <v>6</v>
      </c>
      <c r="Z72" s="1781" t="s">
        <v>5</v>
      </c>
      <c r="AA72" s="1781" t="s">
        <v>4</v>
      </c>
      <c r="AB72" s="1782" t="s">
        <v>3</v>
      </c>
    </row>
    <row r="73" spans="1:28">
      <c r="B73" s="2327" t="s">
        <v>586</v>
      </c>
      <c r="C73" s="1783" t="s">
        <v>895</v>
      </c>
      <c r="D73" s="1783" t="s">
        <v>584</v>
      </c>
      <c r="E73" s="1784">
        <f>SUM(F73:G73)</f>
        <v>369878.75</v>
      </c>
      <c r="F73" s="229">
        <v>26097.949999999997</v>
      </c>
      <c r="G73" s="1785">
        <v>343780.8</v>
      </c>
      <c r="H73" s="1826">
        <v>108547</v>
      </c>
      <c r="I73" s="1787">
        <f>E73/H73</f>
        <v>3.4075446580743827</v>
      </c>
      <c r="J73" s="1788">
        <v>5499</v>
      </c>
      <c r="K73" s="1789">
        <f>J73/H73</f>
        <v>5.0660082729140375E-2</v>
      </c>
      <c r="L73" s="1789">
        <f>M73/J73</f>
        <v>9.4926350245499183E-2</v>
      </c>
      <c r="M73" s="1790">
        <v>522</v>
      </c>
      <c r="N73" s="1788">
        <v>374</v>
      </c>
      <c r="O73" s="1791">
        <f>N73/M73</f>
        <v>0.71647509578544066</v>
      </c>
      <c r="P73" s="1792">
        <f>E73/M73</f>
        <v>708.57998084291182</v>
      </c>
      <c r="Q73" s="1793">
        <f>E73/N73</f>
        <v>988.98061497326205</v>
      </c>
      <c r="R73" s="1790">
        <f>N73*T73</f>
        <v>264418</v>
      </c>
      <c r="S73" s="1794">
        <f>R73/E73</f>
        <v>0.71487751053554716</v>
      </c>
      <c r="T73" s="2399">
        <v>707</v>
      </c>
      <c r="U73" s="1796">
        <v>179</v>
      </c>
      <c r="V73" s="1788">
        <v>158</v>
      </c>
      <c r="W73" s="1797">
        <f>V73/U73</f>
        <v>0.88268156424581001</v>
      </c>
      <c r="X73" s="1798">
        <f>E73/U73</f>
        <v>2066.3617318435754</v>
      </c>
      <c r="Y73" s="1799">
        <f>E73/V73</f>
        <v>2341.0047468354433</v>
      </c>
      <c r="Z73" s="1790">
        <f>V73*AB73</f>
        <v>146466</v>
      </c>
      <c r="AA73" s="1800">
        <f>Z73/E73</f>
        <v>0.39598381902177404</v>
      </c>
      <c r="AB73" s="1801">
        <v>927</v>
      </c>
    </row>
    <row r="74" spans="1:28">
      <c r="B74" s="2327"/>
      <c r="C74" s="1783" t="s">
        <v>896</v>
      </c>
      <c r="D74" s="1783" t="s">
        <v>584</v>
      </c>
      <c r="E74" s="1784">
        <f>SUM(F74:G74)</f>
        <v>188245.71</v>
      </c>
      <c r="F74" s="229">
        <v>14896.71</v>
      </c>
      <c r="G74" s="1785">
        <v>173349</v>
      </c>
      <c r="H74" s="1826">
        <v>52621</v>
      </c>
      <c r="I74" s="1787">
        <f>E74/H74</f>
        <v>3.5773875448965242</v>
      </c>
      <c r="J74" s="1788">
        <v>1962</v>
      </c>
      <c r="K74" s="1789">
        <f>J74/H74</f>
        <v>3.7285494384371259E-2</v>
      </c>
      <c r="L74" s="1789">
        <f>M74/J74</f>
        <v>0.12130479102956167</v>
      </c>
      <c r="M74" s="1790">
        <v>238</v>
      </c>
      <c r="N74" s="1788">
        <v>191</v>
      </c>
      <c r="O74" s="1791">
        <f>N74/M74</f>
        <v>0.80252100840336138</v>
      </c>
      <c r="P74" s="1792">
        <f>E74/M74</f>
        <v>790.94836134453783</v>
      </c>
      <c r="Q74" s="1793">
        <f>E74/N74</f>
        <v>985.57963350785337</v>
      </c>
      <c r="R74" s="1790">
        <f>N74*T73</f>
        <v>135037</v>
      </c>
      <c r="S74" s="1794">
        <f>R74/E74</f>
        <v>0.71734436869769835</v>
      </c>
      <c r="T74" s="2399"/>
      <c r="U74" s="1796" t="s">
        <v>167</v>
      </c>
      <c r="V74" s="1788" t="s">
        <v>630</v>
      </c>
      <c r="W74" s="1797" t="e">
        <f>V74/U74</f>
        <v>#VALUE!</v>
      </c>
      <c r="X74" s="1798" t="e">
        <f>E74/U74</f>
        <v>#VALUE!</v>
      </c>
      <c r="Y74" s="1799" t="e">
        <f>E74/V74</f>
        <v>#VALUE!</v>
      </c>
      <c r="Z74" s="1790" t="e">
        <f>V74*AB74</f>
        <v>#VALUE!</v>
      </c>
      <c r="AA74" s="1800" t="e">
        <f>Z74/E74</f>
        <v>#VALUE!</v>
      </c>
      <c r="AB74" s="1801">
        <v>180</v>
      </c>
    </row>
    <row r="75" spans="1:28" s="1850" customFormat="1">
      <c r="A75" s="593"/>
      <c r="B75" s="2327"/>
      <c r="C75" s="2068" t="s">
        <v>145</v>
      </c>
      <c r="D75" s="2068"/>
      <c r="E75" s="2069">
        <f>SUM(F75:G75)</f>
        <v>558124.46</v>
      </c>
      <c r="F75" s="2070">
        <f>SUM(F73:F74)</f>
        <v>40994.659999999996</v>
      </c>
      <c r="G75" s="2071">
        <f>SUM(G73:G74)</f>
        <v>517129.8</v>
      </c>
      <c r="H75" s="2075">
        <f>SUM(H73:H74)</f>
        <v>161168</v>
      </c>
      <c r="I75" s="2076">
        <f>E75/H75</f>
        <v>3.4629979896753698</v>
      </c>
      <c r="J75" s="2077">
        <f>SUM(J73:J74)</f>
        <v>7461</v>
      </c>
      <c r="K75" s="2078">
        <f>J75/H75</f>
        <v>4.6293308845428371E-2</v>
      </c>
      <c r="L75" s="2078">
        <f>M75/J75</f>
        <v>0.10186302104275566</v>
      </c>
      <c r="M75" s="2077">
        <f>SUM(M73:M74)</f>
        <v>760</v>
      </c>
      <c r="N75" s="2077">
        <f>SUM(N73:N74)</f>
        <v>565</v>
      </c>
      <c r="O75" s="2078">
        <f>N75/M75</f>
        <v>0.74342105263157898</v>
      </c>
      <c r="P75" s="2079">
        <f>E75/M75</f>
        <v>734.37428947368414</v>
      </c>
      <c r="Q75" s="2079">
        <f>E75/N75</f>
        <v>987.83090265486715</v>
      </c>
      <c r="R75" s="2077">
        <f>N75*T73</f>
        <v>399455</v>
      </c>
      <c r="S75" s="2080">
        <f>R75/E75</f>
        <v>0.71570953905155854</v>
      </c>
      <c r="T75" s="2072"/>
      <c r="U75" s="2081">
        <f>SUM(U73:U73)</f>
        <v>179</v>
      </c>
      <c r="V75" s="2077">
        <f>SUM(V73:V73)</f>
        <v>158</v>
      </c>
      <c r="W75" s="2082">
        <f>V75/U75</f>
        <v>0.88268156424581001</v>
      </c>
      <c r="X75" s="2083">
        <f>E75/U75</f>
        <v>3118.0137430167597</v>
      </c>
      <c r="Y75" s="2083">
        <f>E75/V75</f>
        <v>3532.4332911392403</v>
      </c>
      <c r="Z75" s="2077">
        <f>V75*AB75</f>
        <v>111706</v>
      </c>
      <c r="AA75" s="2084">
        <f>Z75/E75</f>
        <v>0.2001453224250376</v>
      </c>
      <c r="AB75" s="2074">
        <f>T73</f>
        <v>707</v>
      </c>
    </row>
    <row r="76" spans="1:28" s="1850" customFormat="1">
      <c r="A76" s="593"/>
      <c r="B76" s="2328"/>
      <c r="C76" s="1802" t="s">
        <v>146</v>
      </c>
      <c r="D76" s="1802"/>
      <c r="E76" s="1803">
        <f>SUM(F75:G75)</f>
        <v>558124.46</v>
      </c>
      <c r="F76" s="1804">
        <f>SUM(F73:F74)</f>
        <v>40994.659999999996</v>
      </c>
      <c r="G76" s="1805">
        <f>SUM(G73:G74)</f>
        <v>517129.8</v>
      </c>
      <c r="H76" s="1806">
        <v>154534</v>
      </c>
      <c r="I76" s="1807">
        <f>E76/H76</f>
        <v>3.6116612525398937</v>
      </c>
      <c r="J76" s="1808">
        <v>6806</v>
      </c>
      <c r="K76" s="1809">
        <f>J76/H76</f>
        <v>4.4042087825332935E-2</v>
      </c>
      <c r="L76" s="1809">
        <f>M76/J76</f>
        <v>0.10167499265354099</v>
      </c>
      <c r="M76" s="1808">
        <v>692</v>
      </c>
      <c r="N76" s="1808">
        <v>507</v>
      </c>
      <c r="O76" s="1809">
        <f>N76/M76</f>
        <v>0.73265895953757221</v>
      </c>
      <c r="P76" s="1810">
        <f>E76/M76</f>
        <v>806.53823699421957</v>
      </c>
      <c r="Q76" s="1810">
        <f>E76/N76</f>
        <v>1100.8371992110453</v>
      </c>
      <c r="R76" s="1808">
        <f>N76*T73</f>
        <v>358449</v>
      </c>
      <c r="S76" s="1811">
        <f>R76/E76</f>
        <v>0.64223847132591183</v>
      </c>
      <c r="T76" s="1808"/>
      <c r="U76" s="1806">
        <v>285</v>
      </c>
      <c r="V76" s="1808">
        <v>208</v>
      </c>
      <c r="W76" s="1812">
        <f>V76/U76</f>
        <v>0.72982456140350882</v>
      </c>
      <c r="X76" s="1813">
        <f>E76/U76</f>
        <v>1958.3314385964911</v>
      </c>
      <c r="Y76" s="1813">
        <f>E76/V76</f>
        <v>2683.2906730769228</v>
      </c>
      <c r="Z76" s="1808">
        <f>V76*AB76</f>
        <v>147056</v>
      </c>
      <c r="AA76" s="1814">
        <f>Z76/E76</f>
        <v>0.26348244977473306</v>
      </c>
      <c r="AB76" s="1815">
        <v>707</v>
      </c>
    </row>
    <row r="77" spans="1:28" s="1850" customFormat="1" ht="16.5" customHeight="1">
      <c r="A77" s="593"/>
      <c r="B77" s="1849"/>
      <c r="C77" s="1849"/>
      <c r="D77" s="1849"/>
      <c r="E77" s="1849"/>
      <c r="F77" s="1849"/>
      <c r="G77" s="2085" t="s">
        <v>723</v>
      </c>
      <c r="H77" s="1849"/>
      <c r="I77" s="1849"/>
      <c r="J77" s="1849"/>
      <c r="K77" s="1849"/>
      <c r="L77" s="1849"/>
      <c r="M77" s="1849"/>
      <c r="N77" s="1849"/>
      <c r="O77" s="1849"/>
      <c r="P77" s="1849"/>
      <c r="Q77" s="1849"/>
      <c r="R77" s="1849"/>
      <c r="S77" s="1849"/>
      <c r="T77" s="1849"/>
      <c r="U77" s="1849"/>
      <c r="V77" s="1849"/>
      <c r="W77" s="1849"/>
      <c r="X77" s="1849"/>
      <c r="Y77" s="1849"/>
      <c r="Z77" s="1849"/>
      <c r="AA77" s="1849"/>
      <c r="AB77" s="1849"/>
    </row>
    <row r="79" spans="1:28">
      <c r="B79" s="248" t="s">
        <v>587</v>
      </c>
    </row>
    <row r="80" spans="1:28">
      <c r="B80" s="2329" t="s">
        <v>32</v>
      </c>
      <c r="C80" s="2331" t="s">
        <v>31</v>
      </c>
      <c r="D80" s="2336" t="s">
        <v>30</v>
      </c>
      <c r="E80" s="2333" t="s">
        <v>29</v>
      </c>
      <c r="F80" s="2334"/>
      <c r="G80" s="2335"/>
      <c r="H80" s="2324" t="s">
        <v>28</v>
      </c>
      <c r="I80" s="2325"/>
      <c r="J80" s="2325"/>
      <c r="K80" s="2325"/>
      <c r="L80" s="2325"/>
      <c r="M80" s="2325"/>
      <c r="N80" s="2325"/>
      <c r="O80" s="2325"/>
      <c r="P80" s="2325"/>
      <c r="Q80" s="2325"/>
      <c r="R80" s="2325"/>
      <c r="S80" s="2325"/>
      <c r="T80" s="2326"/>
      <c r="U80" s="2324" t="s">
        <v>27</v>
      </c>
      <c r="V80" s="2325"/>
      <c r="W80" s="2325"/>
      <c r="X80" s="2325"/>
      <c r="Y80" s="2325"/>
      <c r="Z80" s="2325"/>
      <c r="AA80" s="2325"/>
      <c r="AB80" s="2326"/>
    </row>
    <row r="81" spans="2:28" ht="49.5">
      <c r="B81" s="2330"/>
      <c r="C81" s="2332"/>
      <c r="D81" s="2337"/>
      <c r="E81" s="1773" t="s">
        <v>26</v>
      </c>
      <c r="F81" s="1774" t="s">
        <v>138</v>
      </c>
      <c r="G81" s="1775" t="s">
        <v>24</v>
      </c>
      <c r="H81" s="1776" t="s">
        <v>23</v>
      </c>
      <c r="I81" s="1777" t="s">
        <v>22</v>
      </c>
      <c r="J81" s="1774" t="s">
        <v>21</v>
      </c>
      <c r="K81" s="1777" t="s">
        <v>20</v>
      </c>
      <c r="L81" s="1777" t="s">
        <v>19</v>
      </c>
      <c r="M81" s="1776" t="s">
        <v>18</v>
      </c>
      <c r="N81" s="1777" t="s">
        <v>17</v>
      </c>
      <c r="O81" s="1777" t="s">
        <v>16</v>
      </c>
      <c r="P81" s="1778" t="s">
        <v>15</v>
      </c>
      <c r="Q81" s="1777" t="s">
        <v>14</v>
      </c>
      <c r="R81" s="1777" t="s">
        <v>13</v>
      </c>
      <c r="S81" s="1777" t="s">
        <v>12</v>
      </c>
      <c r="T81" s="1847" t="s">
        <v>11</v>
      </c>
      <c r="U81" s="1848" t="s">
        <v>10</v>
      </c>
      <c r="V81" s="1778" t="s">
        <v>9</v>
      </c>
      <c r="W81" s="1781" t="s">
        <v>8</v>
      </c>
      <c r="X81" s="1781" t="s">
        <v>7</v>
      </c>
      <c r="Y81" s="1781" t="s">
        <v>6</v>
      </c>
      <c r="Z81" s="1781" t="s">
        <v>5</v>
      </c>
      <c r="AA81" s="1781" t="s">
        <v>4</v>
      </c>
      <c r="AB81" s="1782" t="s">
        <v>3</v>
      </c>
    </row>
    <row r="82" spans="2:28">
      <c r="B82" s="2327" t="s">
        <v>587</v>
      </c>
      <c r="C82" s="1783" t="s">
        <v>897</v>
      </c>
      <c r="D82" s="1783" t="s">
        <v>584</v>
      </c>
      <c r="E82" s="1784">
        <f>SUM(F82:G82)</f>
        <v>90</v>
      </c>
      <c r="F82" s="229">
        <v>90</v>
      </c>
      <c r="G82" s="1785" t="s">
        <v>724</v>
      </c>
      <c r="H82" s="1826">
        <v>362</v>
      </c>
      <c r="I82" s="1787">
        <f>E82/H82</f>
        <v>0.24861878453038674</v>
      </c>
      <c r="J82" s="2086" t="s">
        <v>630</v>
      </c>
      <c r="K82" s="1789" t="e">
        <f>J82/H82</f>
        <v>#VALUE!</v>
      </c>
      <c r="L82" s="1789" t="e">
        <f>M82/J82</f>
        <v>#VALUE!</v>
      </c>
      <c r="M82" s="1790" t="s">
        <v>630</v>
      </c>
      <c r="N82" s="1788" t="s">
        <v>630</v>
      </c>
      <c r="O82" s="1791" t="e">
        <f>N82/M82</f>
        <v>#VALUE!</v>
      </c>
      <c r="P82" s="1792" t="e">
        <f>E82/M82</f>
        <v>#VALUE!</v>
      </c>
      <c r="Q82" s="1793" t="e">
        <f>E82/N82</f>
        <v>#VALUE!</v>
      </c>
      <c r="R82" s="1790" t="e">
        <f>N82*T82</f>
        <v>#VALUE!</v>
      </c>
      <c r="S82" s="1794" t="e">
        <f>R82/E82</f>
        <v>#VALUE!</v>
      </c>
      <c r="T82" s="1795"/>
      <c r="U82" s="1796" t="s">
        <v>630</v>
      </c>
      <c r="V82" s="1788" t="s">
        <v>630</v>
      </c>
      <c r="W82" s="1797" t="e">
        <f>V82/U82</f>
        <v>#VALUE!</v>
      </c>
      <c r="X82" s="1798" t="e">
        <f>E82/U82</f>
        <v>#VALUE!</v>
      </c>
      <c r="Y82" s="1799" t="e">
        <f>E82/V82</f>
        <v>#VALUE!</v>
      </c>
      <c r="Z82" s="1790" t="e">
        <f>V82*AB82</f>
        <v>#VALUE!</v>
      </c>
      <c r="AA82" s="1800" t="e">
        <f>Z82/E82</f>
        <v>#VALUE!</v>
      </c>
      <c r="AB82" s="1801">
        <v>180</v>
      </c>
    </row>
    <row r="83" spans="2:28">
      <c r="B83" s="2328"/>
      <c r="C83" s="1802" t="s">
        <v>565</v>
      </c>
      <c r="D83" s="1802"/>
      <c r="E83" s="1803">
        <f>SUM(F83:G83)</f>
        <v>90</v>
      </c>
      <c r="F83" s="1804">
        <f>SUM(F82:F82)</f>
        <v>90</v>
      </c>
      <c r="G83" s="1805">
        <f>SUM(G82:G82)</f>
        <v>0</v>
      </c>
      <c r="H83" s="1806">
        <f>SUM(H82:H82)</f>
        <v>362</v>
      </c>
      <c r="I83" s="1807">
        <f>E83/H83</f>
        <v>0.24861878453038674</v>
      </c>
      <c r="J83" s="1808">
        <f>SUM(J82:J82)</f>
        <v>0</v>
      </c>
      <c r="K83" s="1809">
        <f>J83/H83</f>
        <v>0</v>
      </c>
      <c r="L83" s="1809" t="e">
        <f>M83/J83</f>
        <v>#DIV/0!</v>
      </c>
      <c r="M83" s="1808">
        <f>SUM(M82:M82)</f>
        <v>0</v>
      </c>
      <c r="N83" s="1808">
        <f>SUM(N82:N82)</f>
        <v>0</v>
      </c>
      <c r="O83" s="1809" t="e">
        <f>N83/M83</f>
        <v>#DIV/0!</v>
      </c>
      <c r="P83" s="1810" t="e">
        <f>E83/M83</f>
        <v>#DIV/0!</v>
      </c>
      <c r="Q83" s="1810" t="e">
        <f>E83/N83</f>
        <v>#DIV/0!</v>
      </c>
      <c r="R83" s="1808">
        <f>N83*T82</f>
        <v>0</v>
      </c>
      <c r="S83" s="1811">
        <f>R83/E83</f>
        <v>0</v>
      </c>
      <c r="T83" s="1808"/>
      <c r="U83" s="1806">
        <f>SUM(U82:U82)</f>
        <v>0</v>
      </c>
      <c r="V83" s="1808">
        <f>SUM(V82:V82)</f>
        <v>0</v>
      </c>
      <c r="W83" s="1812" t="e">
        <f>V83/U83</f>
        <v>#DIV/0!</v>
      </c>
      <c r="X83" s="1813" t="e">
        <f>E83/U83</f>
        <v>#DIV/0!</v>
      </c>
      <c r="Y83" s="1813" t="e">
        <f>E83/V83</f>
        <v>#DIV/0!</v>
      </c>
      <c r="Z83" s="1808">
        <f>V83*AB83</f>
        <v>0</v>
      </c>
      <c r="AA83" s="1814">
        <f>Z83/E83</f>
        <v>0</v>
      </c>
      <c r="AB83" s="1815">
        <f>T82</f>
        <v>0</v>
      </c>
    </row>
  </sheetData>
  <mergeCells count="53">
    <mergeCell ref="H13:J13"/>
    <mergeCell ref="K13:W13"/>
    <mergeCell ref="X13:AE13"/>
    <mergeCell ref="B15:B16"/>
    <mergeCell ref="B21:B22"/>
    <mergeCell ref="C21:C22"/>
    <mergeCell ref="D21:D22"/>
    <mergeCell ref="E21:G21"/>
    <mergeCell ref="H21:T21"/>
    <mergeCell ref="B13:B14"/>
    <mergeCell ref="C13:C14"/>
    <mergeCell ref="D13:D14"/>
    <mergeCell ref="E13:E14"/>
    <mergeCell ref="F13:F14"/>
    <mergeCell ref="G13:G14"/>
    <mergeCell ref="B41:B42"/>
    <mergeCell ref="C41:C42"/>
    <mergeCell ref="D41:D42"/>
    <mergeCell ref="E41:G41"/>
    <mergeCell ref="H41:T41"/>
    <mergeCell ref="B31:B32"/>
    <mergeCell ref="C31:C32"/>
    <mergeCell ref="D31:D32"/>
    <mergeCell ref="E31:G31"/>
    <mergeCell ref="H31:T31"/>
    <mergeCell ref="B52:B53"/>
    <mergeCell ref="C52:C53"/>
    <mergeCell ref="D52:D53"/>
    <mergeCell ref="E52:G52"/>
    <mergeCell ref="H52:T52"/>
    <mergeCell ref="U61:AB61"/>
    <mergeCell ref="B63:B66"/>
    <mergeCell ref="T63:T64"/>
    <mergeCell ref="B71:B72"/>
    <mergeCell ref="C71:C72"/>
    <mergeCell ref="D71:D72"/>
    <mergeCell ref="E71:G71"/>
    <mergeCell ref="H71:T71"/>
    <mergeCell ref="U71:AB71"/>
    <mergeCell ref="B61:B62"/>
    <mergeCell ref="C61:C62"/>
    <mergeCell ref="D61:D62"/>
    <mergeCell ref="E61:G61"/>
    <mergeCell ref="H61:T61"/>
    <mergeCell ref="U80:AB80"/>
    <mergeCell ref="B82:B83"/>
    <mergeCell ref="B73:B76"/>
    <mergeCell ref="T73:T74"/>
    <mergeCell ref="B80:B81"/>
    <mergeCell ref="C80:C81"/>
    <mergeCell ref="D80:D81"/>
    <mergeCell ref="E80:G80"/>
    <mergeCell ref="H80:T80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DA-4EA2-5F47-AD0C-673218EF7F25}">
  <dimension ref="A2:AE179"/>
  <sheetViews>
    <sheetView showGridLines="0" workbookViewId="0">
      <selection activeCell="E21" sqref="E21"/>
    </sheetView>
  </sheetViews>
  <sheetFormatPr defaultColWidth="8" defaultRowHeight="14"/>
  <cols>
    <col min="1" max="1" width="5.33203125" customWidth="1"/>
    <col min="2" max="2" width="24.33203125" customWidth="1"/>
    <col min="3" max="3" width="30.75" bestFit="1" customWidth="1"/>
    <col min="4" max="4" width="24.33203125" bestFit="1" customWidth="1"/>
    <col min="5" max="5" width="15.75" customWidth="1"/>
    <col min="6" max="6" width="16.6640625" customWidth="1"/>
    <col min="7" max="8" width="21.6640625" bestFit="1" customWidth="1"/>
    <col min="9" max="19" width="12.33203125" customWidth="1"/>
    <col min="20" max="20" width="14.4140625" bestFit="1" customWidth="1"/>
    <col min="21" max="28" width="12.33203125" customWidth="1"/>
    <col min="29" max="29" width="14.08203125" bestFit="1" customWidth="1"/>
    <col min="31" max="31" width="11.08203125" bestFit="1" customWidth="1"/>
  </cols>
  <sheetData>
    <row r="2" spans="1:31" ht="14.5">
      <c r="B2" s="840" t="s">
        <v>236</v>
      </c>
    </row>
    <row r="3" spans="1:31" ht="14.5">
      <c r="B3" s="840" t="s">
        <v>182</v>
      </c>
    </row>
    <row r="4" spans="1:31" ht="14.5">
      <c r="B4" s="849" t="s">
        <v>237</v>
      </c>
    </row>
    <row r="5" spans="1:31" ht="14.5">
      <c r="B5" s="849" t="s">
        <v>183</v>
      </c>
    </row>
    <row r="7" spans="1:31" s="1750" customFormat="1" ht="22.5">
      <c r="B7" s="2041" t="s">
        <v>898</v>
      </c>
      <c r="C7" s="1748"/>
      <c r="D7" s="1748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</row>
    <row r="8" spans="1:31" ht="16.5">
      <c r="A8" s="2046"/>
      <c r="B8" s="2046" t="s">
        <v>95</v>
      </c>
      <c r="C8" s="1768" t="s">
        <v>704</v>
      </c>
      <c r="D8" s="2047"/>
      <c r="E8" s="2046"/>
      <c r="F8" s="2046"/>
      <c r="G8" s="2046"/>
      <c r="H8" s="342"/>
      <c r="I8" s="2046"/>
      <c r="J8" s="2046"/>
      <c r="K8" s="2046"/>
      <c r="L8" s="2046"/>
      <c r="M8" s="2046"/>
      <c r="N8" s="2046"/>
      <c r="O8" s="2046"/>
      <c r="P8" s="2046"/>
      <c r="Q8" s="2046"/>
      <c r="R8" s="2046"/>
      <c r="S8" s="2046"/>
      <c r="T8" s="2046"/>
      <c r="U8" s="2046"/>
      <c r="V8" s="2046"/>
      <c r="W8" s="2046"/>
      <c r="X8" s="2046"/>
      <c r="Y8" s="2046"/>
      <c r="Z8" s="2046"/>
      <c r="AA8" s="2046"/>
      <c r="AB8" s="2046"/>
    </row>
    <row r="9" spans="1:31" ht="16.5">
      <c r="A9" s="2046"/>
      <c r="B9" s="2046" t="s">
        <v>96</v>
      </c>
      <c r="C9" s="1768" t="s">
        <v>705</v>
      </c>
      <c r="D9" s="2047"/>
      <c r="E9" s="2046"/>
      <c r="F9" s="2046"/>
      <c r="G9" s="2046"/>
      <c r="H9" s="342"/>
      <c r="I9" s="2046"/>
      <c r="J9" s="2046"/>
      <c r="K9" s="2046"/>
      <c r="L9" s="2046"/>
      <c r="M9" s="2046"/>
      <c r="N9" s="2046"/>
      <c r="O9" s="2046"/>
      <c r="P9" s="2046"/>
      <c r="Q9" s="2046"/>
      <c r="R9" s="2046"/>
      <c r="S9" s="2046"/>
      <c r="T9" s="2046"/>
      <c r="U9" s="2046"/>
      <c r="V9" s="2046"/>
      <c r="W9" s="2046"/>
      <c r="X9" s="2046"/>
      <c r="Y9" s="2046"/>
      <c r="Z9" s="2046"/>
      <c r="AA9" s="2046"/>
      <c r="AB9" s="2046"/>
    </row>
    <row r="10" spans="1:31" ht="16.5">
      <c r="A10" s="342"/>
      <c r="B10" s="342" t="s">
        <v>97</v>
      </c>
      <c r="C10" s="344" t="s">
        <v>98</v>
      </c>
      <c r="D10" s="344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</row>
    <row r="11" spans="1:31" ht="16.5">
      <c r="A11" s="342"/>
      <c r="B11" s="2048"/>
      <c r="C11" s="343"/>
      <c r="D11" s="343"/>
      <c r="E11" s="343"/>
      <c r="F11" s="343"/>
      <c r="G11" s="343"/>
      <c r="H11" s="342"/>
      <c r="K11" s="342"/>
      <c r="L11" s="342"/>
      <c r="N11" s="342"/>
      <c r="O11" s="342"/>
      <c r="P11" s="342"/>
      <c r="Q11" s="342"/>
      <c r="R11" s="342"/>
      <c r="S11" s="342"/>
      <c r="T11" s="342"/>
      <c r="U11" s="347"/>
      <c r="V11" s="342"/>
      <c r="W11" s="342"/>
      <c r="X11" s="342"/>
      <c r="Y11" s="342"/>
      <c r="Z11" s="342"/>
      <c r="AA11" s="342"/>
      <c r="AB11" s="342"/>
    </row>
    <row r="12" spans="1:31" s="348" customFormat="1" ht="50" customHeight="1">
      <c r="B12" s="2371" t="s">
        <v>99</v>
      </c>
      <c r="C12" s="2372" t="s">
        <v>100</v>
      </c>
      <c r="D12" s="2299" t="s">
        <v>437</v>
      </c>
      <c r="E12" s="2299" t="s">
        <v>439</v>
      </c>
      <c r="F12" s="2299" t="s">
        <v>441</v>
      </c>
      <c r="G12" s="2374" t="s">
        <v>101</v>
      </c>
      <c r="H12" s="2409" t="s">
        <v>102</v>
      </c>
      <c r="I12" s="2409"/>
      <c r="J12" s="2410"/>
      <c r="K12" s="2346" t="s">
        <v>103</v>
      </c>
      <c r="L12" s="2347"/>
      <c r="M12" s="2347"/>
      <c r="N12" s="2347"/>
      <c r="O12" s="2347"/>
      <c r="P12" s="2347"/>
      <c r="Q12" s="2347"/>
      <c r="R12" s="2347"/>
      <c r="S12" s="2347"/>
      <c r="T12" s="2347"/>
      <c r="U12" s="2347"/>
      <c r="V12" s="2347"/>
      <c r="W12" s="2348"/>
      <c r="X12" s="2349" t="s">
        <v>27</v>
      </c>
      <c r="Y12" s="2350"/>
      <c r="Z12" s="2350"/>
      <c r="AA12" s="2350"/>
      <c r="AB12" s="2350"/>
      <c r="AC12" s="2350"/>
      <c r="AD12" s="2350"/>
      <c r="AE12" s="2351"/>
    </row>
    <row r="13" spans="1:31" s="349" customFormat="1" ht="66">
      <c r="B13" s="2401"/>
      <c r="C13" s="2373"/>
      <c r="D13" s="2301"/>
      <c r="E13" s="2301"/>
      <c r="F13" s="2301"/>
      <c r="G13" s="2411"/>
      <c r="H13" s="350" t="s">
        <v>104</v>
      </c>
      <c r="I13" s="351" t="s">
        <v>105</v>
      </c>
      <c r="J13" s="352" t="s">
        <v>106</v>
      </c>
      <c r="K13" s="353" t="s">
        <v>107</v>
      </c>
      <c r="L13" s="354" t="s">
        <v>108</v>
      </c>
      <c r="M13" s="351" t="s">
        <v>109</v>
      </c>
      <c r="N13" s="354" t="s">
        <v>110</v>
      </c>
      <c r="O13" s="354" t="s">
        <v>111</v>
      </c>
      <c r="P13" s="355" t="s">
        <v>112</v>
      </c>
      <c r="Q13" s="354" t="s">
        <v>113</v>
      </c>
      <c r="R13" s="356" t="s">
        <v>114</v>
      </c>
      <c r="S13" s="357" t="s">
        <v>115</v>
      </c>
      <c r="T13" s="354" t="s">
        <v>14</v>
      </c>
      <c r="U13" s="354" t="s">
        <v>13</v>
      </c>
      <c r="V13" s="354" t="s">
        <v>12</v>
      </c>
      <c r="W13" s="358" t="s">
        <v>11</v>
      </c>
      <c r="X13" s="359" t="s">
        <v>10</v>
      </c>
      <c r="Y13" s="357" t="s">
        <v>9</v>
      </c>
      <c r="Z13" s="360" t="s">
        <v>8</v>
      </c>
      <c r="AA13" s="360" t="s">
        <v>7</v>
      </c>
      <c r="AB13" s="360" t="s">
        <v>6</v>
      </c>
      <c r="AC13" s="360" t="s">
        <v>5</v>
      </c>
      <c r="AD13" s="360" t="s">
        <v>4</v>
      </c>
      <c r="AE13" s="361" t="s">
        <v>3</v>
      </c>
    </row>
    <row r="14" spans="1:31" s="349" customFormat="1" ht="16.5">
      <c r="B14" s="2407" t="s">
        <v>706</v>
      </c>
      <c r="C14" s="362" t="s">
        <v>899</v>
      </c>
      <c r="D14" s="169" t="s">
        <v>701</v>
      </c>
      <c r="E14" s="169" t="s">
        <v>701</v>
      </c>
      <c r="F14" s="169" t="s">
        <v>707</v>
      </c>
      <c r="G14" s="1346" t="s">
        <v>706</v>
      </c>
      <c r="H14" s="363">
        <f>I14+J14</f>
        <v>3612584.84</v>
      </c>
      <c r="I14" s="364">
        <v>1916490.84</v>
      </c>
      <c r="J14" s="365">
        <v>1696094</v>
      </c>
      <c r="K14" s="366">
        <v>5450223</v>
      </c>
      <c r="L14" s="367">
        <f>H14/K14</f>
        <v>0.66283248226723934</v>
      </c>
      <c r="M14" s="368">
        <v>328531</v>
      </c>
      <c r="N14" s="369">
        <f>M14/K14</f>
        <v>6.0278450991821803E-2</v>
      </c>
      <c r="O14" s="370">
        <f>P14/M14</f>
        <v>3.5981383796354072E-2</v>
      </c>
      <c r="P14" s="371">
        <v>11821</v>
      </c>
      <c r="Q14" s="372">
        <v>9685</v>
      </c>
      <c r="R14" s="373">
        <f>Q14/P14</f>
        <v>0.81930462735809151</v>
      </c>
      <c r="S14" s="364">
        <f>H14/P14</f>
        <v>305.60738008628709</v>
      </c>
      <c r="T14" s="374">
        <f>H14/Q14</f>
        <v>373.0082436757873</v>
      </c>
      <c r="U14" s="371">
        <f>Q14*W14</f>
        <v>8658390</v>
      </c>
      <c r="V14" s="375">
        <f>U14/H14</f>
        <v>2.3967298716782524</v>
      </c>
      <c r="W14" s="376">
        <v>894</v>
      </c>
      <c r="X14" s="377">
        <v>820</v>
      </c>
      <c r="Y14" s="368">
        <v>586</v>
      </c>
      <c r="Z14" s="369">
        <f>Y14/X14</f>
        <v>0.71463414634146338</v>
      </c>
      <c r="AA14" s="364">
        <f>H14/X14</f>
        <v>4405.5912682926828</v>
      </c>
      <c r="AB14" s="374">
        <f>H14/Y14</f>
        <v>6164.8205460750851</v>
      </c>
      <c r="AC14" s="371">
        <f>Y14*AE14</f>
        <v>523884</v>
      </c>
      <c r="AD14" s="378">
        <f>AC14/H14</f>
        <v>0.14501638666014</v>
      </c>
      <c r="AE14" s="365">
        <v>894</v>
      </c>
    </row>
    <row r="15" spans="1:31" s="342" customFormat="1" ht="16.5">
      <c r="B15" s="2408"/>
      <c r="C15" s="379" t="s">
        <v>117</v>
      </c>
      <c r="D15" s="153"/>
      <c r="E15" s="153"/>
      <c r="F15" s="153"/>
      <c r="G15" s="1347"/>
      <c r="H15" s="380">
        <f>SUM(I15:J15)</f>
        <v>3612584.84</v>
      </c>
      <c r="I15" s="381">
        <f>SUM(I14:I14)</f>
        <v>1916490.84</v>
      </c>
      <c r="J15" s="382">
        <f>SUM(J14:J14)</f>
        <v>1696094</v>
      </c>
      <c r="K15" s="383">
        <f>SUM(K14:K14)</f>
        <v>5450223</v>
      </c>
      <c r="L15" s="384">
        <f>H15/K15</f>
        <v>0.66283248226723934</v>
      </c>
      <c r="M15" s="385">
        <f>SUM(M14:M14)</f>
        <v>328531</v>
      </c>
      <c r="N15" s="386">
        <f>M15/K15</f>
        <v>6.0278450991821803E-2</v>
      </c>
      <c r="O15" s="386">
        <f>P15/M15</f>
        <v>3.5981383796354072E-2</v>
      </c>
      <c r="P15" s="385">
        <f>SUM(P14:P14)</f>
        <v>11821</v>
      </c>
      <c r="Q15" s="385">
        <f>SUM(Q14:Q14)</f>
        <v>9685</v>
      </c>
      <c r="R15" s="386">
        <f>Q15/P15</f>
        <v>0.81930462735809151</v>
      </c>
      <c r="S15" s="387">
        <f>H15/P15</f>
        <v>305.60738008628709</v>
      </c>
      <c r="T15" s="387">
        <f>H15/Q15</f>
        <v>373.0082436757873</v>
      </c>
      <c r="U15" s="385">
        <f>Q15*W14</f>
        <v>8658390</v>
      </c>
      <c r="V15" s="388">
        <f>(U15)/H15</f>
        <v>2.3967298716782524</v>
      </c>
      <c r="W15" s="389"/>
      <c r="X15" s="390">
        <f>SUM(X14:X14)</f>
        <v>820</v>
      </c>
      <c r="Y15" s="385">
        <f>SUM(Y14:Y14)</f>
        <v>586</v>
      </c>
      <c r="Z15" s="391">
        <f>Y15/X15</f>
        <v>0.71463414634146338</v>
      </c>
      <c r="AA15" s="392">
        <f>H15/X15</f>
        <v>4405.5912682926828</v>
      </c>
      <c r="AB15" s="392">
        <f>H15/Y15</f>
        <v>6164.8205460750851</v>
      </c>
      <c r="AC15" s="385">
        <f>Y15*AE14</f>
        <v>523884</v>
      </c>
      <c r="AD15" s="393">
        <f>AC15/H15</f>
        <v>0.14501638666014</v>
      </c>
      <c r="AE15" s="394"/>
    </row>
    <row r="16" spans="1:31" ht="16.5">
      <c r="A16" s="342"/>
      <c r="B16" s="342"/>
      <c r="C16" s="343"/>
      <c r="D16" s="343"/>
      <c r="E16" s="347"/>
      <c r="F16" s="342"/>
      <c r="G16" s="342"/>
      <c r="H16" s="342"/>
      <c r="I16" s="342"/>
      <c r="J16" s="342"/>
      <c r="K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</row>
    <row r="17" spans="1:28" ht="16.5">
      <c r="A17" s="342"/>
      <c r="B17" s="395" t="s">
        <v>118</v>
      </c>
      <c r="C17" s="343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96"/>
      <c r="R17" s="342"/>
      <c r="S17" s="342"/>
      <c r="T17" s="342"/>
      <c r="V17" s="342"/>
      <c r="W17" s="342"/>
      <c r="X17" s="342"/>
      <c r="Y17" s="342"/>
      <c r="Z17" s="342"/>
      <c r="AA17" s="342"/>
      <c r="AB17" s="342"/>
    </row>
    <row r="18" spans="1:28" ht="16.5">
      <c r="A18" s="342"/>
      <c r="B18" s="395" t="s">
        <v>119</v>
      </c>
      <c r="C18" s="343"/>
      <c r="E18" s="342"/>
      <c r="F18" s="342"/>
      <c r="G18" s="342"/>
      <c r="H18" s="342"/>
      <c r="I18" s="342"/>
      <c r="J18" s="342"/>
      <c r="L18" s="342"/>
      <c r="M18" s="342"/>
      <c r="N18" s="342"/>
      <c r="O18" s="342"/>
      <c r="P18" s="342"/>
      <c r="Q18" s="397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</row>
    <row r="19" spans="1:28" s="398" customFormat="1" ht="16.5">
      <c r="B19" s="399" t="s">
        <v>120</v>
      </c>
      <c r="C19" s="400"/>
      <c r="D19" s="400"/>
      <c r="I19" s="342"/>
      <c r="J19" s="342"/>
      <c r="K19" s="342"/>
      <c r="L19" s="342"/>
      <c r="M19" s="342"/>
      <c r="N19" s="342"/>
      <c r="O19" s="342"/>
      <c r="P19" s="342"/>
      <c r="Q19" s="397"/>
      <c r="S19" s="401"/>
      <c r="T19" s="401"/>
      <c r="U19" s="401"/>
      <c r="V19" s="401"/>
      <c r="W19" s="401"/>
      <c r="X19" s="342"/>
      <c r="Y19" s="342"/>
      <c r="Z19" s="342"/>
    </row>
    <row r="20" spans="1:28" ht="16.5">
      <c r="A20" s="342"/>
      <c r="B20" s="399" t="s">
        <v>121</v>
      </c>
      <c r="C20" s="343"/>
      <c r="D20" s="343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97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</row>
    <row r="21" spans="1:28" ht="16.5">
      <c r="A21" s="342"/>
      <c r="B21" s="342"/>
      <c r="C21" s="343"/>
      <c r="D21" s="343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97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</row>
    <row r="22" spans="1:28" ht="16.5">
      <c r="A22" s="342"/>
      <c r="B22" s="347" t="s">
        <v>122</v>
      </c>
      <c r="C22" s="343"/>
      <c r="D22" s="343"/>
      <c r="E22" s="342"/>
      <c r="F22" s="342"/>
      <c r="G22" s="342"/>
      <c r="H22" s="342"/>
      <c r="I22" s="342"/>
      <c r="J22" s="342"/>
      <c r="K22" s="342"/>
      <c r="L22" s="342"/>
      <c r="M22" s="342"/>
      <c r="N22" s="401"/>
      <c r="O22" s="342"/>
      <c r="P22" s="342"/>
      <c r="Q22" s="397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</row>
    <row r="23" spans="1:28" ht="16.5">
      <c r="A23" s="342"/>
      <c r="B23" s="1357" t="s">
        <v>123</v>
      </c>
      <c r="C23" s="343"/>
      <c r="D23" s="343"/>
      <c r="E23" s="342"/>
      <c r="F23" s="342"/>
      <c r="G23" s="342"/>
      <c r="H23" s="342"/>
      <c r="I23" s="342"/>
      <c r="J23" s="342"/>
      <c r="K23" s="342"/>
      <c r="L23" s="342"/>
      <c r="M23" s="402"/>
      <c r="N23" s="401"/>
      <c r="O23" s="403"/>
      <c r="P23" s="401"/>
      <c r="Q23" s="401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</row>
    <row r="24" spans="1:28" ht="16.5">
      <c r="A24" s="342"/>
      <c r="B24" s="404" t="s">
        <v>124</v>
      </c>
      <c r="C24" s="343"/>
      <c r="D24" s="343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</row>
    <row r="25" spans="1:28" ht="16.5">
      <c r="A25" s="342"/>
      <c r="B25" s="404" t="s">
        <v>125</v>
      </c>
      <c r="C25" s="343"/>
      <c r="D25" s="343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</row>
    <row r="26" spans="1:28" ht="16.5">
      <c r="A26" s="342"/>
      <c r="B26" s="404" t="s">
        <v>126</v>
      </c>
      <c r="C26" s="343"/>
      <c r="D26" s="343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</row>
    <row r="27" spans="1:28" ht="16.5">
      <c r="A27" s="342"/>
      <c r="B27" s="404" t="s">
        <v>127</v>
      </c>
      <c r="C27" s="343"/>
      <c r="D27" s="343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</row>
    <row r="28" spans="1:28" ht="16.5">
      <c r="A28" s="342"/>
      <c r="B28" s="404"/>
      <c r="C28" s="343"/>
      <c r="D28" s="343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</row>
    <row r="29" spans="1:28" ht="16.5">
      <c r="A29" s="342"/>
      <c r="B29" s="404"/>
      <c r="C29" s="343"/>
      <c r="D29" s="343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</row>
    <row r="30" spans="1:28" ht="16.5">
      <c r="A30" s="342"/>
      <c r="B30" s="66" t="s">
        <v>128</v>
      </c>
      <c r="C30" s="343"/>
      <c r="D30" s="343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</row>
    <row r="31" spans="1:28" ht="16.5">
      <c r="A31" s="342"/>
      <c r="B31" s="66" t="s">
        <v>116</v>
      </c>
      <c r="C31" s="343"/>
      <c r="D31" s="343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</row>
    <row r="32" spans="1:28" ht="16.5">
      <c r="A32" s="342"/>
      <c r="B32" s="405"/>
      <c r="C32" s="343"/>
      <c r="D32" s="343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  <c r="AA32" s="342"/>
      <c r="AB32" s="342"/>
    </row>
    <row r="33" spans="1:28" s="348" customFormat="1" ht="50" customHeight="1">
      <c r="B33" s="2371" t="s">
        <v>99</v>
      </c>
      <c r="C33" s="2372" t="s">
        <v>100</v>
      </c>
      <c r="D33" s="2374" t="s">
        <v>101</v>
      </c>
      <c r="E33" s="2409" t="s">
        <v>102</v>
      </c>
      <c r="F33" s="2409"/>
      <c r="G33" s="2410"/>
      <c r="H33" s="2346" t="s">
        <v>103</v>
      </c>
      <c r="I33" s="2347"/>
      <c r="J33" s="2347"/>
      <c r="K33" s="2347"/>
      <c r="L33" s="2347"/>
      <c r="M33" s="2347"/>
      <c r="N33" s="2347"/>
      <c r="O33" s="2347"/>
      <c r="P33" s="2347"/>
      <c r="Q33" s="2347"/>
      <c r="R33" s="2347"/>
      <c r="S33" s="2347"/>
      <c r="T33" s="2348"/>
      <c r="U33" s="2349" t="s">
        <v>27</v>
      </c>
      <c r="V33" s="2350"/>
      <c r="W33" s="2350"/>
      <c r="X33" s="2350"/>
      <c r="Y33" s="2350"/>
      <c r="Z33" s="2350"/>
      <c r="AA33" s="2350"/>
      <c r="AB33" s="2351"/>
    </row>
    <row r="34" spans="1:28" s="349" customFormat="1" ht="66">
      <c r="B34" s="2401"/>
      <c r="C34" s="2373"/>
      <c r="D34" s="2411"/>
      <c r="E34" s="350" t="s">
        <v>104</v>
      </c>
      <c r="F34" s="351" t="s">
        <v>105</v>
      </c>
      <c r="G34" s="352" t="s">
        <v>106</v>
      </c>
      <c r="H34" s="353" t="s">
        <v>107</v>
      </c>
      <c r="I34" s="354" t="s">
        <v>108</v>
      </c>
      <c r="J34" s="351" t="s">
        <v>109</v>
      </c>
      <c r="K34" s="354" t="s">
        <v>110</v>
      </c>
      <c r="L34" s="354" t="s">
        <v>111</v>
      </c>
      <c r="M34" s="355" t="s">
        <v>112</v>
      </c>
      <c r="N34" s="354" t="s">
        <v>113</v>
      </c>
      <c r="O34" s="356" t="s">
        <v>114</v>
      </c>
      <c r="P34" s="357" t="s">
        <v>115</v>
      </c>
      <c r="Q34" s="354" t="s">
        <v>14</v>
      </c>
      <c r="R34" s="354" t="s">
        <v>13</v>
      </c>
      <c r="S34" s="354" t="s">
        <v>12</v>
      </c>
      <c r="T34" s="358" t="s">
        <v>11</v>
      </c>
      <c r="U34" s="359" t="s">
        <v>10</v>
      </c>
      <c r="V34" s="357" t="s">
        <v>9</v>
      </c>
      <c r="W34" s="360" t="s">
        <v>8</v>
      </c>
      <c r="X34" s="360" t="s">
        <v>7</v>
      </c>
      <c r="Y34" s="360" t="s">
        <v>6</v>
      </c>
      <c r="Z34" s="360" t="s">
        <v>5</v>
      </c>
      <c r="AA34" s="360" t="s">
        <v>4</v>
      </c>
      <c r="AB34" s="361" t="s">
        <v>3</v>
      </c>
    </row>
    <row r="35" spans="1:28" s="349" customFormat="1" ht="16.5">
      <c r="B35" s="2407" t="s">
        <v>116</v>
      </c>
      <c r="C35" s="362" t="s">
        <v>899</v>
      </c>
      <c r="D35" s="1346" t="s">
        <v>706</v>
      </c>
      <c r="E35" s="363">
        <f>F35+G35</f>
        <v>2596472.66</v>
      </c>
      <c r="F35" s="364">
        <v>900378.66</v>
      </c>
      <c r="G35" s="365">
        <v>1696094</v>
      </c>
      <c r="H35" s="366">
        <v>4319581</v>
      </c>
      <c r="I35" s="367">
        <f>E35/H35</f>
        <v>0.60109363848021369</v>
      </c>
      <c r="J35" s="368">
        <v>165013</v>
      </c>
      <c r="K35" s="369">
        <f>J35/H35</f>
        <v>3.8201158862398922E-2</v>
      </c>
      <c r="L35" s="370">
        <f>M35/J35</f>
        <v>2.8397762600522382E-2</v>
      </c>
      <c r="M35" s="371">
        <v>4686</v>
      </c>
      <c r="N35" s="372">
        <v>3620</v>
      </c>
      <c r="O35" s="373">
        <f>N35/M35</f>
        <v>0.77251387110542036</v>
      </c>
      <c r="P35" s="364">
        <f>E35/M35</f>
        <v>554.09147673922325</v>
      </c>
      <c r="Q35" s="374">
        <f>E35/N35</f>
        <v>717.25764088397796</v>
      </c>
      <c r="R35" s="371">
        <f>N35*T35</f>
        <v>2613640</v>
      </c>
      <c r="S35" s="375">
        <f>R35/E35</f>
        <v>1.0066117930931728</v>
      </c>
      <c r="T35" s="376">
        <v>722</v>
      </c>
      <c r="U35" s="377">
        <v>410</v>
      </c>
      <c r="V35" s="368">
        <v>289</v>
      </c>
      <c r="W35" s="369">
        <f>V35/U35</f>
        <v>0.70487804878048776</v>
      </c>
      <c r="X35" s="364">
        <f>E35/U35</f>
        <v>6332.8601463414634</v>
      </c>
      <c r="Y35" s="374">
        <f>E35/V35</f>
        <v>8984.3344636678212</v>
      </c>
      <c r="Z35" s="371">
        <f>V35*AB35</f>
        <v>258366</v>
      </c>
      <c r="AA35" s="378">
        <f>Z35/E35</f>
        <v>9.9506535917077588E-2</v>
      </c>
      <c r="AB35" s="365">
        <v>894</v>
      </c>
    </row>
    <row r="36" spans="1:28" s="342" customFormat="1" ht="16.5">
      <c r="B36" s="2408"/>
      <c r="C36" s="379" t="s">
        <v>117</v>
      </c>
      <c r="D36" s="1347"/>
      <c r="E36" s="380">
        <f>SUM(F36:G36)</f>
        <v>2596472.66</v>
      </c>
      <c r="F36" s="381">
        <f>SUM(F35:F35)</f>
        <v>900378.66</v>
      </c>
      <c r="G36" s="382">
        <f>SUM(G35:G35)</f>
        <v>1696094</v>
      </c>
      <c r="H36" s="383">
        <f>SUM(H35:H35)</f>
        <v>4319581</v>
      </c>
      <c r="I36" s="384">
        <f>E36/H36</f>
        <v>0.60109363848021369</v>
      </c>
      <c r="J36" s="385">
        <f>SUM(J35:J35)</f>
        <v>165013</v>
      </c>
      <c r="K36" s="386">
        <f>J36/H36</f>
        <v>3.8201158862398922E-2</v>
      </c>
      <c r="L36" s="386">
        <f>M36/J36</f>
        <v>2.8397762600522382E-2</v>
      </c>
      <c r="M36" s="385">
        <f>SUM(M35:M35)</f>
        <v>4686</v>
      </c>
      <c r="N36" s="385">
        <f>SUM(N35:N35)</f>
        <v>3620</v>
      </c>
      <c r="O36" s="386">
        <f>N36/M36</f>
        <v>0.77251387110542036</v>
      </c>
      <c r="P36" s="387">
        <f>E36/M36</f>
        <v>554.09147673922325</v>
      </c>
      <c r="Q36" s="387">
        <f>E36/N36</f>
        <v>717.25764088397796</v>
      </c>
      <c r="R36" s="385">
        <f>N36*T35</f>
        <v>2613640</v>
      </c>
      <c r="S36" s="388">
        <f>(R36)/E36</f>
        <v>1.0066117930931728</v>
      </c>
      <c r="T36" s="389"/>
      <c r="U36" s="390">
        <f>SUM(U35:U35)</f>
        <v>410</v>
      </c>
      <c r="V36" s="385">
        <f>SUM(V35:V35)</f>
        <v>289</v>
      </c>
      <c r="W36" s="391">
        <f>V36/U36</f>
        <v>0.70487804878048776</v>
      </c>
      <c r="X36" s="392">
        <f>E36/U36</f>
        <v>6332.8601463414634</v>
      </c>
      <c r="Y36" s="392">
        <f>E36/V36</f>
        <v>8984.3344636678212</v>
      </c>
      <c r="Z36" s="385">
        <f>V36*AB35</f>
        <v>258366</v>
      </c>
      <c r="AA36" s="393">
        <f>Z36/E36</f>
        <v>9.9506535917077588E-2</v>
      </c>
      <c r="AB36" s="394"/>
    </row>
    <row r="37" spans="1:28" s="342" customFormat="1" ht="16.5">
      <c r="B37" s="641"/>
      <c r="C37" s="832"/>
      <c r="D37" s="832"/>
      <c r="E37" s="697"/>
      <c r="F37" s="2049"/>
      <c r="G37" s="2049"/>
      <c r="H37" s="834"/>
      <c r="I37" s="698"/>
      <c r="J37" s="834"/>
      <c r="K37" s="699"/>
      <c r="L37" s="699"/>
      <c r="M37" s="834"/>
      <c r="N37" s="834"/>
      <c r="O37" s="699"/>
      <c r="P37" s="835"/>
      <c r="Q37" s="835"/>
      <c r="R37" s="834"/>
      <c r="S37" s="700"/>
      <c r="T37" s="834"/>
      <c r="U37" s="834"/>
      <c r="V37" s="834"/>
      <c r="W37" s="701"/>
      <c r="X37" s="836"/>
      <c r="Y37" s="836"/>
      <c r="Z37" s="834"/>
      <c r="AA37" s="702"/>
      <c r="AB37" s="834"/>
    </row>
    <row r="38" spans="1:28" ht="16.5">
      <c r="A38" s="342"/>
      <c r="B38" s="404"/>
      <c r="C38" s="343"/>
      <c r="D38" s="343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</row>
    <row r="39" spans="1:28" ht="16.5">
      <c r="A39" s="342"/>
      <c r="B39" s="66" t="s">
        <v>128</v>
      </c>
      <c r="C39" s="343"/>
      <c r="D39" s="343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</row>
    <row r="40" spans="1:28" ht="16.5">
      <c r="A40" s="342"/>
      <c r="B40" s="66" t="s">
        <v>129</v>
      </c>
      <c r="C40" s="343"/>
      <c r="D40" s="343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</row>
    <row r="41" spans="1:28" ht="16.5">
      <c r="A41" s="342"/>
      <c r="B41" s="405"/>
      <c r="C41" s="343"/>
      <c r="D41" s="343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</row>
    <row r="42" spans="1:28" s="348" customFormat="1" ht="50" customHeight="1">
      <c r="B42" s="2371" t="s">
        <v>99</v>
      </c>
      <c r="C42" s="2372" t="s">
        <v>100</v>
      </c>
      <c r="D42" s="2374" t="s">
        <v>101</v>
      </c>
      <c r="E42" s="2376" t="s">
        <v>102</v>
      </c>
      <c r="F42" s="2396"/>
      <c r="G42" s="2397"/>
      <c r="H42" s="2346" t="s">
        <v>103</v>
      </c>
      <c r="I42" s="2347"/>
      <c r="J42" s="2347"/>
      <c r="K42" s="2347"/>
      <c r="L42" s="2347"/>
      <c r="M42" s="2347"/>
      <c r="N42" s="2347"/>
      <c r="O42" s="2347"/>
      <c r="P42" s="2347"/>
      <c r="Q42" s="2347"/>
      <c r="R42" s="2347"/>
      <c r="S42" s="2347"/>
      <c r="T42" s="2348"/>
      <c r="U42" s="2349" t="s">
        <v>27</v>
      </c>
      <c r="V42" s="2350"/>
      <c r="W42" s="2350"/>
      <c r="X42" s="2350"/>
      <c r="Y42" s="2350"/>
      <c r="Z42" s="2350"/>
      <c r="AA42" s="2350"/>
      <c r="AB42" s="2351"/>
    </row>
    <row r="43" spans="1:28" s="349" customFormat="1" ht="66">
      <c r="B43" s="2393"/>
      <c r="C43" s="2394"/>
      <c r="D43" s="2395"/>
      <c r="E43" s="179" t="s">
        <v>104</v>
      </c>
      <c r="F43" s="178" t="s">
        <v>105</v>
      </c>
      <c r="G43" s="174" t="s">
        <v>106</v>
      </c>
      <c r="H43" s="406" t="s">
        <v>107</v>
      </c>
      <c r="I43" s="354" t="s">
        <v>108</v>
      </c>
      <c r="J43" s="351" t="s">
        <v>109</v>
      </c>
      <c r="K43" s="354" t="s">
        <v>110</v>
      </c>
      <c r="L43" s="354" t="s">
        <v>111</v>
      </c>
      <c r="M43" s="355" t="s">
        <v>112</v>
      </c>
      <c r="N43" s="354" t="s">
        <v>113</v>
      </c>
      <c r="O43" s="356" t="s">
        <v>114</v>
      </c>
      <c r="P43" s="357" t="s">
        <v>115</v>
      </c>
      <c r="Q43" s="354" t="s">
        <v>14</v>
      </c>
      <c r="R43" s="354" t="s">
        <v>13</v>
      </c>
      <c r="S43" s="354" t="s">
        <v>12</v>
      </c>
      <c r="T43" s="352" t="s">
        <v>11</v>
      </c>
      <c r="U43" s="407" t="s">
        <v>10</v>
      </c>
      <c r="V43" s="408" t="s">
        <v>9</v>
      </c>
      <c r="W43" s="409" t="s">
        <v>8</v>
      </c>
      <c r="X43" s="409" t="s">
        <v>7</v>
      </c>
      <c r="Y43" s="409" t="s">
        <v>6</v>
      </c>
      <c r="Z43" s="409" t="s">
        <v>5</v>
      </c>
      <c r="AA43" s="409" t="s">
        <v>4</v>
      </c>
      <c r="AB43" s="410" t="s">
        <v>3</v>
      </c>
    </row>
    <row r="44" spans="1:28" s="349" customFormat="1" ht="16.5">
      <c r="B44" s="2288" t="s">
        <v>129</v>
      </c>
      <c r="C44" s="169" t="s">
        <v>900</v>
      </c>
      <c r="D44" s="184" t="s">
        <v>129</v>
      </c>
      <c r="E44" s="411">
        <f>F44+G44</f>
        <v>1201505.1800000002</v>
      </c>
      <c r="F44" s="412">
        <v>727123.18</v>
      </c>
      <c r="G44" s="413">
        <v>474382</v>
      </c>
      <c r="H44" s="414">
        <v>1107107</v>
      </c>
      <c r="I44" s="415">
        <f>E44/H44</f>
        <v>1.0852656337643969</v>
      </c>
      <c r="J44" s="416">
        <v>88253</v>
      </c>
      <c r="K44" s="417">
        <f>J44/H44</f>
        <v>7.9714968833184144E-2</v>
      </c>
      <c r="L44" s="418">
        <f>M44/J44</f>
        <v>9.3832504277474985E-2</v>
      </c>
      <c r="M44" s="155">
        <v>8281</v>
      </c>
      <c r="N44" s="159">
        <v>6595</v>
      </c>
      <c r="O44" s="419">
        <f>N44/M44</f>
        <v>0.79640140079700517</v>
      </c>
      <c r="P44" s="412">
        <f>E44/M44</f>
        <v>145.09179809201788</v>
      </c>
      <c r="Q44" s="420">
        <f>E44/N44</f>
        <v>182.18425777103869</v>
      </c>
      <c r="R44" s="155">
        <f>N44*T44</f>
        <v>4656070</v>
      </c>
      <c r="S44" s="421">
        <f>R44/E44</f>
        <v>3.875197608386507</v>
      </c>
      <c r="T44" s="2405">
        <v>706</v>
      </c>
      <c r="U44" s="422">
        <v>286</v>
      </c>
      <c r="V44" s="416">
        <v>226</v>
      </c>
      <c r="W44" s="417">
        <f>V44/U44</f>
        <v>0.79020979020979021</v>
      </c>
      <c r="X44" s="412">
        <f>E44/U44</f>
        <v>4201.0670629370634</v>
      </c>
      <c r="Y44" s="420">
        <f>E44/V44</f>
        <v>5316.3946017699127</v>
      </c>
      <c r="Z44" s="155">
        <f>V44*AB44</f>
        <v>329734</v>
      </c>
      <c r="AA44" s="423">
        <f>Z44/E44</f>
        <v>0.27443410606020024</v>
      </c>
      <c r="AB44" s="413">
        <v>1459</v>
      </c>
    </row>
    <row r="45" spans="1:28" s="349" customFormat="1" ht="16.5">
      <c r="B45" s="2338"/>
      <c r="C45" s="169" t="s">
        <v>901</v>
      </c>
      <c r="D45" s="184" t="s">
        <v>130</v>
      </c>
      <c r="E45" s="411">
        <f>F45+G45</f>
        <v>3204400.62</v>
      </c>
      <c r="F45" s="412">
        <v>1449145.62</v>
      </c>
      <c r="G45" s="413">
        <v>1755255</v>
      </c>
      <c r="H45" s="414">
        <v>2483546</v>
      </c>
      <c r="I45" s="415">
        <f>E45/H45</f>
        <v>1.290252171693216</v>
      </c>
      <c r="J45" s="416">
        <v>157703</v>
      </c>
      <c r="K45" s="417">
        <f>J45/H45</f>
        <v>6.3499125846672458E-2</v>
      </c>
      <c r="L45" s="418">
        <f>M45/J45</f>
        <v>7.5990945004216784E-2</v>
      </c>
      <c r="M45" s="155">
        <v>11984</v>
      </c>
      <c r="N45" s="159">
        <v>9941</v>
      </c>
      <c r="O45" s="419">
        <f>N45/M45</f>
        <v>0.82952269692923897</v>
      </c>
      <c r="P45" s="412">
        <f>E45/M45</f>
        <v>267.38990487316426</v>
      </c>
      <c r="Q45" s="420">
        <f>E45/N45</f>
        <v>322.34187908661102</v>
      </c>
      <c r="R45" s="155">
        <f>N45*T44</f>
        <v>7018346</v>
      </c>
      <c r="S45" s="421">
        <f>R45/E45</f>
        <v>2.1902211465681214</v>
      </c>
      <c r="T45" s="2405"/>
      <c r="U45" s="422">
        <v>593</v>
      </c>
      <c r="V45" s="416">
        <v>455</v>
      </c>
      <c r="W45" s="417">
        <f>V45/U45</f>
        <v>0.76728499156829677</v>
      </c>
      <c r="X45" s="412">
        <f>E45/U45</f>
        <v>5403.7109949409787</v>
      </c>
      <c r="Y45" s="420">
        <f>E45/V45</f>
        <v>7042.6387252747254</v>
      </c>
      <c r="Z45" s="155">
        <f>V45*AB45</f>
        <v>395850</v>
      </c>
      <c r="AA45" s="423">
        <f>Z45/E45</f>
        <v>0.12353324285650649</v>
      </c>
      <c r="AB45" s="413">
        <v>870</v>
      </c>
    </row>
    <row r="46" spans="1:28" s="349" customFormat="1" ht="16.5">
      <c r="B46" s="2338"/>
      <c r="C46" s="169">
        <v>520</v>
      </c>
      <c r="D46" s="184" t="s">
        <v>131</v>
      </c>
      <c r="E46" s="411">
        <f>F46+G46</f>
        <v>1487473.6600000001</v>
      </c>
      <c r="F46" s="412">
        <v>662460.66</v>
      </c>
      <c r="G46" s="413">
        <v>825013</v>
      </c>
      <c r="H46" s="414">
        <v>1351114</v>
      </c>
      <c r="I46" s="415">
        <f>E46/H46</f>
        <v>1.100923874669347</v>
      </c>
      <c r="J46" s="416">
        <v>101854</v>
      </c>
      <c r="K46" s="417">
        <f>J46/H46</f>
        <v>7.5385200656643336E-2</v>
      </c>
      <c r="L46" s="418">
        <f>M46/J46</f>
        <v>6.5132444479352805E-2</v>
      </c>
      <c r="M46" s="155">
        <v>6634</v>
      </c>
      <c r="N46" s="159">
        <v>5360</v>
      </c>
      <c r="O46" s="419">
        <f>N46/M46</f>
        <v>0.80795899909556823</v>
      </c>
      <c r="P46" s="412">
        <f>E46/M46</f>
        <v>224.21972565571301</v>
      </c>
      <c r="Q46" s="420">
        <f>E46/N46</f>
        <v>277.51374253731348</v>
      </c>
      <c r="R46" s="155">
        <f>N46*T44</f>
        <v>3784160</v>
      </c>
      <c r="S46" s="421">
        <f>R46/E46</f>
        <v>2.5440181576055605</v>
      </c>
      <c r="T46" s="2406"/>
      <c r="U46" s="422">
        <v>421</v>
      </c>
      <c r="V46" s="416">
        <v>352</v>
      </c>
      <c r="W46" s="417">
        <f>V46/U46</f>
        <v>0.83610451306413303</v>
      </c>
      <c r="X46" s="412">
        <f>E46/U46</f>
        <v>3533.1915914489314</v>
      </c>
      <c r="Y46" s="420">
        <f>E46/V46</f>
        <v>4225.7774431818189</v>
      </c>
      <c r="Z46" s="155">
        <f>V46*AB46</f>
        <v>255552</v>
      </c>
      <c r="AA46" s="423">
        <f>Z46/E46</f>
        <v>0.17180270607279188</v>
      </c>
      <c r="AB46" s="413">
        <v>726</v>
      </c>
    </row>
    <row r="47" spans="1:28" s="349" customFormat="1" ht="16.5">
      <c r="B47" s="2338"/>
      <c r="C47" s="424" t="s">
        <v>132</v>
      </c>
      <c r="D47" s="425"/>
      <c r="E47" s="426">
        <f>SUM(F47:G47)</f>
        <v>5893379.4600000009</v>
      </c>
      <c r="F47" s="427">
        <f>SUM(F44:F46)</f>
        <v>2838729.4600000004</v>
      </c>
      <c r="G47" s="428">
        <f>SUM(G44:G46)</f>
        <v>3054650</v>
      </c>
      <c r="H47" s="429">
        <f>SUM(H44:H46)</f>
        <v>4941767</v>
      </c>
      <c r="I47" s="430">
        <f>E47/H47</f>
        <v>1.1925652221158951</v>
      </c>
      <c r="J47" s="431">
        <f>SUM(J44:J46)</f>
        <v>347810</v>
      </c>
      <c r="K47" s="432">
        <f>J47/H47</f>
        <v>7.0381707595683893E-2</v>
      </c>
      <c r="L47" s="432">
        <f>M47/J47</f>
        <v>7.7338201891837502E-2</v>
      </c>
      <c r="M47" s="431">
        <f>SUM(M44:M46)</f>
        <v>26899</v>
      </c>
      <c r="N47" s="431">
        <f>SUM(N44:N46)</f>
        <v>21896</v>
      </c>
      <c r="O47" s="433">
        <f>N47/M47</f>
        <v>0.81400795568608497</v>
      </c>
      <c r="P47" s="427">
        <f>E47/M47</f>
        <v>219.09288300680325</v>
      </c>
      <c r="Q47" s="427">
        <f>E47/N47</f>
        <v>269.15324534161493</v>
      </c>
      <c r="R47" s="431">
        <f>N47*T47</f>
        <v>15458576</v>
      </c>
      <c r="S47" s="434">
        <f>R47/E47</f>
        <v>2.6230410081213398</v>
      </c>
      <c r="T47" s="428">
        <f>T44</f>
        <v>706</v>
      </c>
      <c r="U47" s="429">
        <f>SUM(U44:U46)</f>
        <v>1300</v>
      </c>
      <c r="V47" s="431">
        <f>SUM(V44:V46)</f>
        <v>1033</v>
      </c>
      <c r="W47" s="432">
        <f>V47/U47</f>
        <v>0.79461538461538461</v>
      </c>
      <c r="X47" s="435">
        <f>E47/U47</f>
        <v>4533.368815384616</v>
      </c>
      <c r="Y47" s="435">
        <f>E47/V47</f>
        <v>5705.1108034849958</v>
      </c>
      <c r="Z47" s="431">
        <f>V47*AB47</f>
        <v>729298</v>
      </c>
      <c r="AA47" s="436">
        <f>Z47/E47</f>
        <v>0.1237486920619905</v>
      </c>
      <c r="AB47" s="428">
        <f>T47</f>
        <v>706</v>
      </c>
    </row>
    <row r="48" spans="1:28" s="348" customFormat="1" ht="16.5">
      <c r="B48" s="2289"/>
      <c r="C48" s="437" t="s">
        <v>133</v>
      </c>
      <c r="D48" s="438"/>
      <c r="E48" s="439">
        <f>E47</f>
        <v>5893379.4600000009</v>
      </c>
      <c r="F48" s="440">
        <f>F47</f>
        <v>2838729.4600000004</v>
      </c>
      <c r="G48" s="441">
        <f>G47</f>
        <v>3054650</v>
      </c>
      <c r="H48" s="144">
        <v>4380561</v>
      </c>
      <c r="I48" s="442">
        <f>E48/H48</f>
        <v>1.3453481095229585</v>
      </c>
      <c r="J48" s="443">
        <v>289004</v>
      </c>
      <c r="K48" s="444">
        <f>J48/H48</f>
        <v>6.5974198281909549E-2</v>
      </c>
      <c r="L48" s="445">
        <f>M48/J48</f>
        <v>7.5192730896458185E-2</v>
      </c>
      <c r="M48" s="141">
        <v>21731</v>
      </c>
      <c r="N48" s="141">
        <v>17913</v>
      </c>
      <c r="O48" s="446">
        <f>N48/M48</f>
        <v>0.82430629055266669</v>
      </c>
      <c r="P48" s="440">
        <f>E48/M48</f>
        <v>271.19688279416505</v>
      </c>
      <c r="Q48" s="440">
        <f>E48/N48</f>
        <v>329.00013733043045</v>
      </c>
      <c r="R48" s="141">
        <f>N48*T48</f>
        <v>12646578</v>
      </c>
      <c r="S48" s="447">
        <f>R48/E48</f>
        <v>2.1458957608000349</v>
      </c>
      <c r="T48" s="441">
        <f>T44</f>
        <v>706</v>
      </c>
      <c r="U48" s="448"/>
      <c r="V48" s="443"/>
      <c r="W48" s="444"/>
      <c r="X48" s="440"/>
      <c r="Y48" s="440"/>
      <c r="Z48" s="141"/>
      <c r="AA48" s="449"/>
      <c r="AB48" s="441"/>
    </row>
    <row r="49" spans="1:28" s="349" customFormat="1" ht="16.5">
      <c r="B49" s="233"/>
      <c r="C49" s="232" t="s">
        <v>461</v>
      </c>
      <c r="D49" s="231" t="s">
        <v>462</v>
      </c>
      <c r="E49" s="450">
        <v>5893379.4600000009</v>
      </c>
      <c r="F49" s="450">
        <v>2838729.4600000004</v>
      </c>
      <c r="G49" s="451">
        <v>3054650</v>
      </c>
      <c r="H49" s="452"/>
      <c r="I49" s="453"/>
      <c r="J49" s="347" t="s">
        <v>134</v>
      </c>
      <c r="K49" s="454"/>
      <c r="O49" s="455"/>
      <c r="P49" s="455"/>
      <c r="Q49" s="455"/>
      <c r="R49" s="455"/>
      <c r="S49" s="455"/>
      <c r="T49" s="456"/>
      <c r="U49" s="457"/>
    </row>
    <row r="50" spans="1:28" s="349" customFormat="1" ht="16.5">
      <c r="B50" s="227"/>
      <c r="C50" s="226" t="s">
        <v>463</v>
      </c>
      <c r="D50" s="225" t="s">
        <v>135</v>
      </c>
      <c r="E50" s="458">
        <f>E47/E49</f>
        <v>1</v>
      </c>
      <c r="F50" s="459">
        <f>F47/F49</f>
        <v>1</v>
      </c>
      <c r="G50" s="460">
        <f>G47/G49</f>
        <v>1</v>
      </c>
      <c r="P50" s="455"/>
      <c r="Q50" s="455"/>
      <c r="R50" s="455"/>
      <c r="S50" s="455"/>
      <c r="T50" s="342"/>
      <c r="U50" s="342"/>
      <c r="V50" s="342"/>
      <c r="W50" s="455"/>
      <c r="AB50" s="461"/>
    </row>
    <row r="51" spans="1:28" ht="16.5">
      <c r="A51" s="342"/>
      <c r="B51" s="404"/>
      <c r="C51" s="343"/>
      <c r="D51" s="343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</row>
    <row r="52" spans="1:28" ht="16.5">
      <c r="A52" s="342"/>
      <c r="B52" s="404"/>
      <c r="C52" s="343"/>
      <c r="D52" s="343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</row>
    <row r="53" spans="1:28" ht="16.5">
      <c r="A53" s="342"/>
      <c r="B53" s="66" t="s">
        <v>128</v>
      </c>
      <c r="C53" s="343"/>
      <c r="D53" s="343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</row>
    <row r="54" spans="1:28" ht="16.5">
      <c r="A54" s="342"/>
      <c r="B54" s="66" t="s">
        <v>136</v>
      </c>
      <c r="C54" s="343"/>
      <c r="D54" s="343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</row>
    <row r="55" spans="1:28" ht="16.5">
      <c r="A55" s="342"/>
      <c r="B55" s="404"/>
      <c r="C55" s="343"/>
      <c r="D55" s="343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</row>
    <row r="56" spans="1:28" s="348" customFormat="1" ht="50" customHeight="1">
      <c r="B56" s="2371" t="s">
        <v>99</v>
      </c>
      <c r="C56" s="2372" t="s">
        <v>100</v>
      </c>
      <c r="D56" s="2374" t="s">
        <v>101</v>
      </c>
      <c r="E56" s="2376" t="s">
        <v>102</v>
      </c>
      <c r="F56" s="2396"/>
      <c r="G56" s="2397"/>
      <c r="H56" s="2346" t="s">
        <v>103</v>
      </c>
      <c r="I56" s="2347"/>
      <c r="J56" s="2347"/>
      <c r="K56" s="2347"/>
      <c r="L56" s="2347"/>
      <c r="M56" s="2347"/>
      <c r="N56" s="2347"/>
      <c r="O56" s="2347"/>
      <c r="P56" s="2347"/>
      <c r="Q56" s="2347"/>
      <c r="R56" s="2347"/>
      <c r="S56" s="2347"/>
      <c r="T56" s="2348"/>
      <c r="U56" s="2349" t="s">
        <v>27</v>
      </c>
      <c r="V56" s="2350"/>
      <c r="W56" s="2350"/>
      <c r="X56" s="2350"/>
      <c r="Y56" s="2350"/>
      <c r="Z56" s="2350"/>
      <c r="AA56" s="2350"/>
      <c r="AB56" s="2351"/>
    </row>
    <row r="57" spans="1:28" s="349" customFormat="1" ht="66">
      <c r="B57" s="2393"/>
      <c r="C57" s="2394"/>
      <c r="D57" s="2395"/>
      <c r="E57" s="179" t="s">
        <v>104</v>
      </c>
      <c r="F57" s="178" t="s">
        <v>105</v>
      </c>
      <c r="G57" s="174" t="s">
        <v>106</v>
      </c>
      <c r="H57" s="406" t="s">
        <v>107</v>
      </c>
      <c r="I57" s="354" t="s">
        <v>108</v>
      </c>
      <c r="J57" s="351" t="s">
        <v>109</v>
      </c>
      <c r="K57" s="354" t="s">
        <v>110</v>
      </c>
      <c r="L57" s="354" t="s">
        <v>111</v>
      </c>
      <c r="M57" s="355" t="s">
        <v>112</v>
      </c>
      <c r="N57" s="354" t="s">
        <v>17</v>
      </c>
      <c r="O57" s="356" t="s">
        <v>16</v>
      </c>
      <c r="P57" s="357" t="s">
        <v>15</v>
      </c>
      <c r="Q57" s="354" t="s">
        <v>14</v>
      </c>
      <c r="R57" s="354" t="s">
        <v>13</v>
      </c>
      <c r="S57" s="354" t="s">
        <v>12</v>
      </c>
      <c r="T57" s="352" t="s">
        <v>11</v>
      </c>
      <c r="U57" s="407" t="s">
        <v>10</v>
      </c>
      <c r="V57" s="408" t="s">
        <v>9</v>
      </c>
      <c r="W57" s="409" t="s">
        <v>8</v>
      </c>
      <c r="X57" s="409" t="s">
        <v>7</v>
      </c>
      <c r="Y57" s="409" t="s">
        <v>6</v>
      </c>
      <c r="Z57" s="409" t="s">
        <v>5</v>
      </c>
      <c r="AA57" s="409" t="s">
        <v>4</v>
      </c>
      <c r="AB57" s="410" t="s">
        <v>3</v>
      </c>
    </row>
    <row r="58" spans="1:28" s="349" customFormat="1" ht="16.5">
      <c r="B58" s="2288" t="s">
        <v>136</v>
      </c>
      <c r="C58" s="169" t="s">
        <v>900</v>
      </c>
      <c r="D58" s="184" t="s">
        <v>129</v>
      </c>
      <c r="E58" s="411">
        <f>F58+G58</f>
        <v>1032157.47</v>
      </c>
      <c r="F58" s="412">
        <v>557775.47</v>
      </c>
      <c r="G58" s="413">
        <v>474382</v>
      </c>
      <c r="H58" s="414">
        <v>923973</v>
      </c>
      <c r="I58" s="415">
        <f>E58/H58</f>
        <v>1.117086181089707</v>
      </c>
      <c r="J58" s="416">
        <v>61806</v>
      </c>
      <c r="K58" s="417">
        <f>J58/H58</f>
        <v>6.6891565013263377E-2</v>
      </c>
      <c r="L58" s="418">
        <f>M58/J58</f>
        <v>8.5153544963272168E-2</v>
      </c>
      <c r="M58" s="155">
        <v>5263</v>
      </c>
      <c r="N58" s="159">
        <v>4104</v>
      </c>
      <c r="O58" s="419">
        <f>N58/M58</f>
        <v>0.77978339350180503</v>
      </c>
      <c r="P58" s="412">
        <f>E58/M58</f>
        <v>196.11580277408322</v>
      </c>
      <c r="Q58" s="420">
        <f>E58/N58</f>
        <v>251.50035818713451</v>
      </c>
      <c r="R58" s="155">
        <f>N58*T58</f>
        <v>2897424</v>
      </c>
      <c r="S58" s="421">
        <f>R58/E58</f>
        <v>2.8071530596973737</v>
      </c>
      <c r="T58" s="2405">
        <v>706</v>
      </c>
      <c r="U58" s="422">
        <v>189</v>
      </c>
      <c r="V58" s="416">
        <v>131</v>
      </c>
      <c r="W58" s="417">
        <f>V58/U58</f>
        <v>0.69312169312169314</v>
      </c>
      <c r="X58" s="412">
        <f>E58/U58</f>
        <v>5461.1506349206347</v>
      </c>
      <c r="Y58" s="420">
        <f>E58/V58</f>
        <v>7879.0646564885492</v>
      </c>
      <c r="Z58" s="155">
        <f>V58*AB58</f>
        <v>191129</v>
      </c>
      <c r="AA58" s="423">
        <f>Z58/E58</f>
        <v>0.18517426415564284</v>
      </c>
      <c r="AB58" s="413">
        <v>1459</v>
      </c>
    </row>
    <row r="59" spans="1:28" s="349" customFormat="1" ht="16.5">
      <c r="B59" s="2338"/>
      <c r="C59" s="169" t="s">
        <v>901</v>
      </c>
      <c r="D59" s="184" t="s">
        <v>130</v>
      </c>
      <c r="E59" s="411">
        <f>F59+G59</f>
        <v>2703601.91</v>
      </c>
      <c r="F59" s="412">
        <v>948346.91</v>
      </c>
      <c r="G59" s="413">
        <v>1755255</v>
      </c>
      <c r="H59" s="414">
        <v>1801632</v>
      </c>
      <c r="I59" s="415">
        <f>E59/H59</f>
        <v>1.5006404804088738</v>
      </c>
      <c r="J59" s="416">
        <v>93312</v>
      </c>
      <c r="K59" s="417">
        <f>J59/H59</f>
        <v>5.1793040976181592E-2</v>
      </c>
      <c r="L59" s="418">
        <f>M59/J59</f>
        <v>7.3109567901234573E-2</v>
      </c>
      <c r="M59" s="155">
        <v>6822</v>
      </c>
      <c r="N59" s="159">
        <v>5560</v>
      </c>
      <c r="O59" s="419">
        <f>N59/M59</f>
        <v>0.81501026092055118</v>
      </c>
      <c r="P59" s="412">
        <f>E59/M59</f>
        <v>396.30634857812959</v>
      </c>
      <c r="Q59" s="420">
        <f>E59/N59</f>
        <v>486.2593363309353</v>
      </c>
      <c r="R59" s="155">
        <f>N59*T58</f>
        <v>3925360</v>
      </c>
      <c r="S59" s="421">
        <f>R59/E59</f>
        <v>1.4519001430946614</v>
      </c>
      <c r="T59" s="2405"/>
      <c r="U59" s="422">
        <v>431</v>
      </c>
      <c r="V59" s="416">
        <v>310</v>
      </c>
      <c r="W59" s="417">
        <f>V59/U59</f>
        <v>0.71925754060324831</v>
      </c>
      <c r="X59" s="412">
        <f>E59/U59</f>
        <v>6272.8582598607891</v>
      </c>
      <c r="Y59" s="420">
        <f>E59/V59</f>
        <v>8721.2964838709686</v>
      </c>
      <c r="Z59" s="155">
        <f>V59*AB59</f>
        <v>269700</v>
      </c>
      <c r="AA59" s="423">
        <f>Z59/E59</f>
        <v>9.9755810573458267E-2</v>
      </c>
      <c r="AB59" s="413">
        <v>870</v>
      </c>
    </row>
    <row r="60" spans="1:28" s="349" customFormat="1" ht="16.5">
      <c r="B60" s="2338"/>
      <c r="C60" s="169">
        <v>520</v>
      </c>
      <c r="D60" s="184" t="s">
        <v>131</v>
      </c>
      <c r="E60" s="411">
        <f>F60+G60</f>
        <v>1487473.6600000001</v>
      </c>
      <c r="F60" s="412">
        <v>662460.66</v>
      </c>
      <c r="G60" s="413">
        <v>825013</v>
      </c>
      <c r="H60" s="414">
        <v>1351114</v>
      </c>
      <c r="I60" s="415">
        <f>E60/H60</f>
        <v>1.100923874669347</v>
      </c>
      <c r="J60" s="416">
        <v>101854</v>
      </c>
      <c r="K60" s="417">
        <f>J60/H60</f>
        <v>7.5385200656643336E-2</v>
      </c>
      <c r="L60" s="418">
        <f>M60/J60</f>
        <v>6.5132444479352805E-2</v>
      </c>
      <c r="M60" s="155">
        <v>6634</v>
      </c>
      <c r="N60" s="159">
        <v>5360</v>
      </c>
      <c r="O60" s="419">
        <f>N60/M60</f>
        <v>0.80795899909556823</v>
      </c>
      <c r="P60" s="412">
        <f>E60/M60</f>
        <v>224.21972565571301</v>
      </c>
      <c r="Q60" s="420">
        <f>E60/N60</f>
        <v>277.51374253731348</v>
      </c>
      <c r="R60" s="155">
        <f>N60*T58</f>
        <v>3784160</v>
      </c>
      <c r="S60" s="421">
        <f>R60/E60</f>
        <v>2.5440181576055605</v>
      </c>
      <c r="T60" s="2406"/>
      <c r="U60" s="422">
        <v>421</v>
      </c>
      <c r="V60" s="416">
        <v>352</v>
      </c>
      <c r="W60" s="417">
        <f>V60/U60</f>
        <v>0.83610451306413303</v>
      </c>
      <c r="X60" s="412">
        <f>E60/U60</f>
        <v>3533.1915914489314</v>
      </c>
      <c r="Y60" s="420">
        <f>E60/V60</f>
        <v>4225.7774431818189</v>
      </c>
      <c r="Z60" s="155">
        <f>V60*AB60</f>
        <v>255552</v>
      </c>
      <c r="AA60" s="423">
        <f>Z60/E60</f>
        <v>0.17180270607279188</v>
      </c>
      <c r="AB60" s="413">
        <v>726</v>
      </c>
    </row>
    <row r="61" spans="1:28" s="349" customFormat="1" ht="16.5">
      <c r="B61" s="2338"/>
      <c r="C61" s="424" t="s">
        <v>132</v>
      </c>
      <c r="D61" s="425"/>
      <c r="E61" s="426">
        <f>SUM(F61:G61)</f>
        <v>5223233.04</v>
      </c>
      <c r="F61" s="427">
        <f>SUM(F58:F60)</f>
        <v>2168583.04</v>
      </c>
      <c r="G61" s="428">
        <f>SUM(G58:G60)</f>
        <v>3054650</v>
      </c>
      <c r="H61" s="429">
        <f>SUM(H58:H60)</f>
        <v>4076719</v>
      </c>
      <c r="I61" s="430">
        <f>E61/H61</f>
        <v>1.281234502549722</v>
      </c>
      <c r="J61" s="431">
        <f>SUM(J58:J60)</f>
        <v>256972</v>
      </c>
      <c r="K61" s="432">
        <f>J61/H61</f>
        <v>6.3034023193651562E-2</v>
      </c>
      <c r="L61" s="432">
        <f>M61/J61</f>
        <v>7.2844512242578957E-2</v>
      </c>
      <c r="M61" s="431">
        <f>SUM(M58:M60)</f>
        <v>18719</v>
      </c>
      <c r="N61" s="431">
        <f>SUM(N58:N60)</f>
        <v>15024</v>
      </c>
      <c r="O61" s="433">
        <f>N61/M61</f>
        <v>0.80260697686842242</v>
      </c>
      <c r="P61" s="427">
        <f>E61/M61</f>
        <v>279.03376462417862</v>
      </c>
      <c r="Q61" s="427">
        <f>E61/N61</f>
        <v>347.65928115015976</v>
      </c>
      <c r="R61" s="431">
        <f>N61*T61</f>
        <v>10606944</v>
      </c>
      <c r="S61" s="434">
        <f>R61/E61</f>
        <v>2.030723867530138</v>
      </c>
      <c r="T61" s="428">
        <f>T58</f>
        <v>706</v>
      </c>
      <c r="U61" s="429">
        <f>SUM(U58:U60)</f>
        <v>1041</v>
      </c>
      <c r="V61" s="431">
        <f>SUM(V58:V60)</f>
        <v>793</v>
      </c>
      <c r="W61" s="432">
        <f>V61/U61</f>
        <v>0.76176753121998075</v>
      </c>
      <c r="X61" s="435">
        <f>E61/U61</f>
        <v>5017.5149279538909</v>
      </c>
      <c r="Y61" s="435">
        <f>E61/V61</f>
        <v>6586.6747036569986</v>
      </c>
      <c r="Z61" s="431">
        <f>V61*AB61</f>
        <v>559858</v>
      </c>
      <c r="AA61" s="436">
        <f>Z61/E61</f>
        <v>0.10718610403031147</v>
      </c>
      <c r="AB61" s="428">
        <f>T61</f>
        <v>706</v>
      </c>
    </row>
    <row r="62" spans="1:28" s="348" customFormat="1" ht="16.5">
      <c r="B62" s="2289"/>
      <c r="C62" s="437" t="s">
        <v>133</v>
      </c>
      <c r="D62" s="438"/>
      <c r="E62" s="439">
        <f>E61</f>
        <v>5223233.04</v>
      </c>
      <c r="F62" s="440">
        <f>F61</f>
        <v>2168583.04</v>
      </c>
      <c r="G62" s="441">
        <f>G61</f>
        <v>3054650</v>
      </c>
      <c r="H62" s="144">
        <v>3673704</v>
      </c>
      <c r="I62" s="442">
        <f>E62/H62</f>
        <v>1.4217893003900151</v>
      </c>
      <c r="J62" s="443">
        <v>215670</v>
      </c>
      <c r="K62" s="444">
        <f>J62/H62</f>
        <v>5.8706417283482831E-2</v>
      </c>
      <c r="L62" s="445">
        <f>M62/J62</f>
        <v>7.088143923586962E-2</v>
      </c>
      <c r="M62" s="141">
        <v>15287</v>
      </c>
      <c r="N62" s="141">
        <v>12404</v>
      </c>
      <c r="O62" s="446">
        <f>N62/M62</f>
        <v>0.81140838621050571</v>
      </c>
      <c r="P62" s="440">
        <f>E62/M62</f>
        <v>341.67809511349515</v>
      </c>
      <c r="Q62" s="440">
        <f>E62/N62</f>
        <v>421.09263463398906</v>
      </c>
      <c r="R62" s="141">
        <f>N62*T62</f>
        <v>8757224</v>
      </c>
      <c r="S62" s="447">
        <f>R62/E62</f>
        <v>1.6765907117175074</v>
      </c>
      <c r="T62" s="441">
        <f>T58</f>
        <v>706</v>
      </c>
      <c r="U62" s="448"/>
      <c r="V62" s="443"/>
      <c r="W62" s="444"/>
      <c r="X62" s="440"/>
      <c r="Y62" s="440"/>
      <c r="Z62" s="141"/>
      <c r="AA62" s="449"/>
      <c r="AB62" s="441"/>
    </row>
    <row r="63" spans="1:28" s="349" customFormat="1" ht="16.5">
      <c r="B63" s="233"/>
      <c r="C63" s="232" t="s">
        <v>461</v>
      </c>
      <c r="D63" s="231" t="s">
        <v>462</v>
      </c>
      <c r="E63" s="230"/>
      <c r="F63" s="230"/>
      <c r="G63" s="451"/>
      <c r="H63" s="452"/>
      <c r="I63" s="453"/>
      <c r="J63" s="347" t="s">
        <v>134</v>
      </c>
      <c r="K63" s="454"/>
      <c r="O63" s="455"/>
      <c r="P63" s="455"/>
      <c r="Q63" s="455"/>
      <c r="R63" s="455"/>
      <c r="S63" s="455"/>
      <c r="T63" s="456"/>
      <c r="U63" s="457"/>
    </row>
    <row r="64" spans="1:28" s="349" customFormat="1" ht="16.5">
      <c r="B64" s="227"/>
      <c r="C64" s="226" t="s">
        <v>463</v>
      </c>
      <c r="D64" s="225" t="s">
        <v>135</v>
      </c>
      <c r="E64" s="458" t="e">
        <f>E61/E63</f>
        <v>#DIV/0!</v>
      </c>
      <c r="F64" s="459" t="e">
        <f>F61/F63</f>
        <v>#DIV/0!</v>
      </c>
      <c r="G64" s="460" t="e">
        <f>G61/G63</f>
        <v>#DIV/0!</v>
      </c>
      <c r="P64" s="455"/>
      <c r="Q64" s="455"/>
      <c r="R64" s="455"/>
      <c r="S64" s="455"/>
      <c r="T64" s="342"/>
      <c r="U64" s="342"/>
      <c r="V64" s="342"/>
      <c r="W64" s="455"/>
      <c r="AB64" s="461"/>
    </row>
    <row r="65" spans="1:28" ht="16.5">
      <c r="A65" s="342"/>
      <c r="B65" s="404"/>
      <c r="C65" s="343"/>
      <c r="D65" s="343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</row>
    <row r="66" spans="1:28" ht="16.5">
      <c r="A66" s="342"/>
      <c r="B66" s="404"/>
      <c r="C66" s="343"/>
      <c r="D66" s="343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</row>
    <row r="67" spans="1:28" ht="16.5">
      <c r="A67" s="342"/>
      <c r="B67" s="66" t="s">
        <v>128</v>
      </c>
      <c r="C67" s="343"/>
      <c r="D67" s="343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</row>
    <row r="68" spans="1:28" ht="16.5">
      <c r="A68" s="342"/>
      <c r="B68" s="66" t="s">
        <v>137</v>
      </c>
      <c r="C68" s="343"/>
      <c r="D68" s="343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</row>
    <row r="69" spans="1:28" ht="16.5">
      <c r="A69" s="342"/>
      <c r="B69" s="404"/>
      <c r="C69" s="343"/>
      <c r="D69" s="343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</row>
    <row r="70" spans="1:28" s="348" customFormat="1" ht="50" customHeight="1">
      <c r="B70" s="2371" t="s">
        <v>32</v>
      </c>
      <c r="C70" s="2372" t="s">
        <v>100</v>
      </c>
      <c r="D70" s="2374" t="s">
        <v>101</v>
      </c>
      <c r="E70" s="2376" t="s">
        <v>102</v>
      </c>
      <c r="F70" s="2396"/>
      <c r="G70" s="2397"/>
      <c r="H70" s="2346" t="s">
        <v>103</v>
      </c>
      <c r="I70" s="2347"/>
      <c r="J70" s="2347"/>
      <c r="K70" s="2347"/>
      <c r="L70" s="2347"/>
      <c r="M70" s="2347"/>
      <c r="N70" s="2347"/>
      <c r="O70" s="2347"/>
      <c r="P70" s="2347"/>
      <c r="Q70" s="2347"/>
      <c r="R70" s="2347"/>
      <c r="S70" s="2347"/>
      <c r="T70" s="2348"/>
      <c r="U70" s="2349" t="s">
        <v>27</v>
      </c>
      <c r="V70" s="2350"/>
      <c r="W70" s="2350"/>
      <c r="X70" s="2350"/>
      <c r="Y70" s="2350"/>
      <c r="Z70" s="2350"/>
      <c r="AA70" s="2350"/>
      <c r="AB70" s="2351"/>
    </row>
    <row r="71" spans="1:28" s="349" customFormat="1" ht="66">
      <c r="B71" s="2393"/>
      <c r="C71" s="2394"/>
      <c r="D71" s="2395"/>
      <c r="E71" s="179" t="s">
        <v>26</v>
      </c>
      <c r="F71" s="178" t="s">
        <v>138</v>
      </c>
      <c r="G71" s="174" t="s">
        <v>106</v>
      </c>
      <c r="H71" s="406" t="s">
        <v>23</v>
      </c>
      <c r="I71" s="354" t="s">
        <v>22</v>
      </c>
      <c r="J71" s="351" t="s">
        <v>21</v>
      </c>
      <c r="K71" s="354" t="s">
        <v>20</v>
      </c>
      <c r="L71" s="354" t="s">
        <v>19</v>
      </c>
      <c r="M71" s="355" t="s">
        <v>18</v>
      </c>
      <c r="N71" s="354" t="s">
        <v>17</v>
      </c>
      <c r="O71" s="356" t="s">
        <v>16</v>
      </c>
      <c r="P71" s="357" t="s">
        <v>15</v>
      </c>
      <c r="Q71" s="354" t="s">
        <v>14</v>
      </c>
      <c r="R71" s="354" t="s">
        <v>13</v>
      </c>
      <c r="S71" s="354" t="s">
        <v>12</v>
      </c>
      <c r="T71" s="352" t="s">
        <v>11</v>
      </c>
      <c r="U71" s="407" t="s">
        <v>10</v>
      </c>
      <c r="V71" s="408" t="s">
        <v>9</v>
      </c>
      <c r="W71" s="409" t="s">
        <v>8</v>
      </c>
      <c r="X71" s="409" t="s">
        <v>7</v>
      </c>
      <c r="Y71" s="409" t="s">
        <v>6</v>
      </c>
      <c r="Z71" s="409" t="s">
        <v>5</v>
      </c>
      <c r="AA71" s="409" t="s">
        <v>4</v>
      </c>
      <c r="AB71" s="410" t="s">
        <v>3</v>
      </c>
    </row>
    <row r="72" spans="1:28" s="349" customFormat="1" ht="16.5">
      <c r="B72" s="2288" t="s">
        <v>139</v>
      </c>
      <c r="C72" s="169" t="s">
        <v>900</v>
      </c>
      <c r="D72" s="184" t="s">
        <v>129</v>
      </c>
      <c r="E72" s="411">
        <f>F72+G72</f>
        <v>906405.76</v>
      </c>
      <c r="F72" s="412">
        <v>438475.76</v>
      </c>
      <c r="G72" s="413">
        <v>467930</v>
      </c>
      <c r="H72" s="414">
        <v>771778</v>
      </c>
      <c r="I72" s="415">
        <f>E72/H72</f>
        <v>1.1744384525083638</v>
      </c>
      <c r="J72" s="416">
        <v>46517</v>
      </c>
      <c r="K72" s="417">
        <f>J72/H72</f>
        <v>6.0272513598470023E-2</v>
      </c>
      <c r="L72" s="418">
        <f>M72/J72</f>
        <v>7.8186469462777047E-2</v>
      </c>
      <c r="M72" s="155">
        <v>3637</v>
      </c>
      <c r="N72" s="159">
        <v>2806</v>
      </c>
      <c r="O72" s="419">
        <f>N72/M72</f>
        <v>0.77151498487764636</v>
      </c>
      <c r="P72" s="412">
        <f>E72/M72</f>
        <v>249.21797085510036</v>
      </c>
      <c r="Q72" s="420">
        <f>E72/N72</f>
        <v>323.024148253742</v>
      </c>
      <c r="R72" s="155">
        <f>N72*T72</f>
        <v>1981036</v>
      </c>
      <c r="S72" s="421">
        <f>R72/E72</f>
        <v>2.1855951136056326</v>
      </c>
      <c r="T72" s="2405">
        <v>706</v>
      </c>
      <c r="U72" s="422">
        <v>143</v>
      </c>
      <c r="V72" s="416">
        <v>125</v>
      </c>
      <c r="W72" s="417">
        <f>V72/U72</f>
        <v>0.87412587412587417</v>
      </c>
      <c r="X72" s="412">
        <f>E72/U72</f>
        <v>6338.5018181818186</v>
      </c>
      <c r="Y72" s="420">
        <f>E72/V72</f>
        <v>7251.2460799999999</v>
      </c>
      <c r="Z72" s="155">
        <f>V72*AB72</f>
        <v>182375</v>
      </c>
      <c r="AA72" s="423">
        <f>Z72/E72</f>
        <v>0.2012067972736625</v>
      </c>
      <c r="AB72" s="413">
        <v>1459</v>
      </c>
    </row>
    <row r="73" spans="1:28" s="349" customFormat="1" ht="16.5">
      <c r="B73" s="2338"/>
      <c r="C73" s="169" t="s">
        <v>901</v>
      </c>
      <c r="D73" s="184" t="s">
        <v>130</v>
      </c>
      <c r="E73" s="411">
        <f>F73+G73</f>
        <v>1495893.5</v>
      </c>
      <c r="F73" s="412">
        <v>593131.5</v>
      </c>
      <c r="G73" s="413">
        <v>902762</v>
      </c>
      <c r="H73" s="414">
        <v>1080518</v>
      </c>
      <c r="I73" s="415">
        <f>E73/H73</f>
        <v>1.3844225639924554</v>
      </c>
      <c r="J73" s="416">
        <v>54366</v>
      </c>
      <c r="K73" s="417">
        <f>J73/H73</f>
        <v>5.0314756440892242E-2</v>
      </c>
      <c r="L73" s="418">
        <f>M73/J73</f>
        <v>7.090828826840305E-2</v>
      </c>
      <c r="M73" s="155">
        <v>3855</v>
      </c>
      <c r="N73" s="159">
        <v>3209</v>
      </c>
      <c r="O73" s="419">
        <f>N73/M73</f>
        <v>0.83242542153047994</v>
      </c>
      <c r="P73" s="412">
        <f>E73/M73</f>
        <v>388.03981841763942</v>
      </c>
      <c r="Q73" s="420">
        <f>E73/N73</f>
        <v>466.15565596759114</v>
      </c>
      <c r="R73" s="155">
        <f>N73*T72</f>
        <v>2265554</v>
      </c>
      <c r="S73" s="421">
        <f>R73/E73</f>
        <v>1.5145155721313048</v>
      </c>
      <c r="T73" s="2405"/>
      <c r="U73" s="422">
        <v>282</v>
      </c>
      <c r="V73" s="416">
        <v>166</v>
      </c>
      <c r="W73" s="417">
        <f>V73/U73</f>
        <v>0.58865248226950351</v>
      </c>
      <c r="X73" s="412">
        <f>E73/U73</f>
        <v>5304.5868794326243</v>
      </c>
      <c r="Y73" s="420">
        <f>E73/V73</f>
        <v>9011.4066265060246</v>
      </c>
      <c r="Z73" s="155">
        <f>V73*AB73</f>
        <v>144420</v>
      </c>
      <c r="AA73" s="423">
        <f>Z73/E73</f>
        <v>9.6544306128745122E-2</v>
      </c>
      <c r="AB73" s="413">
        <v>870</v>
      </c>
    </row>
    <row r="74" spans="1:28" s="349" customFormat="1" ht="16.5">
      <c r="B74" s="2338"/>
      <c r="C74" s="169">
        <v>520</v>
      </c>
      <c r="D74" s="184" t="s">
        <v>131</v>
      </c>
      <c r="E74" s="411">
        <f>F74+G74</f>
        <v>1487473.6600000001</v>
      </c>
      <c r="F74" s="412">
        <v>662460.66</v>
      </c>
      <c r="G74" s="413">
        <v>825013</v>
      </c>
      <c r="H74" s="414">
        <v>1351114</v>
      </c>
      <c r="I74" s="415">
        <f>E74/H74</f>
        <v>1.100923874669347</v>
      </c>
      <c r="J74" s="416">
        <v>96488</v>
      </c>
      <c r="K74" s="417">
        <f>J74/H74</f>
        <v>7.1413663095786145E-2</v>
      </c>
      <c r="L74" s="418">
        <f>M74/J74</f>
        <v>6.3956139623580141E-2</v>
      </c>
      <c r="M74" s="155">
        <v>6171</v>
      </c>
      <c r="N74" s="159">
        <v>4973</v>
      </c>
      <c r="O74" s="419">
        <f>N74/M74</f>
        <v>0.80586614811213741</v>
      </c>
      <c r="P74" s="412">
        <f>E74/M74</f>
        <v>241.04256360395399</v>
      </c>
      <c r="Q74" s="420">
        <f>E74/N74</f>
        <v>299.10992559823046</v>
      </c>
      <c r="R74" s="155">
        <f>N74*T72</f>
        <v>3510938</v>
      </c>
      <c r="S74" s="421">
        <f>R74/E74</f>
        <v>2.3603362495844125</v>
      </c>
      <c r="T74" s="2406"/>
      <c r="U74" s="422">
        <v>401</v>
      </c>
      <c r="V74" s="416">
        <v>340</v>
      </c>
      <c r="W74" s="417">
        <f>V74/U74</f>
        <v>0.84788029925187036</v>
      </c>
      <c r="X74" s="412">
        <f>E74/U74</f>
        <v>3709.4106234413971</v>
      </c>
      <c r="Y74" s="420">
        <f>E74/V74</f>
        <v>4374.922529411765</v>
      </c>
      <c r="Z74" s="155">
        <f>V74*AB74</f>
        <v>246840</v>
      </c>
      <c r="AA74" s="423">
        <f>Z74/E74</f>
        <v>0.16594579563849216</v>
      </c>
      <c r="AB74" s="413">
        <v>726</v>
      </c>
    </row>
    <row r="75" spans="1:28" s="349" customFormat="1" ht="16.5">
      <c r="B75" s="2338"/>
      <c r="C75" s="424" t="s">
        <v>132</v>
      </c>
      <c r="D75" s="425"/>
      <c r="E75" s="426">
        <f>SUM(F75:G75)</f>
        <v>3889772.92</v>
      </c>
      <c r="F75" s="427">
        <f>SUM(F72:F74)</f>
        <v>1694067.92</v>
      </c>
      <c r="G75" s="428">
        <f>SUM(G72:G74)</f>
        <v>2195705</v>
      </c>
      <c r="H75" s="429">
        <f>SUM(H72:H74)</f>
        <v>3203410</v>
      </c>
      <c r="I75" s="430">
        <f>E75/H75</f>
        <v>1.2142600915898996</v>
      </c>
      <c r="J75" s="431">
        <f>SUM(J72:J74)</f>
        <v>197371</v>
      </c>
      <c r="K75" s="432">
        <f>J75/H75</f>
        <v>6.1612781379842108E-2</v>
      </c>
      <c r="L75" s="432">
        <f>M75/J75</f>
        <v>6.9224962127161532E-2</v>
      </c>
      <c r="M75" s="431">
        <f>SUM(M72:M74)</f>
        <v>13663</v>
      </c>
      <c r="N75" s="431">
        <f>SUM(N72:N74)</f>
        <v>10988</v>
      </c>
      <c r="O75" s="433">
        <f>N75/M75</f>
        <v>0.80421576520529903</v>
      </c>
      <c r="P75" s="427">
        <f>E75/M75</f>
        <v>284.6939120251775</v>
      </c>
      <c r="Q75" s="427">
        <f>E75/N75</f>
        <v>354.00190389515836</v>
      </c>
      <c r="R75" s="431">
        <f>N75*T75</f>
        <v>7757528</v>
      </c>
      <c r="S75" s="434">
        <f>R75/E75</f>
        <v>1.9943395564592497</v>
      </c>
      <c r="T75" s="428">
        <f>T72</f>
        <v>706</v>
      </c>
      <c r="U75" s="429">
        <f>SUM(U72:U74)</f>
        <v>826</v>
      </c>
      <c r="V75" s="431">
        <f>SUM(V72:V74)</f>
        <v>631</v>
      </c>
      <c r="W75" s="432">
        <f>V75/U75</f>
        <v>0.76392251815980627</v>
      </c>
      <c r="X75" s="435">
        <f>E75/U75</f>
        <v>4709.1681840193705</v>
      </c>
      <c r="Y75" s="435">
        <f>E75/V75</f>
        <v>6164.4578763866875</v>
      </c>
      <c r="Z75" s="431">
        <f>V75*AB75</f>
        <v>445486</v>
      </c>
      <c r="AA75" s="436">
        <f>Z75/E75</f>
        <v>0.11452750820220117</v>
      </c>
      <c r="AB75" s="428">
        <f>T75</f>
        <v>706</v>
      </c>
    </row>
    <row r="76" spans="1:28" s="348" customFormat="1" ht="16.5">
      <c r="B76" s="2289"/>
      <c r="C76" s="437" t="s">
        <v>133</v>
      </c>
      <c r="D76" s="438"/>
      <c r="E76" s="439">
        <f>E75</f>
        <v>3889772.92</v>
      </c>
      <c r="F76" s="440">
        <f>F75</f>
        <v>1694067.92</v>
      </c>
      <c r="G76" s="441">
        <f>G75</f>
        <v>2195705</v>
      </c>
      <c r="H76" s="144">
        <v>2919060</v>
      </c>
      <c r="I76" s="442">
        <f>E76/H76</f>
        <v>1.3325429830150801</v>
      </c>
      <c r="J76" s="443">
        <v>168224</v>
      </c>
      <c r="K76" s="444">
        <f>J76/H76</f>
        <v>5.7629510869937582E-2</v>
      </c>
      <c r="L76" s="445">
        <f>M76/J76</f>
        <v>6.7463619935324334E-2</v>
      </c>
      <c r="M76" s="141">
        <v>11349</v>
      </c>
      <c r="N76" s="141">
        <v>9125</v>
      </c>
      <c r="O76" s="446">
        <f>N76/M76</f>
        <v>0.80403559785003087</v>
      </c>
      <c r="P76" s="440">
        <f>E76/M76</f>
        <v>342.74146797074633</v>
      </c>
      <c r="Q76" s="440">
        <f>E76/N76</f>
        <v>426.27648438356164</v>
      </c>
      <c r="R76" s="141">
        <f>N76*T76</f>
        <v>6442250</v>
      </c>
      <c r="S76" s="447">
        <f>R76/E76</f>
        <v>1.6562020797861896</v>
      </c>
      <c r="T76" s="441">
        <f>T72</f>
        <v>706</v>
      </c>
      <c r="U76" s="448">
        <v>790</v>
      </c>
      <c r="V76" s="443">
        <v>624</v>
      </c>
      <c r="W76" s="444">
        <f>V76/U76</f>
        <v>0.78987341772151898</v>
      </c>
      <c r="X76" s="440">
        <f>E76/U76</f>
        <v>4923.763189873418</v>
      </c>
      <c r="Y76" s="440">
        <f>E76/V76</f>
        <v>6233.6104487179482</v>
      </c>
      <c r="Z76" s="141">
        <f>V76*AB76</f>
        <v>440544</v>
      </c>
      <c r="AA76" s="449">
        <f>Z76/E76</f>
        <v>0.11325699701770765</v>
      </c>
      <c r="AB76" s="441">
        <f>T76</f>
        <v>706</v>
      </c>
    </row>
    <row r="77" spans="1:28" s="349" customFormat="1" ht="16.5">
      <c r="B77" s="233"/>
      <c r="C77" s="232" t="s">
        <v>461</v>
      </c>
      <c r="D77" s="231" t="s">
        <v>462</v>
      </c>
      <c r="E77" s="462"/>
      <c r="F77" s="230"/>
      <c r="G77" s="451">
        <v>2900000</v>
      </c>
      <c r="H77" s="452"/>
      <c r="I77" s="453"/>
      <c r="J77" s="347" t="s">
        <v>140</v>
      </c>
      <c r="K77" s="454"/>
      <c r="O77" s="455"/>
      <c r="P77" s="455"/>
      <c r="Q77" s="455"/>
      <c r="R77" s="455"/>
      <c r="S77" s="455"/>
      <c r="T77" s="456"/>
      <c r="U77" s="457"/>
    </row>
    <row r="78" spans="1:28" s="349" customFormat="1" ht="16.5">
      <c r="B78" s="227"/>
      <c r="C78" s="226" t="s">
        <v>463</v>
      </c>
      <c r="D78" s="225" t="s">
        <v>135</v>
      </c>
      <c r="E78" s="458" t="e">
        <f>E75/E77</f>
        <v>#DIV/0!</v>
      </c>
      <c r="F78" s="459" t="e">
        <f>F75/F77</f>
        <v>#DIV/0!</v>
      </c>
      <c r="G78" s="460">
        <f>G75/G77</f>
        <v>0.75713965517241377</v>
      </c>
      <c r="P78" s="455"/>
      <c r="Q78" s="455"/>
      <c r="R78" s="455"/>
      <c r="S78" s="455"/>
      <c r="T78" s="456"/>
      <c r="U78" s="463"/>
      <c r="W78" s="455"/>
      <c r="AB78" s="461"/>
    </row>
    <row r="79" spans="1:28" ht="16.5">
      <c r="A79" s="342"/>
      <c r="B79" s="404"/>
      <c r="C79" s="343"/>
      <c r="D79" s="343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</row>
    <row r="80" spans="1:28" ht="16.5">
      <c r="A80" s="342"/>
      <c r="B80" s="404"/>
      <c r="C80" s="343"/>
      <c r="D80" s="343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</row>
    <row r="81" spans="1:28" ht="16.5">
      <c r="A81" s="342"/>
      <c r="B81" s="66" t="s">
        <v>128</v>
      </c>
      <c r="C81" s="343"/>
      <c r="D81" s="343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</row>
    <row r="82" spans="1:28" ht="16.5">
      <c r="A82" s="342"/>
      <c r="B82" s="66" t="s">
        <v>141</v>
      </c>
      <c r="C82" s="343"/>
      <c r="D82" s="343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</row>
    <row r="83" spans="1:28" ht="16.5">
      <c r="A83" s="342"/>
      <c r="B83" s="343"/>
      <c r="D83" s="343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</row>
    <row r="84" spans="1:28" s="348" customFormat="1" ht="50" customHeight="1">
      <c r="B84" s="2371" t="s">
        <v>32</v>
      </c>
      <c r="C84" s="2372" t="s">
        <v>100</v>
      </c>
      <c r="D84" s="2374" t="s">
        <v>101</v>
      </c>
      <c r="E84" s="2376" t="s">
        <v>102</v>
      </c>
      <c r="F84" s="2396"/>
      <c r="G84" s="2397"/>
      <c r="H84" s="2346" t="s">
        <v>103</v>
      </c>
      <c r="I84" s="2347"/>
      <c r="J84" s="2347"/>
      <c r="K84" s="2347"/>
      <c r="L84" s="2347"/>
      <c r="M84" s="2347"/>
      <c r="N84" s="2347"/>
      <c r="O84" s="2347"/>
      <c r="P84" s="2347"/>
      <c r="Q84" s="2347"/>
      <c r="R84" s="2347"/>
      <c r="S84" s="2347"/>
      <c r="T84" s="2348"/>
      <c r="U84" s="2349" t="s">
        <v>27</v>
      </c>
      <c r="V84" s="2350"/>
      <c r="W84" s="2350"/>
      <c r="X84" s="2350"/>
      <c r="Y84" s="2350"/>
      <c r="Z84" s="2350"/>
      <c r="AA84" s="2350"/>
      <c r="AB84" s="2351"/>
    </row>
    <row r="85" spans="1:28" s="349" customFormat="1" ht="66">
      <c r="B85" s="2393"/>
      <c r="C85" s="2394"/>
      <c r="D85" s="2395"/>
      <c r="E85" s="179" t="s">
        <v>26</v>
      </c>
      <c r="F85" s="178" t="s">
        <v>138</v>
      </c>
      <c r="G85" s="174" t="s">
        <v>106</v>
      </c>
      <c r="H85" s="406" t="s">
        <v>23</v>
      </c>
      <c r="I85" s="354" t="s">
        <v>22</v>
      </c>
      <c r="J85" s="351" t="s">
        <v>21</v>
      </c>
      <c r="K85" s="354" t="s">
        <v>20</v>
      </c>
      <c r="L85" s="354" t="s">
        <v>19</v>
      </c>
      <c r="M85" s="355" t="s">
        <v>18</v>
      </c>
      <c r="N85" s="354" t="s">
        <v>17</v>
      </c>
      <c r="O85" s="356" t="s">
        <v>16</v>
      </c>
      <c r="P85" s="357" t="s">
        <v>15</v>
      </c>
      <c r="Q85" s="354" t="s">
        <v>14</v>
      </c>
      <c r="R85" s="354" t="s">
        <v>13</v>
      </c>
      <c r="S85" s="354" t="s">
        <v>12</v>
      </c>
      <c r="T85" s="352" t="s">
        <v>11</v>
      </c>
      <c r="U85" s="407" t="s">
        <v>10</v>
      </c>
      <c r="V85" s="408" t="s">
        <v>9</v>
      </c>
      <c r="W85" s="409" t="s">
        <v>8</v>
      </c>
      <c r="X85" s="409" t="s">
        <v>7</v>
      </c>
      <c r="Y85" s="409" t="s">
        <v>6</v>
      </c>
      <c r="Z85" s="409" t="s">
        <v>5</v>
      </c>
      <c r="AA85" s="409" t="s">
        <v>4</v>
      </c>
      <c r="AB85" s="410" t="s">
        <v>3</v>
      </c>
    </row>
    <row r="86" spans="1:28" s="349" customFormat="1" ht="16.5">
      <c r="B86" s="2288" t="s">
        <v>142</v>
      </c>
      <c r="C86" s="169" t="s">
        <v>900</v>
      </c>
      <c r="D86" s="184" t="s">
        <v>129</v>
      </c>
      <c r="E86" s="464">
        <f>F86+G86</f>
        <v>699916.74</v>
      </c>
      <c r="F86" s="465">
        <v>314264.74</v>
      </c>
      <c r="G86" s="182">
        <v>385652</v>
      </c>
      <c r="H86" s="414">
        <v>630302</v>
      </c>
      <c r="I86" s="415">
        <f>E86/H86</f>
        <v>1.110446643037782</v>
      </c>
      <c r="J86" s="416">
        <v>34089</v>
      </c>
      <c r="K86" s="417">
        <f>J86/H86</f>
        <v>5.4083598021265999E-2</v>
      </c>
      <c r="L86" s="418">
        <f>M86/J86</f>
        <v>7.5244213675965857E-2</v>
      </c>
      <c r="M86" s="155">
        <v>2565</v>
      </c>
      <c r="N86" s="159">
        <v>1931</v>
      </c>
      <c r="O86" s="419">
        <f>N86/M86</f>
        <v>0.75282651072124751</v>
      </c>
      <c r="P86" s="412">
        <f>E86/M86</f>
        <v>272.87202339181289</v>
      </c>
      <c r="Q86" s="420">
        <f>E86/N86</f>
        <v>362.46335577421024</v>
      </c>
      <c r="R86" s="155">
        <f>N86*T86</f>
        <v>1293770</v>
      </c>
      <c r="S86" s="421">
        <f>R86/E86</f>
        <v>1.8484627185799272</v>
      </c>
      <c r="T86" s="2405">
        <v>670</v>
      </c>
      <c r="U86" s="422">
        <v>88</v>
      </c>
      <c r="V86" s="416">
        <v>76</v>
      </c>
      <c r="W86" s="417">
        <f>V86/U86</f>
        <v>0.86363636363636365</v>
      </c>
      <c r="X86" s="466">
        <f>E86/U86</f>
        <v>7953.5993181818185</v>
      </c>
      <c r="Y86" s="467">
        <f>E86/V86</f>
        <v>9209.4307894736849</v>
      </c>
      <c r="Z86" s="155">
        <f>V86*AB86</f>
        <v>94240</v>
      </c>
      <c r="AA86" s="423">
        <f>Z86/E86</f>
        <v>0.13464458644038146</v>
      </c>
      <c r="AB86" s="468">
        <v>1240</v>
      </c>
    </row>
    <row r="87" spans="1:28" s="349" customFormat="1" ht="16.5">
      <c r="B87" s="2338"/>
      <c r="C87" s="169" t="s">
        <v>901</v>
      </c>
      <c r="D87" s="184" t="s">
        <v>130</v>
      </c>
      <c r="E87" s="464">
        <f>F87+G87</f>
        <v>512613.93</v>
      </c>
      <c r="F87" s="465">
        <v>55682.93</v>
      </c>
      <c r="G87" s="182">
        <v>456931</v>
      </c>
      <c r="H87" s="414">
        <v>102197</v>
      </c>
      <c r="I87" s="415">
        <f>E87/H87</f>
        <v>5.0159391175866217</v>
      </c>
      <c r="J87" s="416">
        <v>6228</v>
      </c>
      <c r="K87" s="417">
        <f>J87/H87</f>
        <v>6.0941123516345883E-2</v>
      </c>
      <c r="L87" s="418">
        <f>M87/J87</f>
        <v>5.5555555555555552E-2</v>
      </c>
      <c r="M87" s="155">
        <v>346</v>
      </c>
      <c r="N87" s="159">
        <v>251</v>
      </c>
      <c r="O87" s="419">
        <f>N87/M87</f>
        <v>0.72543352601156075</v>
      </c>
      <c r="P87" s="412">
        <f>E87/M87</f>
        <v>1481.5431502890174</v>
      </c>
      <c r="Q87" s="420">
        <f>E87/N87</f>
        <v>2042.2865737051793</v>
      </c>
      <c r="R87" s="155">
        <f>N87*T86</f>
        <v>168170</v>
      </c>
      <c r="S87" s="421">
        <f>R87/E87</f>
        <v>0.32806365601496629</v>
      </c>
      <c r="T87" s="2405"/>
      <c r="U87" s="422">
        <v>48</v>
      </c>
      <c r="V87" s="416">
        <v>28</v>
      </c>
      <c r="W87" s="417">
        <f>V87/U87</f>
        <v>0.58333333333333337</v>
      </c>
      <c r="X87" s="466">
        <f>E87/U87</f>
        <v>10679.456875</v>
      </c>
      <c r="Y87" s="467">
        <f>E87/V87</f>
        <v>18307.640357142856</v>
      </c>
      <c r="Z87" s="155">
        <f>V87*AB87</f>
        <v>19320</v>
      </c>
      <c r="AA87" s="423">
        <f>Z87/E87</f>
        <v>3.7689182578397741E-2</v>
      </c>
      <c r="AB87" s="468">
        <v>690</v>
      </c>
    </row>
    <row r="88" spans="1:28" s="349" customFormat="1" ht="16.5">
      <c r="B88" s="2338"/>
      <c r="C88" s="169">
        <v>520</v>
      </c>
      <c r="D88" s="184" t="s">
        <v>131</v>
      </c>
      <c r="E88" s="464">
        <f t="shared" ref="E88" si="0">F88+G88</f>
        <v>1487473.6600000001</v>
      </c>
      <c r="F88" s="465">
        <v>662460.66</v>
      </c>
      <c r="G88" s="182">
        <v>825013</v>
      </c>
      <c r="H88" s="414">
        <v>1313128</v>
      </c>
      <c r="I88" s="415">
        <f>E88/H88</f>
        <v>1.1327712606844116</v>
      </c>
      <c r="J88" s="416">
        <v>84134</v>
      </c>
      <c r="K88" s="417">
        <f>J88/H88</f>
        <v>6.4071438580245027E-2</v>
      </c>
      <c r="L88" s="418">
        <f>M88/J88</f>
        <v>5.6635842822164641E-2</v>
      </c>
      <c r="M88" s="155">
        <v>4765</v>
      </c>
      <c r="N88" s="159">
        <v>3830</v>
      </c>
      <c r="O88" s="419">
        <f>N88/M88</f>
        <v>0.80377754459601258</v>
      </c>
      <c r="P88" s="412">
        <f>E88/M88</f>
        <v>312.16656033578175</v>
      </c>
      <c r="Q88" s="420">
        <f>E88/N88</f>
        <v>388.37432375979114</v>
      </c>
      <c r="R88" s="155">
        <f>N88*T86</f>
        <v>2566100</v>
      </c>
      <c r="S88" s="421">
        <f>R88/E88</f>
        <v>1.7251397917190681</v>
      </c>
      <c r="T88" s="2406"/>
      <c r="U88" s="422">
        <v>339</v>
      </c>
      <c r="V88" s="416">
        <v>295</v>
      </c>
      <c r="W88" s="417">
        <f>V88/U88</f>
        <v>0.87020648967551617</v>
      </c>
      <c r="X88" s="466">
        <f>E88/U88</f>
        <v>4387.8279056047204</v>
      </c>
      <c r="Y88" s="467">
        <f>E88/V88</f>
        <v>5042.2835932203398</v>
      </c>
      <c r="Z88" s="155">
        <f>V88*AB88</f>
        <v>197650</v>
      </c>
      <c r="AA88" s="423">
        <f>Z88/E88</f>
        <v>0.13287630249533292</v>
      </c>
      <c r="AB88" s="468">
        <v>670</v>
      </c>
    </row>
    <row r="89" spans="1:28" s="349" customFormat="1" ht="16.5">
      <c r="B89" s="2338"/>
      <c r="C89" s="424" t="s">
        <v>132</v>
      </c>
      <c r="D89" s="425"/>
      <c r="E89" s="469">
        <f>SUM(F89:G89)</f>
        <v>2700004.33</v>
      </c>
      <c r="F89" s="470">
        <f>SUM(F86:F88)</f>
        <v>1032408.3300000001</v>
      </c>
      <c r="G89" s="471">
        <f>SUM(G86:G88)</f>
        <v>1667596</v>
      </c>
      <c r="H89" s="429">
        <f>SUM(H86:H88)</f>
        <v>2045627</v>
      </c>
      <c r="I89" s="430">
        <f>E89/H89</f>
        <v>1.3198908354260088</v>
      </c>
      <c r="J89" s="431">
        <f>SUM(J86:J88)</f>
        <v>124451</v>
      </c>
      <c r="K89" s="432">
        <f>J89/H89</f>
        <v>6.0837581826989964E-2</v>
      </c>
      <c r="L89" s="432">
        <f>M89/J89</f>
        <v>6.1678893701135384E-2</v>
      </c>
      <c r="M89" s="431">
        <f>SUM(M86:M88)</f>
        <v>7676</v>
      </c>
      <c r="N89" s="431">
        <f>SUM(N86:N88)</f>
        <v>6012</v>
      </c>
      <c r="O89" s="433">
        <f>N89/M89</f>
        <v>0.78322042730588848</v>
      </c>
      <c r="P89" s="427">
        <f>E89/M89</f>
        <v>351.74626498176133</v>
      </c>
      <c r="Q89" s="427">
        <f>E89/N89</f>
        <v>449.10251663339989</v>
      </c>
      <c r="R89" s="431">
        <f>N89*T89</f>
        <v>4028040</v>
      </c>
      <c r="S89" s="434">
        <f>R89/E89</f>
        <v>1.4918642741584047</v>
      </c>
      <c r="T89" s="428">
        <f>T86</f>
        <v>670</v>
      </c>
      <c r="U89" s="429">
        <f>SUM(U86:U88)</f>
        <v>475</v>
      </c>
      <c r="V89" s="431">
        <f>SUM(V86:V88)</f>
        <v>399</v>
      </c>
      <c r="W89" s="432">
        <f>V89/U89</f>
        <v>0.84</v>
      </c>
      <c r="X89" s="435">
        <f>E89/U89</f>
        <v>5684.2196421052631</v>
      </c>
      <c r="Y89" s="435">
        <f>E89/V89</f>
        <v>6766.9281453634085</v>
      </c>
      <c r="Z89" s="431">
        <f>V89*AB89</f>
        <v>267330</v>
      </c>
      <c r="AA89" s="436">
        <f>Z89/E89</f>
        <v>9.9010952326880161E-2</v>
      </c>
      <c r="AB89" s="428">
        <f>T89</f>
        <v>670</v>
      </c>
    </row>
    <row r="90" spans="1:28" s="348" customFormat="1" ht="16.5">
      <c r="B90" s="2289"/>
      <c r="C90" s="437" t="s">
        <v>133</v>
      </c>
      <c r="D90" s="438"/>
      <c r="E90" s="472">
        <f>E89</f>
        <v>2700004.33</v>
      </c>
      <c r="F90" s="473">
        <f>F89</f>
        <v>1032408.3300000001</v>
      </c>
      <c r="G90" s="474">
        <f>G89</f>
        <v>1667596</v>
      </c>
      <c r="H90" s="144">
        <v>1949364</v>
      </c>
      <c r="I90" s="442">
        <f>E90/H90</f>
        <v>1.3850693508241663</v>
      </c>
      <c r="J90" s="443">
        <v>113174</v>
      </c>
      <c r="K90" s="444">
        <f>J90/H90</f>
        <v>5.8056884194024307E-2</v>
      </c>
      <c r="L90" s="445">
        <f>M90/J90</f>
        <v>5.9801721243395126E-2</v>
      </c>
      <c r="M90" s="141">
        <v>6768</v>
      </c>
      <c r="N90" s="141">
        <v>5384</v>
      </c>
      <c r="O90" s="446">
        <f>N90/M90</f>
        <v>0.79550827423167847</v>
      </c>
      <c r="P90" s="440">
        <f>E90/M90</f>
        <v>398.93680998817968</v>
      </c>
      <c r="Q90" s="440">
        <f>E90/N90</f>
        <v>501.48668833580984</v>
      </c>
      <c r="R90" s="141">
        <f>N90*T90</f>
        <v>3607280</v>
      </c>
      <c r="S90" s="447">
        <f>R90/E90</f>
        <v>1.3360274870374005</v>
      </c>
      <c r="T90" s="441">
        <f>T86</f>
        <v>670</v>
      </c>
      <c r="U90" s="448">
        <v>466</v>
      </c>
      <c r="V90" s="443">
        <v>387</v>
      </c>
      <c r="W90" s="444">
        <f>V90/U90</f>
        <v>0.83047210300429186</v>
      </c>
      <c r="X90" s="440">
        <f>E90/U90</f>
        <v>5794.0007081545064</v>
      </c>
      <c r="Y90" s="440">
        <f>E90/V90</f>
        <v>6976.7553746770027</v>
      </c>
      <c r="Z90" s="141">
        <f>V90*AB90</f>
        <v>259290</v>
      </c>
      <c r="AA90" s="449">
        <f>Z90/E90</f>
        <v>9.6033179324567966E-2</v>
      </c>
      <c r="AB90" s="441">
        <f>T90</f>
        <v>670</v>
      </c>
    </row>
    <row r="91" spans="1:28" s="349" customFormat="1" ht="16.5">
      <c r="B91" s="233"/>
      <c r="C91" s="232" t="s">
        <v>461</v>
      </c>
      <c r="D91" s="231" t="s">
        <v>462</v>
      </c>
      <c r="E91" s="230">
        <v>4049058.5980583401</v>
      </c>
      <c r="F91" s="230">
        <v>1149058.5980583399</v>
      </c>
      <c r="G91" s="228">
        <v>2900000</v>
      </c>
      <c r="H91" s="452"/>
      <c r="I91" s="453"/>
      <c r="J91" s="457"/>
      <c r="K91" s="454"/>
      <c r="O91" s="455"/>
      <c r="P91" s="455"/>
      <c r="Q91" s="455"/>
      <c r="R91" s="455"/>
      <c r="S91" s="455"/>
      <c r="T91" s="456"/>
      <c r="U91" s="457"/>
    </row>
    <row r="92" spans="1:28" s="349" customFormat="1" ht="16.5">
      <c r="B92" s="227"/>
      <c r="C92" s="226" t="s">
        <v>463</v>
      </c>
      <c r="D92" s="225" t="s">
        <v>69</v>
      </c>
      <c r="E92" s="458">
        <f>E89/E91</f>
        <v>0.66682273536242298</v>
      </c>
      <c r="F92" s="458">
        <f>F89/F91</f>
        <v>0.89848188051031208</v>
      </c>
      <c r="G92" s="460">
        <f>G89/G91</f>
        <v>0.57503310344827585</v>
      </c>
      <c r="P92" s="455"/>
      <c r="Q92" s="455"/>
      <c r="R92" s="455"/>
      <c r="S92" s="455"/>
      <c r="T92" s="456"/>
      <c r="U92" s="463"/>
      <c r="W92" s="455"/>
      <c r="AB92" s="461"/>
    </row>
    <row r="93" spans="1:28" ht="16.5">
      <c r="A93" s="342"/>
      <c r="B93" s="404"/>
      <c r="C93" s="343"/>
      <c r="D93" s="343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</row>
    <row r="95" spans="1:28" ht="16.5">
      <c r="A95" s="342"/>
      <c r="B95" s="66" t="s">
        <v>128</v>
      </c>
      <c r="C95" s="343"/>
      <c r="D95" s="343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</row>
    <row r="96" spans="1:28" ht="16.5">
      <c r="A96" s="342"/>
      <c r="B96" s="66" t="s">
        <v>143</v>
      </c>
      <c r="C96" s="343"/>
      <c r="D96" s="343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</row>
    <row r="97" spans="1:28" ht="16.5">
      <c r="A97" s="342"/>
      <c r="B97" s="343"/>
      <c r="D97" s="343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</row>
    <row r="98" spans="1:28" ht="16.5">
      <c r="A98" s="342"/>
      <c r="B98" s="2371" t="s">
        <v>32</v>
      </c>
      <c r="C98" s="2372" t="s">
        <v>100</v>
      </c>
      <c r="D98" s="2374" t="s">
        <v>101</v>
      </c>
      <c r="E98" s="2376" t="s">
        <v>102</v>
      </c>
      <c r="F98" s="2396"/>
      <c r="G98" s="2397"/>
      <c r="H98" s="2346" t="s">
        <v>103</v>
      </c>
      <c r="I98" s="2347"/>
      <c r="J98" s="2347"/>
      <c r="K98" s="2347"/>
      <c r="L98" s="2347"/>
      <c r="M98" s="2347"/>
      <c r="N98" s="2347"/>
      <c r="O98" s="2347"/>
      <c r="P98" s="2347"/>
      <c r="Q98" s="2347"/>
      <c r="R98" s="2347"/>
      <c r="S98" s="2347"/>
      <c r="T98" s="2348"/>
      <c r="U98" s="2349" t="s">
        <v>27</v>
      </c>
      <c r="V98" s="2350"/>
      <c r="W98" s="2350"/>
      <c r="X98" s="2350"/>
      <c r="Y98" s="2350"/>
      <c r="Z98" s="2350"/>
      <c r="AA98" s="2350"/>
      <c r="AB98" s="2351"/>
    </row>
    <row r="99" spans="1:28" ht="66">
      <c r="A99" s="342"/>
      <c r="B99" s="2393"/>
      <c r="C99" s="2394"/>
      <c r="D99" s="2395"/>
      <c r="E99" s="179" t="s">
        <v>104</v>
      </c>
      <c r="F99" s="178" t="s">
        <v>105</v>
      </c>
      <c r="G99" s="174" t="s">
        <v>106</v>
      </c>
      <c r="H99" s="406" t="s">
        <v>107</v>
      </c>
      <c r="I99" s="354" t="s">
        <v>108</v>
      </c>
      <c r="J99" s="351" t="s">
        <v>109</v>
      </c>
      <c r="K99" s="354" t="s">
        <v>110</v>
      </c>
      <c r="L99" s="354" t="s">
        <v>111</v>
      </c>
      <c r="M99" s="355" t="s">
        <v>18</v>
      </c>
      <c r="N99" s="354" t="s">
        <v>17</v>
      </c>
      <c r="O99" s="356" t="s">
        <v>16</v>
      </c>
      <c r="P99" s="357" t="s">
        <v>15</v>
      </c>
      <c r="Q99" s="354" t="s">
        <v>14</v>
      </c>
      <c r="R99" s="354" t="s">
        <v>13</v>
      </c>
      <c r="S99" s="354" t="s">
        <v>12</v>
      </c>
      <c r="T99" s="352" t="s">
        <v>11</v>
      </c>
      <c r="U99" s="407" t="s">
        <v>10</v>
      </c>
      <c r="V99" s="408" t="s">
        <v>9</v>
      </c>
      <c r="W99" s="409" t="s">
        <v>8</v>
      </c>
      <c r="X99" s="409" t="s">
        <v>7</v>
      </c>
      <c r="Y99" s="409" t="s">
        <v>6</v>
      </c>
      <c r="Z99" s="409" t="s">
        <v>5</v>
      </c>
      <c r="AA99" s="409" t="s">
        <v>4</v>
      </c>
      <c r="AB99" s="410" t="s">
        <v>3</v>
      </c>
    </row>
    <row r="100" spans="1:28" ht="16.5">
      <c r="A100" s="342"/>
      <c r="B100" s="2288" t="s">
        <v>144</v>
      </c>
      <c r="C100" s="169" t="s">
        <v>900</v>
      </c>
      <c r="D100" s="184" t="s">
        <v>129</v>
      </c>
      <c r="E100" s="464">
        <f>SUM(F100:G100)</f>
        <v>449155.82</v>
      </c>
      <c r="F100" s="465">
        <v>212399.82</v>
      </c>
      <c r="G100" s="182">
        <v>236756</v>
      </c>
      <c r="H100" s="414">
        <v>424020</v>
      </c>
      <c r="I100" s="415">
        <f>E100/H100</f>
        <v>1.05927979812273</v>
      </c>
      <c r="J100" s="416">
        <v>20578</v>
      </c>
      <c r="K100" s="417">
        <f>J100/H100</f>
        <v>4.853072968256214E-2</v>
      </c>
      <c r="L100" s="418">
        <f>M100/J100</f>
        <v>7.6538050345028669E-2</v>
      </c>
      <c r="M100" s="155">
        <v>1575</v>
      </c>
      <c r="N100" s="159">
        <v>1135</v>
      </c>
      <c r="O100" s="419">
        <f>N100/M100</f>
        <v>0.72063492063492063</v>
      </c>
      <c r="P100" s="163">
        <f>E100/M100</f>
        <v>285.17829841269844</v>
      </c>
      <c r="Q100" s="159">
        <f>E100/N100</f>
        <v>395.73200000000003</v>
      </c>
      <c r="R100" s="155">
        <f>N100*T100</f>
        <v>760450</v>
      </c>
      <c r="S100" s="421">
        <f>R100/E100</f>
        <v>1.693065003588287</v>
      </c>
      <c r="T100" s="2369">
        <v>670</v>
      </c>
      <c r="U100" s="422">
        <v>42</v>
      </c>
      <c r="V100" s="416">
        <v>30</v>
      </c>
      <c r="W100" s="417">
        <f>V100/U100</f>
        <v>0.7142857142857143</v>
      </c>
      <c r="X100" s="157">
        <f>E100/U100</f>
        <v>10694.18619047619</v>
      </c>
      <c r="Y100" s="156">
        <f>E100/V100</f>
        <v>14971.860666666667</v>
      </c>
      <c r="Z100" s="155">
        <f>V100*AB100</f>
        <v>37200</v>
      </c>
      <c r="AA100" s="423">
        <f>Z100/E100</f>
        <v>8.2822037127338127E-2</v>
      </c>
      <c r="AB100" s="468">
        <v>1240</v>
      </c>
    </row>
    <row r="101" spans="1:28" ht="16.5">
      <c r="A101" s="342"/>
      <c r="B101" s="2338"/>
      <c r="C101" s="169">
        <v>520</v>
      </c>
      <c r="D101" s="184" t="s">
        <v>131</v>
      </c>
      <c r="E101" s="464">
        <f>SUM(F101:G101)</f>
        <v>1261045.45</v>
      </c>
      <c r="F101" s="465">
        <v>436032.45</v>
      </c>
      <c r="G101" s="182">
        <v>825013</v>
      </c>
      <c r="H101" s="414">
        <v>845700</v>
      </c>
      <c r="I101" s="415">
        <f>E101/H101</f>
        <v>1.4911262267943715</v>
      </c>
      <c r="J101" s="416">
        <v>48725</v>
      </c>
      <c r="K101" s="417">
        <f>J101/H101</f>
        <v>5.7614993496511765E-2</v>
      </c>
      <c r="L101" s="418">
        <f>M101/J101</f>
        <v>5.6131349409953825E-2</v>
      </c>
      <c r="M101" s="155">
        <v>2735</v>
      </c>
      <c r="N101" s="159">
        <v>2131</v>
      </c>
      <c r="O101" s="419">
        <f>N101/M101</f>
        <v>0.77915904936014624</v>
      </c>
      <c r="P101" s="163">
        <f>E101/M101</f>
        <v>461.07694698354658</v>
      </c>
      <c r="Q101" s="159">
        <f>E101/N101</f>
        <v>591.76229469732516</v>
      </c>
      <c r="R101" s="155">
        <f>N101*T100</f>
        <v>1427770</v>
      </c>
      <c r="S101" s="421">
        <f>R101/E101</f>
        <v>1.1322113727145997</v>
      </c>
      <c r="T101" s="2370"/>
      <c r="U101" s="422">
        <f>1597947-1597773</f>
        <v>174</v>
      </c>
      <c r="V101" s="416">
        <f>1580365-1580230</f>
        <v>135</v>
      </c>
      <c r="W101" s="417">
        <f>V101/U101</f>
        <v>0.77586206896551724</v>
      </c>
      <c r="X101" s="157">
        <f>E101/U101</f>
        <v>7247.3876436781602</v>
      </c>
      <c r="Y101" s="156">
        <f>E101/V101</f>
        <v>9341.077407407407</v>
      </c>
      <c r="Z101" s="155">
        <f>V101*AB101</f>
        <v>90450</v>
      </c>
      <c r="AA101" s="423">
        <f>Z101/E101</f>
        <v>7.1726201462445308E-2</v>
      </c>
      <c r="AB101" s="468">
        <v>670</v>
      </c>
    </row>
    <row r="102" spans="1:28" ht="16.5">
      <c r="A102" s="342"/>
      <c r="B102" s="2338"/>
      <c r="C102" s="424" t="s">
        <v>145</v>
      </c>
      <c r="D102" s="425"/>
      <c r="E102" s="469">
        <f>SUM(F102:G102)</f>
        <v>1710201.27</v>
      </c>
      <c r="F102" s="470">
        <f>SUM(F100:F101)</f>
        <v>648432.27</v>
      </c>
      <c r="G102" s="471">
        <f>SUM(G100:G101)</f>
        <v>1061769</v>
      </c>
      <c r="H102" s="429">
        <f>SUM(H100:H101)</f>
        <v>1269720</v>
      </c>
      <c r="I102" s="430">
        <f>E102/H102</f>
        <v>1.3469121302334373</v>
      </c>
      <c r="J102" s="431">
        <f>SUM(J100:J101)</f>
        <v>69303</v>
      </c>
      <c r="K102" s="432">
        <f>J102/H102</f>
        <v>5.4581325016539083E-2</v>
      </c>
      <c r="L102" s="432">
        <f>M102/J102</f>
        <v>6.2190669956567537E-2</v>
      </c>
      <c r="M102" s="431">
        <f>SUM(M100:M101)</f>
        <v>4310</v>
      </c>
      <c r="N102" s="431">
        <f>SUM(N100:N101)</f>
        <v>3266</v>
      </c>
      <c r="O102" s="433">
        <f>N102/M102</f>
        <v>0.75777262180974481</v>
      </c>
      <c r="P102" s="475">
        <f>E102/M102</f>
        <v>396.79843851508122</v>
      </c>
      <c r="Q102" s="431">
        <f>E102/N102</f>
        <v>523.63786589099811</v>
      </c>
      <c r="R102" s="431">
        <f>N102*T102</f>
        <v>2188220</v>
      </c>
      <c r="S102" s="434">
        <f>R102/E102</f>
        <v>1.2795102181160232</v>
      </c>
      <c r="T102" s="476">
        <f>T100</f>
        <v>670</v>
      </c>
      <c r="U102" s="429">
        <f>SUM(U100:U101)</f>
        <v>216</v>
      </c>
      <c r="V102" s="431">
        <f>SUM(V100:V101)</f>
        <v>165</v>
      </c>
      <c r="W102" s="432">
        <f>V102/U102</f>
        <v>0.76388888888888884</v>
      </c>
      <c r="X102" s="477">
        <f>E102/U102</f>
        <v>7917.598472222222</v>
      </c>
      <c r="Y102" s="477">
        <f>E102/V102</f>
        <v>10364.856181818182</v>
      </c>
      <c r="Z102" s="431">
        <f>V102*AB102</f>
        <v>110550</v>
      </c>
      <c r="AA102" s="436">
        <f>Z102/E102</f>
        <v>6.4641514387367982E-2</v>
      </c>
      <c r="AB102" s="476">
        <f>T102</f>
        <v>670</v>
      </c>
    </row>
    <row r="103" spans="1:28" ht="16.5">
      <c r="A103" s="342"/>
      <c r="B103" s="2289"/>
      <c r="C103" s="437" t="s">
        <v>146</v>
      </c>
      <c r="D103" s="438"/>
      <c r="E103" s="472">
        <f>E102</f>
        <v>1710201.27</v>
      </c>
      <c r="F103" s="473">
        <f>F102</f>
        <v>648432.27</v>
      </c>
      <c r="G103" s="474">
        <f>G102</f>
        <v>1061769</v>
      </c>
      <c r="H103" s="144">
        <v>1224798</v>
      </c>
      <c r="I103" s="442">
        <f>E103/H103</f>
        <v>1.396312918538404</v>
      </c>
      <c r="J103" s="443">
        <v>64200</v>
      </c>
      <c r="K103" s="444">
        <f>J103/H103</f>
        <v>5.2416806689756186E-2</v>
      </c>
      <c r="L103" s="445">
        <f>M103/J103</f>
        <v>6.0389408099688471E-2</v>
      </c>
      <c r="M103" s="141">
        <v>3877</v>
      </c>
      <c r="N103" s="141">
        <v>2939</v>
      </c>
      <c r="O103" s="446">
        <f>N103/M103</f>
        <v>0.75806035594531851</v>
      </c>
      <c r="P103" s="478">
        <f>E103/M103</f>
        <v>441.11459117874648</v>
      </c>
      <c r="Q103" s="141">
        <f>E103/N103</f>
        <v>581.89903708744475</v>
      </c>
      <c r="R103" s="141">
        <f>N103*T103</f>
        <v>1969130</v>
      </c>
      <c r="S103" s="447">
        <f>R103/E103</f>
        <v>1.1514024896028758</v>
      </c>
      <c r="T103" s="479">
        <f>T100</f>
        <v>670</v>
      </c>
      <c r="U103" s="448">
        <v>214</v>
      </c>
      <c r="V103" s="443">
        <v>178</v>
      </c>
      <c r="W103" s="444">
        <f>V103/U103</f>
        <v>0.83177570093457942</v>
      </c>
      <c r="X103" s="480">
        <f>E103/U103</f>
        <v>7991.5947196261686</v>
      </c>
      <c r="Y103" s="480">
        <f>E103/V103</f>
        <v>9607.8723033707865</v>
      </c>
      <c r="Z103" s="141">
        <f>V103*AB103</f>
        <v>119260</v>
      </c>
      <c r="AA103" s="449">
        <f>Z103/E103</f>
        <v>6.9734482187584851E-2</v>
      </c>
      <c r="AB103" s="479">
        <f>T103</f>
        <v>670</v>
      </c>
    </row>
    <row r="104" spans="1:28" s="349" customFormat="1" ht="16.5">
      <c r="B104" s="233"/>
      <c r="C104" s="232" t="s">
        <v>461</v>
      </c>
      <c r="D104" s="231" t="s">
        <v>462</v>
      </c>
      <c r="E104" s="230">
        <f>SUM(F104:G104)</f>
        <v>4049058.5980583401</v>
      </c>
      <c r="F104" s="230">
        <v>1149058.5980583399</v>
      </c>
      <c r="G104" s="228">
        <v>2900000</v>
      </c>
      <c r="H104" s="452"/>
      <c r="I104" s="453"/>
      <c r="J104" s="457"/>
      <c r="K104" s="454"/>
      <c r="O104" s="455"/>
      <c r="P104" s="455"/>
      <c r="Q104" s="455"/>
      <c r="R104" s="455"/>
      <c r="S104" s="455"/>
      <c r="T104" s="456"/>
      <c r="U104" s="457"/>
    </row>
    <row r="105" spans="1:28" s="349" customFormat="1" ht="16.5">
      <c r="B105" s="227"/>
      <c r="C105" s="226" t="s">
        <v>463</v>
      </c>
      <c r="D105" s="225" t="s">
        <v>69</v>
      </c>
      <c r="E105" s="458">
        <f>E102/E104</f>
        <v>0.42237009630339734</v>
      </c>
      <c r="F105" s="458">
        <f>F102/F104</f>
        <v>0.56431610284776601</v>
      </c>
      <c r="G105" s="460">
        <f>G102/G104</f>
        <v>0.36612724137931035</v>
      </c>
      <c r="P105" s="455"/>
      <c r="Q105" s="455"/>
      <c r="R105" s="455"/>
      <c r="S105" s="455"/>
      <c r="T105" s="456"/>
      <c r="U105" s="463"/>
      <c r="W105" s="455"/>
      <c r="AB105" s="461"/>
    </row>
    <row r="106" spans="1:28" ht="16.5">
      <c r="A106" s="342"/>
      <c r="B106" s="404"/>
      <c r="C106" s="343"/>
      <c r="D106" s="343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</row>
    <row r="107" spans="1:28" ht="16.5">
      <c r="A107" s="342"/>
      <c r="B107" s="404"/>
      <c r="C107" s="343"/>
      <c r="D107" s="343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</row>
    <row r="108" spans="1:28" ht="16.5">
      <c r="A108" s="342"/>
      <c r="B108" s="481" t="s">
        <v>128</v>
      </c>
      <c r="C108" s="345"/>
      <c r="D108" s="345"/>
      <c r="E108" s="342"/>
      <c r="F108" s="342"/>
      <c r="G108" s="342"/>
      <c r="H108" s="342"/>
      <c r="I108" s="342"/>
      <c r="J108" s="48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</row>
    <row r="109" spans="1:28" ht="16.5">
      <c r="A109" s="346"/>
      <c r="B109" s="481" t="s">
        <v>147</v>
      </c>
      <c r="C109" s="345"/>
      <c r="D109" s="343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</row>
    <row r="110" spans="1:28" ht="16.5">
      <c r="A110" s="346"/>
      <c r="B110" s="345"/>
      <c r="D110" s="343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</row>
    <row r="111" spans="1:28" ht="16.5" customHeight="1">
      <c r="A111" s="342"/>
      <c r="B111" s="2371" t="s">
        <v>148</v>
      </c>
      <c r="C111" s="2372" t="s">
        <v>149</v>
      </c>
      <c r="D111" s="2374" t="s">
        <v>150</v>
      </c>
      <c r="E111" s="2376" t="s">
        <v>151</v>
      </c>
      <c r="F111" s="2396"/>
      <c r="G111" s="2397"/>
      <c r="H111" s="2402" t="s">
        <v>152</v>
      </c>
      <c r="I111" s="2377"/>
      <c r="J111" s="2377"/>
      <c r="K111" s="2377"/>
      <c r="L111" s="2377"/>
      <c r="M111" s="2377"/>
      <c r="N111" s="2377"/>
      <c r="O111" s="2377"/>
      <c r="P111" s="2377"/>
      <c r="Q111" s="2377"/>
      <c r="R111" s="2377"/>
      <c r="S111" s="2377"/>
      <c r="T111" s="2378"/>
      <c r="U111" s="2402" t="s">
        <v>153</v>
      </c>
      <c r="V111" s="2377"/>
      <c r="W111" s="2377"/>
      <c r="X111" s="2377"/>
      <c r="Y111" s="2377"/>
      <c r="Z111" s="2377"/>
      <c r="AA111" s="2377"/>
      <c r="AB111" s="2378"/>
    </row>
    <row r="112" spans="1:28" ht="66">
      <c r="A112" s="342"/>
      <c r="B112" s="2401"/>
      <c r="C112" s="2394"/>
      <c r="D112" s="2395"/>
      <c r="E112" s="483" t="s">
        <v>154</v>
      </c>
      <c r="F112" s="484" t="s">
        <v>155</v>
      </c>
      <c r="G112" s="485" t="s">
        <v>156</v>
      </c>
      <c r="H112" s="486" t="s">
        <v>107</v>
      </c>
      <c r="I112" s="356" t="s">
        <v>44</v>
      </c>
      <c r="J112" s="484" t="s">
        <v>157</v>
      </c>
      <c r="K112" s="356" t="s">
        <v>110</v>
      </c>
      <c r="L112" s="356" t="s">
        <v>111</v>
      </c>
      <c r="M112" s="487" t="s">
        <v>112</v>
      </c>
      <c r="N112" s="356" t="s">
        <v>113</v>
      </c>
      <c r="O112" s="356" t="s">
        <v>114</v>
      </c>
      <c r="P112" s="488" t="s">
        <v>15</v>
      </c>
      <c r="Q112" s="356" t="s">
        <v>14</v>
      </c>
      <c r="R112" s="356" t="s">
        <v>13</v>
      </c>
      <c r="S112" s="356" t="s">
        <v>12</v>
      </c>
      <c r="T112" s="489" t="s">
        <v>158</v>
      </c>
      <c r="U112" s="490" t="s">
        <v>159</v>
      </c>
      <c r="V112" s="488" t="s">
        <v>67</v>
      </c>
      <c r="W112" s="491" t="s">
        <v>160</v>
      </c>
      <c r="X112" s="491" t="s">
        <v>7</v>
      </c>
      <c r="Y112" s="491" t="s">
        <v>6</v>
      </c>
      <c r="Z112" s="491" t="s">
        <v>71</v>
      </c>
      <c r="AA112" s="491" t="s">
        <v>161</v>
      </c>
      <c r="AB112" s="492" t="s">
        <v>3</v>
      </c>
    </row>
    <row r="113" spans="1:28" ht="16.5">
      <c r="A113" s="342"/>
      <c r="B113" s="493" t="s">
        <v>162</v>
      </c>
      <c r="C113" s="494" t="s">
        <v>902</v>
      </c>
      <c r="D113" s="494" t="s">
        <v>147</v>
      </c>
      <c r="E113" s="495">
        <f>F113+G113</f>
        <v>4098835.55</v>
      </c>
      <c r="F113" s="496">
        <f>916830.73+945339.82</f>
        <v>1862170.5499999998</v>
      </c>
      <c r="G113" s="497">
        <v>2236665</v>
      </c>
      <c r="H113" s="498">
        <v>4906631</v>
      </c>
      <c r="I113" s="499">
        <f>E113/H113</f>
        <v>0.83536657841194906</v>
      </c>
      <c r="J113" s="500">
        <v>329118</v>
      </c>
      <c r="K113" s="501">
        <f>J113/H113</f>
        <v>6.7076166925941649E-2</v>
      </c>
      <c r="L113" s="501">
        <f>M113/J113</f>
        <v>5.9559185459318542E-2</v>
      </c>
      <c r="M113" s="502">
        <v>19602</v>
      </c>
      <c r="N113" s="500">
        <v>16427</v>
      </c>
      <c r="O113" s="501">
        <f>N113/M113</f>
        <v>0.83802673196612587</v>
      </c>
      <c r="P113" s="503">
        <f>E113/M113</f>
        <v>209.10292572186512</v>
      </c>
      <c r="Q113" s="504">
        <f>E113/N113</f>
        <v>249.5182047848055</v>
      </c>
      <c r="R113" s="502">
        <f>N113*T113</f>
        <v>11006090</v>
      </c>
      <c r="S113" s="505">
        <f>(R113)/E113</f>
        <v>2.6851748175161605</v>
      </c>
      <c r="T113" s="506">
        <v>670</v>
      </c>
      <c r="U113" s="507">
        <v>3725</v>
      </c>
      <c r="V113" s="508">
        <v>3075</v>
      </c>
      <c r="W113" s="509">
        <f>V113/U113</f>
        <v>0.82550335570469802</v>
      </c>
      <c r="X113" s="510">
        <f>E113/U113</f>
        <v>1100.3585369127516</v>
      </c>
      <c r="Y113" s="511">
        <f>E113/V113</f>
        <v>1332.954650406504</v>
      </c>
      <c r="Z113" s="502">
        <f>V113*AB113</f>
        <v>2121750</v>
      </c>
      <c r="AA113" s="512">
        <f>Z113/E113</f>
        <v>0.5176470180658993</v>
      </c>
      <c r="AB113" s="513">
        <v>690</v>
      </c>
    </row>
    <row r="114" spans="1:28" ht="16.5">
      <c r="A114" s="342"/>
      <c r="B114" s="342"/>
      <c r="C114" s="343"/>
      <c r="D114" s="343"/>
      <c r="E114" s="347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98"/>
      <c r="U114" s="342"/>
      <c r="V114" s="402"/>
      <c r="W114" s="342"/>
      <c r="X114" s="342"/>
      <c r="Y114" s="342"/>
      <c r="Z114" s="342"/>
      <c r="AA114" s="342"/>
      <c r="AB114" s="342"/>
    </row>
    <row r="116" spans="1:28" ht="16.5">
      <c r="A116" s="342"/>
      <c r="B116" s="342"/>
      <c r="C116" s="344"/>
      <c r="D116" s="344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</row>
    <row r="117" spans="1:28" ht="16.5">
      <c r="A117" s="342"/>
      <c r="B117" s="481" t="s">
        <v>128</v>
      </c>
      <c r="C117" s="345"/>
      <c r="D117" s="345"/>
      <c r="E117" s="342"/>
      <c r="F117" s="342"/>
      <c r="G117" s="342"/>
      <c r="H117" s="342"/>
      <c r="I117" s="342"/>
      <c r="J117" s="48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</row>
    <row r="118" spans="1:28" ht="16.5">
      <c r="A118" s="346"/>
      <c r="B118" s="481" t="s">
        <v>163</v>
      </c>
      <c r="C118" s="345"/>
      <c r="D118" s="343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</row>
    <row r="119" spans="1:28" ht="16.5">
      <c r="A119" s="342"/>
      <c r="B119" s="342"/>
      <c r="C119" s="514"/>
      <c r="D119" s="514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</row>
    <row r="120" spans="1:28" ht="16.5">
      <c r="A120" s="342"/>
      <c r="B120" s="2371" t="s">
        <v>148</v>
      </c>
      <c r="C120" s="2372" t="s">
        <v>149</v>
      </c>
      <c r="D120" s="2372" t="s">
        <v>150</v>
      </c>
      <c r="E120" s="2376" t="s">
        <v>151</v>
      </c>
      <c r="F120" s="2377"/>
      <c r="G120" s="2378"/>
      <c r="H120" s="2377" t="s">
        <v>152</v>
      </c>
      <c r="I120" s="2377"/>
      <c r="J120" s="2377"/>
      <c r="K120" s="2377"/>
      <c r="L120" s="2377"/>
      <c r="M120" s="2377"/>
      <c r="N120" s="2377"/>
      <c r="O120" s="2377"/>
      <c r="P120" s="2377"/>
      <c r="Q120" s="2377"/>
      <c r="R120" s="2377"/>
      <c r="S120" s="2377"/>
      <c r="T120" s="2378"/>
      <c r="U120" s="2402" t="s">
        <v>153</v>
      </c>
      <c r="V120" s="2377"/>
      <c r="W120" s="2377"/>
      <c r="X120" s="2377"/>
      <c r="Y120" s="2377"/>
      <c r="Z120" s="2377"/>
      <c r="AA120" s="2377"/>
      <c r="AB120" s="2378"/>
    </row>
    <row r="121" spans="1:28" ht="66">
      <c r="A121" s="342"/>
      <c r="B121" s="2401"/>
      <c r="C121" s="2373"/>
      <c r="D121" s="2373"/>
      <c r="E121" s="483" t="s">
        <v>154</v>
      </c>
      <c r="F121" s="484" t="s">
        <v>155</v>
      </c>
      <c r="G121" s="485" t="s">
        <v>156</v>
      </c>
      <c r="H121" s="486" t="s">
        <v>23</v>
      </c>
      <c r="I121" s="356" t="s">
        <v>44</v>
      </c>
      <c r="J121" s="484" t="s">
        <v>157</v>
      </c>
      <c r="K121" s="356" t="s">
        <v>20</v>
      </c>
      <c r="L121" s="356" t="s">
        <v>19</v>
      </c>
      <c r="M121" s="487" t="s">
        <v>18</v>
      </c>
      <c r="N121" s="356" t="s">
        <v>17</v>
      </c>
      <c r="O121" s="356" t="s">
        <v>16</v>
      </c>
      <c r="P121" s="488" t="s">
        <v>15</v>
      </c>
      <c r="Q121" s="356" t="s">
        <v>14</v>
      </c>
      <c r="R121" s="356" t="s">
        <v>13</v>
      </c>
      <c r="S121" s="356" t="s">
        <v>12</v>
      </c>
      <c r="T121" s="489" t="s">
        <v>158</v>
      </c>
      <c r="U121" s="490" t="s">
        <v>10</v>
      </c>
      <c r="V121" s="488" t="s">
        <v>67</v>
      </c>
      <c r="W121" s="491" t="s">
        <v>160</v>
      </c>
      <c r="X121" s="491" t="s">
        <v>7</v>
      </c>
      <c r="Y121" s="491" t="s">
        <v>6</v>
      </c>
      <c r="Z121" s="491" t="s">
        <v>71</v>
      </c>
      <c r="AA121" s="491" t="s">
        <v>161</v>
      </c>
      <c r="AB121" s="492" t="s">
        <v>3</v>
      </c>
    </row>
    <row r="122" spans="1:28" ht="16.5">
      <c r="A122" s="342"/>
      <c r="B122" s="493" t="s">
        <v>164</v>
      </c>
      <c r="C122" s="494" t="s">
        <v>903</v>
      </c>
      <c r="D122" s="494" t="s">
        <v>164</v>
      </c>
      <c r="E122" s="495">
        <v>2611272.2800000003</v>
      </c>
      <c r="F122" s="496">
        <v>1684155.28</v>
      </c>
      <c r="G122" s="497">
        <v>927117</v>
      </c>
      <c r="H122" s="498">
        <v>3183802</v>
      </c>
      <c r="I122" s="499">
        <f>E122/H122</f>
        <v>0.82017420681311215</v>
      </c>
      <c r="J122" s="500">
        <v>221805</v>
      </c>
      <c r="K122" s="501">
        <f>J122/H122</f>
        <v>6.9666706660778524E-2</v>
      </c>
      <c r="L122" s="501">
        <f>M122/J122</f>
        <v>5.4439710556569959E-2</v>
      </c>
      <c r="M122" s="502">
        <v>12075</v>
      </c>
      <c r="N122" s="500">
        <v>10338</v>
      </c>
      <c r="O122" s="501">
        <f>N122/M122</f>
        <v>0.85614906832298132</v>
      </c>
      <c r="P122" s="503">
        <f>E122/M122</f>
        <v>216.254433126294</v>
      </c>
      <c r="Q122" s="504">
        <f>E122/N122</f>
        <v>252.5896962662024</v>
      </c>
      <c r="R122" s="502">
        <f>N122*$T$122</f>
        <v>6926460</v>
      </c>
      <c r="S122" s="505">
        <f>(R122)/E122</f>
        <v>2.6525230834985924</v>
      </c>
      <c r="T122" s="506">
        <v>670</v>
      </c>
      <c r="U122" s="507">
        <v>1819</v>
      </c>
      <c r="V122" s="508">
        <v>1654</v>
      </c>
      <c r="W122" s="509">
        <f>V122/U122</f>
        <v>0.90929081913139087</v>
      </c>
      <c r="X122" s="510">
        <f>E122/U122</f>
        <v>1435.5537548103355</v>
      </c>
      <c r="Y122" s="511">
        <f>E122/V122</f>
        <v>1578.7619588875455</v>
      </c>
      <c r="Z122" s="502">
        <f>V122*AB122</f>
        <v>1108180</v>
      </c>
      <c r="AA122" s="512">
        <f>Z122/E122</f>
        <v>0.42438316696717659</v>
      </c>
      <c r="AB122" s="513">
        <v>670</v>
      </c>
    </row>
    <row r="123" spans="1:28" ht="16.5">
      <c r="A123" s="342"/>
      <c r="B123" s="342"/>
      <c r="C123" s="343"/>
      <c r="D123" s="343"/>
      <c r="E123" s="347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402"/>
      <c r="W123" s="342"/>
      <c r="X123" s="342"/>
      <c r="Y123" s="342"/>
      <c r="Z123" s="342"/>
      <c r="AA123" s="342"/>
      <c r="AB123" s="342"/>
    </row>
    <row r="126" spans="1:28" ht="14.5">
      <c r="B126" s="481" t="s">
        <v>128</v>
      </c>
    </row>
    <row r="127" spans="1:28" ht="16.5">
      <c r="A127" s="342"/>
      <c r="B127" s="481" t="s">
        <v>165</v>
      </c>
      <c r="C127" s="514"/>
      <c r="D127" s="514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</row>
    <row r="128" spans="1:28" ht="16.5">
      <c r="A128" s="342"/>
      <c r="B128" s="515"/>
      <c r="C128" s="343"/>
      <c r="D128" s="343"/>
      <c r="E128" s="343"/>
      <c r="F128" s="343"/>
      <c r="G128" s="343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7" t="s">
        <v>904</v>
      </c>
      <c r="V128" s="342"/>
      <c r="W128" s="342"/>
      <c r="X128" s="342"/>
      <c r="Y128" s="342"/>
      <c r="Z128" s="342"/>
      <c r="AA128" s="342"/>
      <c r="AB128" s="342"/>
    </row>
    <row r="129" spans="1:29" ht="38" customHeight="1">
      <c r="A129" s="342"/>
      <c r="B129" s="2371" t="s">
        <v>148</v>
      </c>
      <c r="C129" s="2372" t="s">
        <v>149</v>
      </c>
      <c r="D129" s="2372" t="s">
        <v>150</v>
      </c>
      <c r="E129" s="2376" t="s">
        <v>151</v>
      </c>
      <c r="F129" s="2377"/>
      <c r="G129" s="2378"/>
      <c r="H129" s="2377" t="s">
        <v>152</v>
      </c>
      <c r="I129" s="2377"/>
      <c r="J129" s="2377"/>
      <c r="K129" s="2377"/>
      <c r="L129" s="2377"/>
      <c r="M129" s="2377"/>
      <c r="N129" s="2377"/>
      <c r="O129" s="2377"/>
      <c r="P129" s="2377"/>
      <c r="Q129" s="2377"/>
      <c r="R129" s="2377"/>
      <c r="S129" s="2377"/>
      <c r="T129" s="2378"/>
      <c r="U129" s="2402" t="s">
        <v>153</v>
      </c>
      <c r="V129" s="2377"/>
      <c r="W129" s="2377"/>
      <c r="X129" s="2377"/>
      <c r="Y129" s="2377"/>
      <c r="Z129" s="2377"/>
      <c r="AA129" s="2377"/>
      <c r="AB129" s="2378"/>
    </row>
    <row r="130" spans="1:29" ht="66">
      <c r="A130" s="342"/>
      <c r="B130" s="2401"/>
      <c r="C130" s="2394"/>
      <c r="D130" s="2394"/>
      <c r="E130" s="516" t="s">
        <v>154</v>
      </c>
      <c r="F130" s="517" t="s">
        <v>155</v>
      </c>
      <c r="G130" s="518" t="s">
        <v>156</v>
      </c>
      <c r="H130" s="519" t="s">
        <v>23</v>
      </c>
      <c r="I130" s="520" t="s">
        <v>44</v>
      </c>
      <c r="J130" s="517" t="s">
        <v>157</v>
      </c>
      <c r="K130" s="520" t="s">
        <v>20</v>
      </c>
      <c r="L130" s="520" t="s">
        <v>19</v>
      </c>
      <c r="M130" s="521" t="s">
        <v>18</v>
      </c>
      <c r="N130" s="520" t="s">
        <v>17</v>
      </c>
      <c r="O130" s="520" t="s">
        <v>16</v>
      </c>
      <c r="P130" s="522" t="s">
        <v>15</v>
      </c>
      <c r="Q130" s="520" t="s">
        <v>14</v>
      </c>
      <c r="R130" s="520" t="s">
        <v>13</v>
      </c>
      <c r="S130" s="520" t="s">
        <v>12</v>
      </c>
      <c r="T130" s="358" t="s">
        <v>11</v>
      </c>
      <c r="U130" s="523" t="s">
        <v>10</v>
      </c>
      <c r="V130" s="522" t="s">
        <v>67</v>
      </c>
      <c r="W130" s="524" t="s">
        <v>160</v>
      </c>
      <c r="X130" s="524" t="s">
        <v>7</v>
      </c>
      <c r="Y130" s="524" t="s">
        <v>6</v>
      </c>
      <c r="Z130" s="524" t="s">
        <v>71</v>
      </c>
      <c r="AA130" s="524" t="s">
        <v>161</v>
      </c>
      <c r="AB130" s="525" t="s">
        <v>3</v>
      </c>
    </row>
    <row r="131" spans="1:29" ht="16.5">
      <c r="A131" s="342"/>
      <c r="B131" s="2403" t="s">
        <v>165</v>
      </c>
      <c r="C131" s="526" t="s">
        <v>905</v>
      </c>
      <c r="D131" s="526" t="s">
        <v>166</v>
      </c>
      <c r="E131" s="527">
        <v>744133.34</v>
      </c>
      <c r="F131" s="528">
        <v>237133.34</v>
      </c>
      <c r="G131" s="529">
        <v>507000</v>
      </c>
      <c r="H131" s="530">
        <v>297236</v>
      </c>
      <c r="I131" s="531">
        <f>E131/H131</f>
        <v>2.5035101400907021</v>
      </c>
      <c r="J131" s="186">
        <v>25804</v>
      </c>
      <c r="K131" s="165">
        <f>J131/H131</f>
        <v>8.681317202492296E-2</v>
      </c>
      <c r="L131" s="532">
        <f>M131/J131</f>
        <v>7.9445047279491546E-2</v>
      </c>
      <c r="M131" s="533">
        <v>2050</v>
      </c>
      <c r="N131" s="186">
        <v>1647</v>
      </c>
      <c r="O131" s="532">
        <f>N131/M131</f>
        <v>0.80341463414634151</v>
      </c>
      <c r="P131" s="534">
        <f>E131/M131</f>
        <v>362.99187317073171</v>
      </c>
      <c r="Q131" s="535">
        <f>E131/N131</f>
        <v>451.81137826350937</v>
      </c>
      <c r="R131" s="533">
        <f>N131*$T$131</f>
        <v>1103490</v>
      </c>
      <c r="S131" s="536">
        <f>(R131)/E131</f>
        <v>1.482919714361945</v>
      </c>
      <c r="T131" s="2380">
        <v>670</v>
      </c>
      <c r="U131" s="537" t="s">
        <v>62</v>
      </c>
      <c r="V131" s="538" t="s">
        <v>62</v>
      </c>
      <c r="W131" s="539" t="s">
        <v>167</v>
      </c>
      <c r="X131" s="540" t="s">
        <v>167</v>
      </c>
      <c r="Y131" s="541" t="s">
        <v>167</v>
      </c>
      <c r="Z131" s="188" t="s">
        <v>167</v>
      </c>
      <c r="AA131" s="542" t="s">
        <v>167</v>
      </c>
      <c r="AB131" s="543">
        <v>1150</v>
      </c>
    </row>
    <row r="132" spans="1:29" ht="16.5">
      <c r="A132" s="342"/>
      <c r="B132" s="2403"/>
      <c r="C132" s="526" t="s">
        <v>903</v>
      </c>
      <c r="D132" s="526" t="s">
        <v>164</v>
      </c>
      <c r="E132" s="527">
        <v>1351921.69</v>
      </c>
      <c r="F132" s="528">
        <v>546864.68999999994</v>
      </c>
      <c r="G132" s="529">
        <v>805057</v>
      </c>
      <c r="H132" s="530">
        <v>3985108</v>
      </c>
      <c r="I132" s="531">
        <f>E132/H132</f>
        <v>0.33924342577415717</v>
      </c>
      <c r="J132" s="186">
        <v>131734</v>
      </c>
      <c r="K132" s="165">
        <f>J132/H132</f>
        <v>3.3056569608653018E-2</v>
      </c>
      <c r="L132" s="532">
        <f>M132/J132</f>
        <v>5.4541728027692166E-2</v>
      </c>
      <c r="M132" s="533">
        <v>7185</v>
      </c>
      <c r="N132" s="186">
        <v>6074</v>
      </c>
      <c r="O132" s="532">
        <f>N132/M132</f>
        <v>0.84537230340988168</v>
      </c>
      <c r="P132" s="534">
        <f>E132/M132</f>
        <v>188.15889909533749</v>
      </c>
      <c r="Q132" s="535">
        <f>E132/N132</f>
        <v>222.57518768521567</v>
      </c>
      <c r="R132" s="533">
        <f>N132*$T$131</f>
        <v>4069580</v>
      </c>
      <c r="S132" s="536">
        <f>(R132)/E132</f>
        <v>3.0102187353766032</v>
      </c>
      <c r="T132" s="2369"/>
      <c r="U132" s="537">
        <v>897</v>
      </c>
      <c r="V132" s="538">
        <v>809</v>
      </c>
      <c r="W132" s="539">
        <f>V132/U132</f>
        <v>0.90189520624303232</v>
      </c>
      <c r="X132" s="540">
        <f>E132/U132</f>
        <v>1507.1590746934226</v>
      </c>
      <c r="Y132" s="541">
        <f>E132/V132</f>
        <v>1671.1022126081582</v>
      </c>
      <c r="Z132" s="188">
        <f>V132*AB132</f>
        <v>542030</v>
      </c>
      <c r="AA132" s="542">
        <f>Z132/E132</f>
        <v>0.400932985992702</v>
      </c>
      <c r="AB132" s="543">
        <v>670</v>
      </c>
    </row>
    <row r="133" spans="1:29" ht="16.5">
      <c r="A133" s="342"/>
      <c r="B133" s="2403"/>
      <c r="C133" s="544" t="s">
        <v>36</v>
      </c>
      <c r="D133" s="545"/>
      <c r="E133" s="546">
        <f>SUM(F133:G133)</f>
        <v>2096055.0299999998</v>
      </c>
      <c r="F133" s="547">
        <f>SUM(F131:F132)</f>
        <v>783998.02999999991</v>
      </c>
      <c r="G133" s="548">
        <f>SUM(G131:G132)</f>
        <v>1312057</v>
      </c>
      <c r="H133" s="549">
        <v>4213063</v>
      </c>
      <c r="I133" s="550">
        <f>E133/H133</f>
        <v>0.49751333649651092</v>
      </c>
      <c r="J133" s="551">
        <v>147422</v>
      </c>
      <c r="K133" s="552">
        <f>J133/H133</f>
        <v>3.4991643846768963E-2</v>
      </c>
      <c r="L133" s="552">
        <f>M133/J133</f>
        <v>5.6239909918465357E-2</v>
      </c>
      <c r="M133" s="551">
        <v>8291</v>
      </c>
      <c r="N133" s="551">
        <v>6976</v>
      </c>
      <c r="O133" s="552">
        <f>N133/M133</f>
        <v>0.84139428295742369</v>
      </c>
      <c r="P133" s="551">
        <f>E133/M133</f>
        <v>252.81088288505606</v>
      </c>
      <c r="Q133" s="551">
        <f>E133/N133</f>
        <v>300.4666040711009</v>
      </c>
      <c r="R133" s="553">
        <f>N133*$T$131</f>
        <v>4673920</v>
      </c>
      <c r="S133" s="554">
        <f>(R133)/E133</f>
        <v>2.2298651195240806</v>
      </c>
      <c r="T133" s="551"/>
      <c r="U133" s="555">
        <v>1034</v>
      </c>
      <c r="V133" s="556">
        <v>912</v>
      </c>
      <c r="W133" s="557">
        <f>V133/U133</f>
        <v>0.88201160541586077</v>
      </c>
      <c r="X133" s="558">
        <f>E133/U133</f>
        <v>2027.1325241779496</v>
      </c>
      <c r="Y133" s="558">
        <f>E133/V133</f>
        <v>2298.3059539473684</v>
      </c>
      <c r="Z133" s="551">
        <f>V133*AB133</f>
        <v>611040</v>
      </c>
      <c r="AA133" s="559">
        <f>Z133/E133</f>
        <v>0.29151906379099218</v>
      </c>
      <c r="AB133" s="560">
        <v>670</v>
      </c>
    </row>
    <row r="134" spans="1:29" ht="16.5">
      <c r="A134" s="342"/>
      <c r="B134" s="2404"/>
      <c r="C134" s="561" t="s">
        <v>168</v>
      </c>
      <c r="D134" s="561"/>
      <c r="E134" s="562">
        <f>SUM(F134:G134)</f>
        <v>2096055.0299999998</v>
      </c>
      <c r="F134" s="563">
        <f>SUM(F131:F132)</f>
        <v>783998.02999999991</v>
      </c>
      <c r="G134" s="564">
        <f>SUM(G131:G132)</f>
        <v>1312057</v>
      </c>
      <c r="H134" s="565">
        <f>SUM(H131:H132)</f>
        <v>4282344</v>
      </c>
      <c r="I134" s="566">
        <f>E134/H134</f>
        <v>0.48946442182132022</v>
      </c>
      <c r="J134" s="567">
        <f>SUM(J131:J132)</f>
        <v>157538</v>
      </c>
      <c r="K134" s="568">
        <f>J134/H134</f>
        <v>3.678779658990497E-2</v>
      </c>
      <c r="L134" s="569">
        <f>M134/J134</f>
        <v>5.8620777209308229E-2</v>
      </c>
      <c r="M134" s="570">
        <f>SUM(M131:M132)</f>
        <v>9235</v>
      </c>
      <c r="N134" s="570">
        <f>SUM(N131:N132)</f>
        <v>7721</v>
      </c>
      <c r="O134" s="569">
        <f>N134/M134</f>
        <v>0.83605847319978344</v>
      </c>
      <c r="P134" s="571">
        <f>E134/M134</f>
        <v>226.96860097455331</v>
      </c>
      <c r="Q134" s="571">
        <f>E134/N134</f>
        <v>271.47455381427272</v>
      </c>
      <c r="R134" s="570">
        <f>N134*T131</f>
        <v>5173070</v>
      </c>
      <c r="S134" s="572">
        <f>(R134)/E134</f>
        <v>2.4680029512393102</v>
      </c>
      <c r="T134" s="573"/>
      <c r="U134" s="574">
        <f>SUM(U132)</f>
        <v>897</v>
      </c>
      <c r="V134" s="567">
        <f>SUM(V132)</f>
        <v>809</v>
      </c>
      <c r="W134" s="575">
        <f>V134/U134</f>
        <v>0.90189520624303232</v>
      </c>
      <c r="X134" s="576">
        <f>E134/U134</f>
        <v>2336.7391638795984</v>
      </c>
      <c r="Y134" s="576">
        <f>E134/V134</f>
        <v>2590.9209270704573</v>
      </c>
      <c r="Z134" s="567">
        <f>V134*AB134</f>
        <v>542030</v>
      </c>
      <c r="AA134" s="577">
        <f>Z134/E134</f>
        <v>0.25859530987600077</v>
      </c>
      <c r="AB134" s="578">
        <v>670</v>
      </c>
    </row>
    <row r="135" spans="1:29" ht="16.5">
      <c r="A135" s="342"/>
      <c r="B135" s="579"/>
      <c r="C135" s="579"/>
      <c r="D135" s="579"/>
      <c r="E135" s="579"/>
      <c r="F135" s="579"/>
      <c r="G135" s="579"/>
      <c r="H135" s="579"/>
      <c r="I135" s="579"/>
      <c r="J135" s="579"/>
      <c r="K135" s="579"/>
      <c r="L135" s="579"/>
      <c r="M135" s="579"/>
      <c r="N135" s="579"/>
      <c r="O135" s="579"/>
      <c r="P135" s="579"/>
      <c r="Q135" s="579"/>
      <c r="R135" s="579"/>
      <c r="S135" s="579"/>
      <c r="T135" s="579"/>
      <c r="U135" s="579"/>
      <c r="V135" s="579"/>
      <c r="W135" s="579"/>
      <c r="X135" s="579"/>
      <c r="Y135" s="579"/>
      <c r="Z135" s="579"/>
      <c r="AA135" s="579"/>
      <c r="AB135" s="579"/>
      <c r="AC135" s="579"/>
    </row>
    <row r="136" spans="1:29" ht="16.5">
      <c r="A136" s="342"/>
      <c r="B136" s="404"/>
      <c r="C136" s="343"/>
      <c r="D136" s="343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</row>
    <row r="137" spans="1:29" ht="14.5">
      <c r="B137" s="481" t="s">
        <v>128</v>
      </c>
    </row>
    <row r="138" spans="1:29" ht="14.5">
      <c r="B138" s="481" t="s">
        <v>169</v>
      </c>
    </row>
    <row r="140" spans="1:29" s="342" customFormat="1" ht="32.5" customHeight="1">
      <c r="B140" s="2371" t="s">
        <v>148</v>
      </c>
      <c r="C140" s="2372" t="s">
        <v>149</v>
      </c>
      <c r="D140" s="2372" t="s">
        <v>150</v>
      </c>
      <c r="E140" s="2376" t="s">
        <v>151</v>
      </c>
      <c r="F140" s="2377"/>
      <c r="G140" s="2378"/>
      <c r="H140" s="2377" t="s">
        <v>152</v>
      </c>
      <c r="I140" s="2377"/>
      <c r="J140" s="2377"/>
      <c r="K140" s="2377"/>
      <c r="L140" s="2377"/>
      <c r="M140" s="2377"/>
      <c r="N140" s="2377"/>
      <c r="O140" s="2377"/>
      <c r="P140" s="2377"/>
      <c r="Q140" s="2377"/>
      <c r="R140" s="2377"/>
      <c r="S140" s="2377"/>
      <c r="T140" s="2378"/>
      <c r="U140" s="2402" t="s">
        <v>153</v>
      </c>
      <c r="V140" s="2377"/>
      <c r="W140" s="2377"/>
      <c r="X140" s="2377"/>
      <c r="Y140" s="2377"/>
      <c r="Z140" s="2377"/>
      <c r="AA140" s="2377"/>
      <c r="AB140" s="2378"/>
    </row>
    <row r="141" spans="1:29" s="342" customFormat="1" ht="66">
      <c r="B141" s="2401"/>
      <c r="C141" s="2394"/>
      <c r="D141" s="2394"/>
      <c r="E141" s="516" t="s">
        <v>154</v>
      </c>
      <c r="F141" s="517" t="s">
        <v>155</v>
      </c>
      <c r="G141" s="518" t="s">
        <v>156</v>
      </c>
      <c r="H141" s="519" t="s">
        <v>23</v>
      </c>
      <c r="I141" s="520" t="s">
        <v>44</v>
      </c>
      <c r="J141" s="517" t="s">
        <v>157</v>
      </c>
      <c r="K141" s="520" t="s">
        <v>20</v>
      </c>
      <c r="L141" s="520" t="s">
        <v>19</v>
      </c>
      <c r="M141" s="521" t="s">
        <v>18</v>
      </c>
      <c r="N141" s="520" t="s">
        <v>17</v>
      </c>
      <c r="O141" s="520" t="s">
        <v>16</v>
      </c>
      <c r="P141" s="522" t="s">
        <v>15</v>
      </c>
      <c r="Q141" s="520" t="s">
        <v>14</v>
      </c>
      <c r="R141" s="520" t="s">
        <v>13</v>
      </c>
      <c r="S141" s="520" t="s">
        <v>12</v>
      </c>
      <c r="T141" s="489" t="s">
        <v>11</v>
      </c>
      <c r="U141" s="523" t="s">
        <v>10</v>
      </c>
      <c r="V141" s="522" t="s">
        <v>67</v>
      </c>
      <c r="W141" s="524" t="s">
        <v>160</v>
      </c>
      <c r="X141" s="524" t="s">
        <v>7</v>
      </c>
      <c r="Y141" s="524" t="s">
        <v>6</v>
      </c>
      <c r="Z141" s="524" t="s">
        <v>71</v>
      </c>
      <c r="AA141" s="524" t="s">
        <v>161</v>
      </c>
      <c r="AB141" s="525" t="s">
        <v>3</v>
      </c>
    </row>
    <row r="142" spans="1:29" s="342" customFormat="1" ht="32" customHeight="1">
      <c r="B142" s="580" t="s">
        <v>170</v>
      </c>
      <c r="C142" s="526" t="s">
        <v>906</v>
      </c>
      <c r="D142" s="526" t="s">
        <v>171</v>
      </c>
      <c r="E142" s="581">
        <f>SUM(F142:G142)</f>
        <v>4914498.1899999995</v>
      </c>
      <c r="F142" s="582">
        <v>1944054.25</v>
      </c>
      <c r="G142" s="583">
        <v>2970443.94</v>
      </c>
      <c r="H142" s="530">
        <v>6748257</v>
      </c>
      <c r="I142" s="584">
        <f>E142/H142</f>
        <v>0.72826185932159959</v>
      </c>
      <c r="J142" s="186">
        <v>591720</v>
      </c>
      <c r="K142" s="165">
        <f>J142/H142</f>
        <v>8.768486440276356E-2</v>
      </c>
      <c r="L142" s="532">
        <f>M142/J142</f>
        <v>6.1228283647671196E-2</v>
      </c>
      <c r="M142" s="533">
        <v>36230</v>
      </c>
      <c r="N142" s="186">
        <v>31086</v>
      </c>
      <c r="O142" s="532">
        <f>N142/M142</f>
        <v>0.85801821694728131</v>
      </c>
      <c r="P142" s="534">
        <f>E142/M142</f>
        <v>135.64720369859231</v>
      </c>
      <c r="Q142" s="535">
        <f>E142/N142</f>
        <v>158.09361738403138</v>
      </c>
      <c r="R142" s="533">
        <f>N142*$T$142</f>
        <v>20827620</v>
      </c>
      <c r="S142" s="536">
        <f>(R142)/E142</f>
        <v>4.2379952529802445</v>
      </c>
      <c r="T142" s="585">
        <v>670</v>
      </c>
      <c r="U142" s="537">
        <v>1383</v>
      </c>
      <c r="V142" s="538">
        <v>1167</v>
      </c>
      <c r="W142" s="539">
        <f>V142/U142</f>
        <v>0.8438177874186551</v>
      </c>
      <c r="X142" s="540">
        <f>E142/U142</f>
        <v>3553.5055603759938</v>
      </c>
      <c r="Y142" s="541">
        <f>E142/V142</f>
        <v>4211.2238131962295</v>
      </c>
      <c r="Z142" s="188">
        <f>V142*AB142</f>
        <v>781890</v>
      </c>
      <c r="AA142" s="542">
        <f>Z142/E142</f>
        <v>0.15909864441317459</v>
      </c>
      <c r="AB142" s="543">
        <v>670</v>
      </c>
    </row>
    <row r="143" spans="1:29" s="342" customFormat="1" ht="16.5">
      <c r="B143" s="586"/>
      <c r="C143" s="561" t="s">
        <v>117</v>
      </c>
      <c r="D143" s="561"/>
      <c r="E143" s="587">
        <f>SUM(F143:G143)</f>
        <v>4914498.1899999995</v>
      </c>
      <c r="F143" s="588">
        <f>SUM(F142:F142)</f>
        <v>1944054.25</v>
      </c>
      <c r="G143" s="589">
        <f>SUM(G142:G142)</f>
        <v>2970443.94</v>
      </c>
      <c r="H143" s="565">
        <f>SUM(H142:H142)</f>
        <v>6748257</v>
      </c>
      <c r="I143" s="590">
        <f>E143/H143</f>
        <v>0.72826185932159959</v>
      </c>
      <c r="J143" s="567">
        <f>SUM(J142:J142)</f>
        <v>591720</v>
      </c>
      <c r="K143" s="568">
        <f>J143/H143</f>
        <v>8.768486440276356E-2</v>
      </c>
      <c r="L143" s="569">
        <f>M143/J143</f>
        <v>6.1228283647671196E-2</v>
      </c>
      <c r="M143" s="570">
        <f>SUM(M142:M142)</f>
        <v>36230</v>
      </c>
      <c r="N143" s="570">
        <f>SUM(N142:N142)</f>
        <v>31086</v>
      </c>
      <c r="O143" s="569">
        <f>N143/M143</f>
        <v>0.85801821694728131</v>
      </c>
      <c r="P143" s="571">
        <f>E143/M143</f>
        <v>135.64720369859231</v>
      </c>
      <c r="Q143" s="571">
        <f>E143/N143</f>
        <v>158.09361738403138</v>
      </c>
      <c r="R143" s="570">
        <f>N143*T142</f>
        <v>20827620</v>
      </c>
      <c r="S143" s="572">
        <f>(R143)/E143</f>
        <v>4.2379952529802445</v>
      </c>
      <c r="T143" s="573"/>
      <c r="U143" s="574">
        <f>SUM(U142:U142)</f>
        <v>1383</v>
      </c>
      <c r="V143" s="567">
        <f>SUM(V142:V142)</f>
        <v>1167</v>
      </c>
      <c r="W143" s="575">
        <f>V143/U143</f>
        <v>0.8438177874186551</v>
      </c>
      <c r="X143" s="576">
        <f>E143/U143</f>
        <v>3553.5055603759938</v>
      </c>
      <c r="Y143" s="576">
        <f>E143/V143</f>
        <v>4211.2238131962295</v>
      </c>
      <c r="Z143" s="567">
        <f>V143*AB143</f>
        <v>781890</v>
      </c>
      <c r="AA143" s="577">
        <f>Z143/E143</f>
        <v>0.15909864441317459</v>
      </c>
      <c r="AB143" s="578">
        <f>T142</f>
        <v>670</v>
      </c>
    </row>
    <row r="146" spans="2:28" ht="14.5">
      <c r="B146" s="481" t="s">
        <v>128</v>
      </c>
    </row>
    <row r="147" spans="2:28" ht="14.5">
      <c r="B147" s="481" t="s">
        <v>172</v>
      </c>
    </row>
    <row r="149" spans="2:28" s="342" customFormat="1" ht="33.5" customHeight="1">
      <c r="B149" s="2371" t="s">
        <v>148</v>
      </c>
      <c r="C149" s="2372" t="s">
        <v>149</v>
      </c>
      <c r="D149" s="2372" t="s">
        <v>150</v>
      </c>
      <c r="E149" s="2376" t="s">
        <v>151</v>
      </c>
      <c r="F149" s="2377"/>
      <c r="G149" s="2378"/>
      <c r="H149" s="2377" t="s">
        <v>152</v>
      </c>
      <c r="I149" s="2377"/>
      <c r="J149" s="2377"/>
      <c r="K149" s="2377"/>
      <c r="L149" s="2377"/>
      <c r="M149" s="2377"/>
      <c r="N149" s="2377"/>
      <c r="O149" s="2377"/>
      <c r="P149" s="2377"/>
      <c r="Q149" s="2377"/>
      <c r="R149" s="2377"/>
      <c r="S149" s="2377"/>
      <c r="T149" s="2378"/>
      <c r="U149" s="2402" t="s">
        <v>153</v>
      </c>
      <c r="V149" s="2377"/>
      <c r="W149" s="2377"/>
      <c r="X149" s="2377"/>
      <c r="Y149" s="2377"/>
      <c r="Z149" s="2377"/>
      <c r="AA149" s="2377"/>
      <c r="AB149" s="2378"/>
    </row>
    <row r="150" spans="2:28" s="342" customFormat="1" ht="66">
      <c r="B150" s="2401"/>
      <c r="C150" s="2394"/>
      <c r="D150" s="2394"/>
      <c r="E150" s="516" t="s">
        <v>154</v>
      </c>
      <c r="F150" s="517" t="s">
        <v>155</v>
      </c>
      <c r="G150" s="518" t="s">
        <v>156</v>
      </c>
      <c r="H150" s="519" t="s">
        <v>23</v>
      </c>
      <c r="I150" s="520" t="s">
        <v>44</v>
      </c>
      <c r="J150" s="517" t="s">
        <v>21</v>
      </c>
      <c r="K150" s="520" t="s">
        <v>20</v>
      </c>
      <c r="L150" s="520" t="s">
        <v>19</v>
      </c>
      <c r="M150" s="521" t="s">
        <v>18</v>
      </c>
      <c r="N150" s="520" t="s">
        <v>17</v>
      </c>
      <c r="O150" s="520" t="s">
        <v>16</v>
      </c>
      <c r="P150" s="522" t="s">
        <v>15</v>
      </c>
      <c r="Q150" s="520" t="s">
        <v>14</v>
      </c>
      <c r="R150" s="520" t="s">
        <v>13</v>
      </c>
      <c r="S150" s="520" t="s">
        <v>12</v>
      </c>
      <c r="T150" s="489" t="s">
        <v>11</v>
      </c>
      <c r="U150" s="523" t="s">
        <v>10</v>
      </c>
      <c r="V150" s="522" t="s">
        <v>67</v>
      </c>
      <c r="W150" s="524" t="s">
        <v>160</v>
      </c>
      <c r="X150" s="524" t="s">
        <v>7</v>
      </c>
      <c r="Y150" s="524" t="s">
        <v>6</v>
      </c>
      <c r="Z150" s="524" t="s">
        <v>71</v>
      </c>
      <c r="AA150" s="524" t="s">
        <v>161</v>
      </c>
      <c r="AB150" s="525" t="s">
        <v>3</v>
      </c>
    </row>
    <row r="151" spans="2:28" s="342" customFormat="1" ht="16.5">
      <c r="B151" s="591" t="s">
        <v>1</v>
      </c>
      <c r="C151" s="526" t="s">
        <v>906</v>
      </c>
      <c r="D151" s="526" t="s">
        <v>173</v>
      </c>
      <c r="E151" s="581">
        <f>SUM(F151:G151)</f>
        <v>3614300.14</v>
      </c>
      <c r="F151" s="582">
        <v>751538.14</v>
      </c>
      <c r="G151" s="583">
        <v>2862762</v>
      </c>
      <c r="H151" s="530">
        <v>4933298</v>
      </c>
      <c r="I151" s="584">
        <f>E151/H151</f>
        <v>0.73263365399779212</v>
      </c>
      <c r="J151" s="186">
        <v>292522</v>
      </c>
      <c r="K151" s="165">
        <f>J151/H151</f>
        <v>5.9295424683447055E-2</v>
      </c>
      <c r="L151" s="532">
        <f>M151/J151</f>
        <v>6.9618695345991077E-2</v>
      </c>
      <c r="M151" s="533">
        <v>20365</v>
      </c>
      <c r="N151" s="186">
        <v>17063</v>
      </c>
      <c r="O151" s="532">
        <f>N151/M151</f>
        <v>0.83785907193714704</v>
      </c>
      <c r="P151" s="534">
        <f>E151/M151</f>
        <v>177.47606874539653</v>
      </c>
      <c r="Q151" s="535">
        <f>E151/N151</f>
        <v>211.82090722616186</v>
      </c>
      <c r="R151" s="533">
        <f>N151*$T$151</f>
        <v>11432210</v>
      </c>
      <c r="S151" s="536">
        <f>(R151)/E151</f>
        <v>3.1630494306430235</v>
      </c>
      <c r="T151" s="585">
        <v>670</v>
      </c>
      <c r="U151" s="537">
        <v>810</v>
      </c>
      <c r="V151" s="538">
        <v>654</v>
      </c>
      <c r="W151" s="539">
        <f>V151/U151</f>
        <v>0.80740740740740746</v>
      </c>
      <c r="X151" s="540">
        <f>E151/U151</f>
        <v>4462.0989382716052</v>
      </c>
      <c r="Y151" s="541">
        <f>E151/V151</f>
        <v>5526.4528134556576</v>
      </c>
      <c r="Z151" s="188">
        <f>V151*AB151</f>
        <v>438180</v>
      </c>
      <c r="AA151" s="542">
        <f>Z151/E151</f>
        <v>0.12123508923639086</v>
      </c>
      <c r="AB151" s="543">
        <v>670</v>
      </c>
    </row>
    <row r="152" spans="2:28" s="342" customFormat="1" ht="16.5">
      <c r="B152" s="586"/>
      <c r="C152" s="561" t="s">
        <v>117</v>
      </c>
      <c r="D152" s="561"/>
      <c r="E152" s="587">
        <f>SUM(F152:G152)</f>
        <v>3614300.14</v>
      </c>
      <c r="F152" s="588">
        <f>SUM(F151:F151)</f>
        <v>751538.14</v>
      </c>
      <c r="G152" s="589">
        <f>SUM(G151:G151)</f>
        <v>2862762</v>
      </c>
      <c r="H152" s="565">
        <f>SUM(H151:H151)</f>
        <v>4933298</v>
      </c>
      <c r="I152" s="590">
        <f>E152/H152</f>
        <v>0.73263365399779212</v>
      </c>
      <c r="J152" s="567">
        <f>SUM(J151:J151)</f>
        <v>292522</v>
      </c>
      <c r="K152" s="568">
        <f>J152/H152</f>
        <v>5.9295424683447055E-2</v>
      </c>
      <c r="L152" s="569">
        <f>M152/J152</f>
        <v>6.9618695345991077E-2</v>
      </c>
      <c r="M152" s="570">
        <f>SUM(M151:M151)</f>
        <v>20365</v>
      </c>
      <c r="N152" s="570">
        <f>SUM(N151:N151)</f>
        <v>17063</v>
      </c>
      <c r="O152" s="569">
        <f>N152/M152</f>
        <v>0.83785907193714704</v>
      </c>
      <c r="P152" s="571">
        <f>E152/M152</f>
        <v>177.47606874539653</v>
      </c>
      <c r="Q152" s="571">
        <f>E152/N152</f>
        <v>211.82090722616186</v>
      </c>
      <c r="R152" s="570">
        <f>N152*T151</f>
        <v>11432210</v>
      </c>
      <c r="S152" s="572">
        <f>(R152)/E152</f>
        <v>3.1630494306430235</v>
      </c>
      <c r="T152" s="573"/>
      <c r="U152" s="574">
        <f>SUM(U151:U151)</f>
        <v>810</v>
      </c>
      <c r="V152" s="567">
        <f>SUM(V151:V151)</f>
        <v>654</v>
      </c>
      <c r="W152" s="575">
        <f>V152/U152</f>
        <v>0.80740740740740746</v>
      </c>
      <c r="X152" s="576">
        <f>E152/U152</f>
        <v>4462.0989382716052</v>
      </c>
      <c r="Y152" s="576">
        <f>E152/V152</f>
        <v>5526.4528134556576</v>
      </c>
      <c r="Z152" s="567">
        <f>V152*AB152</f>
        <v>438180</v>
      </c>
      <c r="AA152" s="577">
        <f>Z152/E152</f>
        <v>0.12123508923639086</v>
      </c>
      <c r="AB152" s="578">
        <f>T151</f>
        <v>670</v>
      </c>
    </row>
    <row r="155" spans="2:28" ht="14.5">
      <c r="B155" s="481" t="s">
        <v>128</v>
      </c>
    </row>
    <row r="156" spans="2:28" ht="14.5">
      <c r="B156" s="481" t="s">
        <v>174</v>
      </c>
    </row>
    <row r="158" spans="2:28" s="342" customFormat="1" ht="32" customHeight="1">
      <c r="B158" s="2371" t="s">
        <v>148</v>
      </c>
      <c r="C158" s="2372" t="s">
        <v>149</v>
      </c>
      <c r="D158" s="2372" t="s">
        <v>150</v>
      </c>
      <c r="E158" s="2376" t="s">
        <v>151</v>
      </c>
      <c r="F158" s="2377"/>
      <c r="G158" s="2378"/>
      <c r="H158" s="2377" t="s">
        <v>152</v>
      </c>
      <c r="I158" s="2377"/>
      <c r="J158" s="2377"/>
      <c r="K158" s="2377"/>
      <c r="L158" s="2377"/>
      <c r="M158" s="2377"/>
      <c r="N158" s="2377"/>
      <c r="O158" s="2377"/>
      <c r="P158" s="2377"/>
      <c r="Q158" s="2377"/>
      <c r="R158" s="2377"/>
      <c r="S158" s="2377"/>
      <c r="T158" s="2378"/>
      <c r="U158" s="2402" t="s">
        <v>153</v>
      </c>
      <c r="V158" s="2377"/>
      <c r="W158" s="2377"/>
      <c r="X158" s="2377"/>
      <c r="Y158" s="2377"/>
      <c r="Z158" s="2377"/>
      <c r="AA158" s="2377"/>
      <c r="AB158" s="2378"/>
    </row>
    <row r="159" spans="2:28" s="342" customFormat="1" ht="66">
      <c r="B159" s="2401"/>
      <c r="C159" s="2394"/>
      <c r="D159" s="2394"/>
      <c r="E159" s="516" t="s">
        <v>154</v>
      </c>
      <c r="F159" s="517" t="s">
        <v>155</v>
      </c>
      <c r="G159" s="518" t="s">
        <v>156</v>
      </c>
      <c r="H159" s="519" t="s">
        <v>23</v>
      </c>
      <c r="I159" s="520" t="s">
        <v>44</v>
      </c>
      <c r="J159" s="517" t="s">
        <v>21</v>
      </c>
      <c r="K159" s="520" t="s">
        <v>20</v>
      </c>
      <c r="L159" s="520" t="s">
        <v>19</v>
      </c>
      <c r="M159" s="521" t="s">
        <v>18</v>
      </c>
      <c r="N159" s="520" t="s">
        <v>17</v>
      </c>
      <c r="O159" s="520" t="s">
        <v>16</v>
      </c>
      <c r="P159" s="522" t="s">
        <v>15</v>
      </c>
      <c r="Q159" s="520" t="s">
        <v>14</v>
      </c>
      <c r="R159" s="520" t="s">
        <v>13</v>
      </c>
      <c r="S159" s="520" t="s">
        <v>12</v>
      </c>
      <c r="T159" s="489" t="s">
        <v>11</v>
      </c>
      <c r="U159" s="523" t="s">
        <v>10</v>
      </c>
      <c r="V159" s="522" t="s">
        <v>67</v>
      </c>
      <c r="W159" s="524" t="s">
        <v>160</v>
      </c>
      <c r="X159" s="524" t="s">
        <v>7</v>
      </c>
      <c r="Y159" s="524" t="s">
        <v>6</v>
      </c>
      <c r="Z159" s="524" t="s">
        <v>71</v>
      </c>
      <c r="AA159" s="524" t="s">
        <v>161</v>
      </c>
      <c r="AB159" s="525" t="s">
        <v>3</v>
      </c>
    </row>
    <row r="160" spans="2:28" s="342" customFormat="1" ht="16.5">
      <c r="B160" s="591" t="s">
        <v>41</v>
      </c>
      <c r="C160" s="526" t="s">
        <v>906</v>
      </c>
      <c r="D160" s="526" t="s">
        <v>173</v>
      </c>
      <c r="E160" s="581">
        <f>SUM(F160:G160)</f>
        <v>1283541.78</v>
      </c>
      <c r="F160" s="582">
        <v>430845.78</v>
      </c>
      <c r="G160" s="583">
        <v>852696</v>
      </c>
      <c r="H160" s="530">
        <v>2909511</v>
      </c>
      <c r="I160" s="584">
        <f>E160/H160</f>
        <v>0.44115378151173856</v>
      </c>
      <c r="J160" s="186">
        <v>170149</v>
      </c>
      <c r="K160" s="165">
        <f>J160/H160</f>
        <v>5.8480273832956807E-2</v>
      </c>
      <c r="L160" s="532">
        <f>M160/J160</f>
        <v>7.3629583482712216E-2</v>
      </c>
      <c r="M160" s="533">
        <v>12528</v>
      </c>
      <c r="N160" s="186">
        <v>10304</v>
      </c>
      <c r="O160" s="532">
        <f>N160/M160</f>
        <v>0.82247765006385698</v>
      </c>
      <c r="P160" s="534">
        <f>E160/M160</f>
        <v>102.45384578544062</v>
      </c>
      <c r="Q160" s="535">
        <f>E160/N160</f>
        <v>124.56733113354038</v>
      </c>
      <c r="R160" s="533">
        <f>N160*$T$160</f>
        <v>6903680</v>
      </c>
      <c r="S160" s="536">
        <f>(R160)/E160</f>
        <v>5.3786172819399773</v>
      </c>
      <c r="T160" s="585">
        <v>670</v>
      </c>
      <c r="U160" s="537">
        <v>476</v>
      </c>
      <c r="V160" s="538">
        <v>399</v>
      </c>
      <c r="W160" s="539">
        <f>V160/U160</f>
        <v>0.83823529411764708</v>
      </c>
      <c r="X160" s="540">
        <f>E160/U160</f>
        <v>2696.5163445378153</v>
      </c>
      <c r="Y160" s="541">
        <f>E160/V160</f>
        <v>3216.8966917293233</v>
      </c>
      <c r="Z160" s="188">
        <f>V160*AB160</f>
        <v>267330</v>
      </c>
      <c r="AA160" s="542">
        <f>Z160/E160</f>
        <v>0.20827526159686052</v>
      </c>
      <c r="AB160" s="543">
        <v>670</v>
      </c>
    </row>
    <row r="161" spans="2:28" s="342" customFormat="1" ht="16.5">
      <c r="B161" s="586"/>
      <c r="C161" s="561" t="s">
        <v>117</v>
      </c>
      <c r="D161" s="561"/>
      <c r="E161" s="587">
        <f>SUM(F161:G161)</f>
        <v>1283541.78</v>
      </c>
      <c r="F161" s="588">
        <f>SUM(F160:F160)</f>
        <v>430845.78</v>
      </c>
      <c r="G161" s="589">
        <f>SUM(G160:G160)</f>
        <v>852696</v>
      </c>
      <c r="H161" s="565">
        <f>SUM(H160:H160)</f>
        <v>2909511</v>
      </c>
      <c r="I161" s="590">
        <f>E161/H161</f>
        <v>0.44115378151173856</v>
      </c>
      <c r="J161" s="567">
        <f>SUM(J160:J160)</f>
        <v>170149</v>
      </c>
      <c r="K161" s="568">
        <f>J161/H161</f>
        <v>5.8480273832956807E-2</v>
      </c>
      <c r="L161" s="569">
        <f>M161/J161</f>
        <v>7.3629583482712216E-2</v>
      </c>
      <c r="M161" s="570">
        <f>SUM(M160:M160)</f>
        <v>12528</v>
      </c>
      <c r="N161" s="570">
        <f>SUM(N160:N160)</f>
        <v>10304</v>
      </c>
      <c r="O161" s="569">
        <f>N161/M161</f>
        <v>0.82247765006385698</v>
      </c>
      <c r="P161" s="571">
        <f>E161/M161</f>
        <v>102.45384578544062</v>
      </c>
      <c r="Q161" s="571">
        <f>E161/N161</f>
        <v>124.56733113354038</v>
      </c>
      <c r="R161" s="570">
        <f>N161*T160</f>
        <v>6903680</v>
      </c>
      <c r="S161" s="572">
        <f>(R161)/E161</f>
        <v>5.3786172819399773</v>
      </c>
      <c r="T161" s="573"/>
      <c r="U161" s="574">
        <f>SUM(U160:U160)</f>
        <v>476</v>
      </c>
      <c r="V161" s="567">
        <f>SUM(V160:V160)</f>
        <v>399</v>
      </c>
      <c r="W161" s="575">
        <f>V161/U161</f>
        <v>0.83823529411764708</v>
      </c>
      <c r="X161" s="576">
        <f>E161/U161</f>
        <v>2696.5163445378153</v>
      </c>
      <c r="Y161" s="576">
        <f>E161/V161</f>
        <v>3216.8966917293233</v>
      </c>
      <c r="Z161" s="567">
        <f>V161*AB161</f>
        <v>267330</v>
      </c>
      <c r="AA161" s="577">
        <f>Z161/E161</f>
        <v>0.20827526159686052</v>
      </c>
      <c r="AB161" s="578">
        <f>T160</f>
        <v>670</v>
      </c>
    </row>
    <row r="164" spans="2:28" ht="14.5">
      <c r="B164" s="481" t="s">
        <v>128</v>
      </c>
    </row>
    <row r="165" spans="2:28" ht="14.5">
      <c r="B165" s="481" t="s">
        <v>175</v>
      </c>
    </row>
    <row r="167" spans="2:28" s="342" customFormat="1" ht="36" customHeight="1">
      <c r="B167" s="2371" t="s">
        <v>148</v>
      </c>
      <c r="C167" s="2372" t="s">
        <v>149</v>
      </c>
      <c r="D167" s="2372" t="s">
        <v>150</v>
      </c>
      <c r="E167" s="2376" t="s">
        <v>151</v>
      </c>
      <c r="F167" s="2377"/>
      <c r="G167" s="2378"/>
      <c r="H167" s="2377" t="s">
        <v>152</v>
      </c>
      <c r="I167" s="2377"/>
      <c r="J167" s="2377"/>
      <c r="K167" s="2377"/>
      <c r="L167" s="2377"/>
      <c r="M167" s="2377"/>
      <c r="N167" s="2377"/>
      <c r="O167" s="2377"/>
      <c r="P167" s="2377"/>
      <c r="Q167" s="2377"/>
      <c r="R167" s="2377"/>
      <c r="S167" s="2377"/>
      <c r="T167" s="2378"/>
      <c r="U167" s="2402" t="s">
        <v>153</v>
      </c>
      <c r="V167" s="2377"/>
      <c r="W167" s="2377"/>
      <c r="X167" s="2377"/>
      <c r="Y167" s="2377"/>
      <c r="Z167" s="2377"/>
      <c r="AA167" s="2377"/>
      <c r="AB167" s="2378"/>
    </row>
    <row r="168" spans="2:28" s="342" customFormat="1" ht="66">
      <c r="B168" s="2401"/>
      <c r="C168" s="2394"/>
      <c r="D168" s="2394"/>
      <c r="E168" s="516" t="s">
        <v>154</v>
      </c>
      <c r="F168" s="517" t="s">
        <v>155</v>
      </c>
      <c r="G168" s="518" t="s">
        <v>156</v>
      </c>
      <c r="H168" s="519" t="s">
        <v>23</v>
      </c>
      <c r="I168" s="520" t="s">
        <v>44</v>
      </c>
      <c r="J168" s="517" t="s">
        <v>21</v>
      </c>
      <c r="K168" s="520" t="s">
        <v>20</v>
      </c>
      <c r="L168" s="520" t="s">
        <v>19</v>
      </c>
      <c r="M168" s="521" t="s">
        <v>18</v>
      </c>
      <c r="N168" s="520" t="s">
        <v>17</v>
      </c>
      <c r="O168" s="520" t="s">
        <v>16</v>
      </c>
      <c r="P168" s="522" t="s">
        <v>15</v>
      </c>
      <c r="Q168" s="520" t="s">
        <v>14</v>
      </c>
      <c r="R168" s="520" t="s">
        <v>13</v>
      </c>
      <c r="S168" s="520" t="s">
        <v>12</v>
      </c>
      <c r="T168" s="489" t="s">
        <v>11</v>
      </c>
      <c r="U168" s="523" t="s">
        <v>10</v>
      </c>
      <c r="V168" s="522" t="s">
        <v>67</v>
      </c>
      <c r="W168" s="524" t="s">
        <v>160</v>
      </c>
      <c r="X168" s="524" t="s">
        <v>7</v>
      </c>
      <c r="Y168" s="524" t="s">
        <v>6</v>
      </c>
      <c r="Z168" s="524" t="s">
        <v>71</v>
      </c>
      <c r="AA168" s="524" t="s">
        <v>161</v>
      </c>
      <c r="AB168" s="525" t="s">
        <v>3</v>
      </c>
    </row>
    <row r="169" spans="2:28" s="342" customFormat="1" ht="16.5">
      <c r="B169" s="591" t="s">
        <v>39</v>
      </c>
      <c r="C169" s="526" t="s">
        <v>906</v>
      </c>
      <c r="D169" s="526" t="s">
        <v>173</v>
      </c>
      <c r="E169" s="581">
        <f>SUM(F169:G169)</f>
        <v>1071838.76</v>
      </c>
      <c r="F169" s="582">
        <v>219142.76</v>
      </c>
      <c r="G169" s="583">
        <v>852696</v>
      </c>
      <c r="H169" s="530">
        <v>1857627</v>
      </c>
      <c r="I169" s="584">
        <f>E169/H169</f>
        <v>0.57699352991746999</v>
      </c>
      <c r="J169" s="186">
        <v>105213</v>
      </c>
      <c r="K169" s="165">
        <f>J169/H169</f>
        <v>5.6638388653911687E-2</v>
      </c>
      <c r="L169" s="532">
        <f>M169/J169</f>
        <v>7.879254464752454E-2</v>
      </c>
      <c r="M169" s="533">
        <v>8290</v>
      </c>
      <c r="N169" s="186">
        <v>6760</v>
      </c>
      <c r="O169" s="532">
        <f>N169/M169</f>
        <v>0.81544028950542824</v>
      </c>
      <c r="P169" s="534">
        <f>E169/M169</f>
        <v>129.29297466827504</v>
      </c>
      <c r="Q169" s="535">
        <f>E169/N169</f>
        <v>158.55602958579883</v>
      </c>
      <c r="R169" s="533">
        <f>N169*$T$169</f>
        <v>4529200</v>
      </c>
      <c r="S169" s="536">
        <f>(R169)/E169</f>
        <v>4.2256355797396239</v>
      </c>
      <c r="T169" s="585">
        <v>670</v>
      </c>
      <c r="U169" s="537">
        <v>292</v>
      </c>
      <c r="V169" s="538">
        <v>236</v>
      </c>
      <c r="W169" s="539">
        <f>V169/U169</f>
        <v>0.80821917808219179</v>
      </c>
      <c r="X169" s="540">
        <f>E169/U169</f>
        <v>3670.6806849315067</v>
      </c>
      <c r="Y169" s="541">
        <f>E169/V169</f>
        <v>4541.6896610169488</v>
      </c>
      <c r="Z169" s="188">
        <f>V169*AB169</f>
        <v>158120</v>
      </c>
      <c r="AA169" s="542">
        <f>Z169/E169</f>
        <v>0.14752218887848392</v>
      </c>
      <c r="AB169" s="543">
        <v>670</v>
      </c>
    </row>
    <row r="170" spans="2:28" s="342" customFormat="1" ht="16.5">
      <c r="B170" s="586"/>
      <c r="C170" s="561" t="s">
        <v>117</v>
      </c>
      <c r="D170" s="561"/>
      <c r="E170" s="587">
        <f>SUM(F170:G170)</f>
        <v>1071838.76</v>
      </c>
      <c r="F170" s="588">
        <f>SUM(F169:F169)</f>
        <v>219142.76</v>
      </c>
      <c r="G170" s="589">
        <f>SUM(G169:G169)</f>
        <v>852696</v>
      </c>
      <c r="H170" s="565">
        <f>SUM(H169:H169)</f>
        <v>1857627</v>
      </c>
      <c r="I170" s="590">
        <f>E170/H170</f>
        <v>0.57699352991746999</v>
      </c>
      <c r="J170" s="567">
        <f>SUM(J169:J169)</f>
        <v>105213</v>
      </c>
      <c r="K170" s="568">
        <f>J170/H170</f>
        <v>5.6638388653911687E-2</v>
      </c>
      <c r="L170" s="569">
        <f>M170/J170</f>
        <v>7.879254464752454E-2</v>
      </c>
      <c r="M170" s="570">
        <f>SUM(M169:M169)</f>
        <v>8290</v>
      </c>
      <c r="N170" s="570">
        <f>SUM(N169:N169)</f>
        <v>6760</v>
      </c>
      <c r="O170" s="569">
        <f>N170/M170</f>
        <v>0.81544028950542824</v>
      </c>
      <c r="P170" s="571">
        <f>E170/M170</f>
        <v>129.29297466827504</v>
      </c>
      <c r="Q170" s="571">
        <f>E170/N170</f>
        <v>158.55602958579883</v>
      </c>
      <c r="R170" s="570">
        <f>N170*T169</f>
        <v>4529200</v>
      </c>
      <c r="S170" s="572">
        <f>(R170)/E170</f>
        <v>4.2256355797396239</v>
      </c>
      <c r="T170" s="573"/>
      <c r="U170" s="574">
        <f>SUM(U169:U169)</f>
        <v>292</v>
      </c>
      <c r="V170" s="567">
        <f>SUM(V169:V169)</f>
        <v>236</v>
      </c>
      <c r="W170" s="575">
        <f>V170/U170</f>
        <v>0.80821917808219179</v>
      </c>
      <c r="X170" s="576">
        <f>E170/U170</f>
        <v>3670.6806849315067</v>
      </c>
      <c r="Y170" s="576">
        <f>E170/V170</f>
        <v>4541.6896610169488</v>
      </c>
      <c r="Z170" s="567">
        <f>V170*AB170</f>
        <v>158120</v>
      </c>
      <c r="AA170" s="577">
        <f>Z170/E170</f>
        <v>0.14752218887848392</v>
      </c>
      <c r="AB170" s="578">
        <f>T169</f>
        <v>670</v>
      </c>
    </row>
    <row r="173" spans="2:28" ht="14.5">
      <c r="B173" s="481" t="s">
        <v>128</v>
      </c>
    </row>
    <row r="174" spans="2:28" ht="14.5">
      <c r="B174" s="481" t="s">
        <v>176</v>
      </c>
    </row>
    <row r="176" spans="2:28" s="342" customFormat="1" ht="33.5" customHeight="1">
      <c r="B176" s="2371" t="s">
        <v>148</v>
      </c>
      <c r="C176" s="2372" t="s">
        <v>149</v>
      </c>
      <c r="D176" s="2372" t="s">
        <v>150</v>
      </c>
      <c r="E176" s="2376" t="s">
        <v>151</v>
      </c>
      <c r="F176" s="2377"/>
      <c r="G176" s="2378"/>
      <c r="H176" s="2377" t="s">
        <v>152</v>
      </c>
      <c r="I176" s="2377"/>
      <c r="J176" s="2377"/>
      <c r="K176" s="2377"/>
      <c r="L176" s="2377"/>
      <c r="M176" s="2377"/>
      <c r="N176" s="2377"/>
      <c r="O176" s="2377"/>
      <c r="P176" s="2377"/>
      <c r="Q176" s="2377"/>
      <c r="R176" s="2377"/>
      <c r="S176" s="2377"/>
      <c r="T176" s="2378"/>
      <c r="U176" s="2402" t="s">
        <v>153</v>
      </c>
      <c r="V176" s="2377"/>
      <c r="W176" s="2377"/>
      <c r="X176" s="2377"/>
      <c r="Y176" s="2377"/>
      <c r="Z176" s="2377"/>
      <c r="AA176" s="2377"/>
      <c r="AB176" s="2378"/>
    </row>
    <row r="177" spans="2:28" s="342" customFormat="1" ht="66">
      <c r="B177" s="2401"/>
      <c r="C177" s="2394"/>
      <c r="D177" s="2394"/>
      <c r="E177" s="516" t="s">
        <v>154</v>
      </c>
      <c r="F177" s="517" t="s">
        <v>155</v>
      </c>
      <c r="G177" s="518" t="s">
        <v>156</v>
      </c>
      <c r="H177" s="519" t="s">
        <v>23</v>
      </c>
      <c r="I177" s="520" t="s">
        <v>44</v>
      </c>
      <c r="J177" s="517" t="s">
        <v>21</v>
      </c>
      <c r="K177" s="520" t="s">
        <v>20</v>
      </c>
      <c r="L177" s="520" t="s">
        <v>19</v>
      </c>
      <c r="M177" s="521" t="s">
        <v>18</v>
      </c>
      <c r="N177" s="520" t="s">
        <v>17</v>
      </c>
      <c r="O177" s="520" t="s">
        <v>16</v>
      </c>
      <c r="P177" s="522" t="s">
        <v>15</v>
      </c>
      <c r="Q177" s="520" t="s">
        <v>14</v>
      </c>
      <c r="R177" s="520" t="s">
        <v>13</v>
      </c>
      <c r="S177" s="520" t="s">
        <v>12</v>
      </c>
      <c r="T177" s="489" t="s">
        <v>11</v>
      </c>
      <c r="U177" s="523" t="s">
        <v>10</v>
      </c>
      <c r="V177" s="522" t="s">
        <v>67</v>
      </c>
      <c r="W177" s="524" t="s">
        <v>160</v>
      </c>
      <c r="X177" s="524" t="s">
        <v>7</v>
      </c>
      <c r="Y177" s="524" t="s">
        <v>6</v>
      </c>
      <c r="Z177" s="524" t="s">
        <v>71</v>
      </c>
      <c r="AA177" s="524" t="s">
        <v>161</v>
      </c>
      <c r="AB177" s="525" t="s">
        <v>3</v>
      </c>
    </row>
    <row r="178" spans="2:28" s="342" customFormat="1" ht="20.25" customHeight="1">
      <c r="B178" s="591" t="s">
        <v>176</v>
      </c>
      <c r="C178" s="526" t="s">
        <v>906</v>
      </c>
      <c r="D178" s="526" t="s">
        <v>177</v>
      </c>
      <c r="E178" s="581">
        <f>SUM(F178:G178)</f>
        <v>883162.67</v>
      </c>
      <c r="F178" s="582">
        <v>30466.67</v>
      </c>
      <c r="G178" s="583">
        <v>852696</v>
      </c>
      <c r="H178" s="530">
        <v>445255</v>
      </c>
      <c r="I178" s="584">
        <f>E178/H178</f>
        <v>1.9834986019247398</v>
      </c>
      <c r="J178" s="186">
        <v>25680</v>
      </c>
      <c r="K178" s="165">
        <f>J178/H178</f>
        <v>5.7674815555131327E-2</v>
      </c>
      <c r="L178" s="532">
        <f>M178/J178</f>
        <v>8.6409657320872274E-2</v>
      </c>
      <c r="M178" s="533">
        <v>2219</v>
      </c>
      <c r="N178" s="186">
        <v>1687</v>
      </c>
      <c r="O178" s="532">
        <f>N178/M178</f>
        <v>0.76025236593059942</v>
      </c>
      <c r="P178" s="534">
        <f>E178/M178</f>
        <v>398.00030193780987</v>
      </c>
      <c r="Q178" s="535">
        <f>E178/N178</f>
        <v>523.5107705986959</v>
      </c>
      <c r="R178" s="533">
        <f>N178*$T$178</f>
        <v>1130290</v>
      </c>
      <c r="S178" s="536">
        <f>(R178)/E178</f>
        <v>1.27982085112361</v>
      </c>
      <c r="T178" s="585">
        <v>670</v>
      </c>
      <c r="U178" s="537">
        <v>86</v>
      </c>
      <c r="V178" s="538">
        <v>86</v>
      </c>
      <c r="W178" s="539">
        <f>V178/U178</f>
        <v>1</v>
      </c>
      <c r="X178" s="540">
        <f>E178/U178</f>
        <v>10269.333372093024</v>
      </c>
      <c r="Y178" s="541">
        <f>E178/V178</f>
        <v>10269.333372093024</v>
      </c>
      <c r="Z178" s="188">
        <f>V178*AB178</f>
        <v>57620</v>
      </c>
      <c r="AA178" s="542">
        <f>Z178/E178</f>
        <v>6.5242793833213075E-2</v>
      </c>
      <c r="AB178" s="543">
        <v>670</v>
      </c>
    </row>
    <row r="179" spans="2:28" s="342" customFormat="1" ht="20.25" customHeight="1">
      <c r="B179" s="586"/>
      <c r="C179" s="561" t="s">
        <v>117</v>
      </c>
      <c r="D179" s="561"/>
      <c r="E179" s="587">
        <f>SUM(F179:G179)</f>
        <v>883162.67</v>
      </c>
      <c r="F179" s="588">
        <f>SUM(F178:F178)</f>
        <v>30466.67</v>
      </c>
      <c r="G179" s="589">
        <f>SUM(G178:G178)</f>
        <v>852696</v>
      </c>
      <c r="H179" s="565">
        <f>SUM(H178:H178)</f>
        <v>445255</v>
      </c>
      <c r="I179" s="590">
        <f>E179/H179</f>
        <v>1.9834986019247398</v>
      </c>
      <c r="J179" s="567">
        <f>SUM(J178:J178)</f>
        <v>25680</v>
      </c>
      <c r="K179" s="568">
        <f>J179/H179</f>
        <v>5.7674815555131327E-2</v>
      </c>
      <c r="L179" s="569">
        <f>M179/J179</f>
        <v>8.6409657320872274E-2</v>
      </c>
      <c r="M179" s="570">
        <f>SUM(M178:M178)</f>
        <v>2219</v>
      </c>
      <c r="N179" s="570">
        <f>SUM(N178:N178)</f>
        <v>1687</v>
      </c>
      <c r="O179" s="569">
        <f>N179/M179</f>
        <v>0.76025236593059942</v>
      </c>
      <c r="P179" s="571">
        <f>E179/M179</f>
        <v>398.00030193780987</v>
      </c>
      <c r="Q179" s="571">
        <f>E179/N179</f>
        <v>523.5107705986959</v>
      </c>
      <c r="R179" s="570">
        <f>N179*T178</f>
        <v>1130290</v>
      </c>
      <c r="S179" s="572">
        <f>(R179)/E179</f>
        <v>1.27982085112361</v>
      </c>
      <c r="T179" s="573"/>
      <c r="U179" s="574">
        <f>SUM(U178:U178)</f>
        <v>86</v>
      </c>
      <c r="V179" s="567">
        <f>SUM(V178:V178)</f>
        <v>86</v>
      </c>
      <c r="W179" s="575">
        <f>V179/U179</f>
        <v>1</v>
      </c>
      <c r="X179" s="576">
        <f>E179/U179</f>
        <v>10269.333372093024</v>
      </c>
      <c r="Y179" s="576">
        <f>E179/V179</f>
        <v>10269.333372093024</v>
      </c>
      <c r="Z179" s="567">
        <f>V179*AB179</f>
        <v>57620</v>
      </c>
      <c r="AA179" s="577">
        <f>Z179/E179</f>
        <v>6.5242793833213075E-2</v>
      </c>
      <c r="AB179" s="578">
        <f>T178</f>
        <v>670</v>
      </c>
    </row>
  </sheetData>
  <mergeCells count="107">
    <mergeCell ref="B35:B36"/>
    <mergeCell ref="B42:B43"/>
    <mergeCell ref="C42:C43"/>
    <mergeCell ref="D42:D43"/>
    <mergeCell ref="E42:G42"/>
    <mergeCell ref="H42:T42"/>
    <mergeCell ref="H12:J12"/>
    <mergeCell ref="K12:W12"/>
    <mergeCell ref="X12:AE12"/>
    <mergeCell ref="B14:B15"/>
    <mergeCell ref="B33:B34"/>
    <mergeCell ref="C33:C34"/>
    <mergeCell ref="D33:D34"/>
    <mergeCell ref="E33:G33"/>
    <mergeCell ref="H33:T33"/>
    <mergeCell ref="U33:AB33"/>
    <mergeCell ref="B12:B13"/>
    <mergeCell ref="C12:C13"/>
    <mergeCell ref="D12:D13"/>
    <mergeCell ref="E12:E13"/>
    <mergeCell ref="F12:F13"/>
    <mergeCell ref="G12:G13"/>
    <mergeCell ref="B58:B62"/>
    <mergeCell ref="T58:T60"/>
    <mergeCell ref="B70:B71"/>
    <mergeCell ref="C70:C71"/>
    <mergeCell ref="D70:D71"/>
    <mergeCell ref="E70:G70"/>
    <mergeCell ref="H70:T70"/>
    <mergeCell ref="U42:AB42"/>
    <mergeCell ref="B44:B48"/>
    <mergeCell ref="T44:T46"/>
    <mergeCell ref="B56:B57"/>
    <mergeCell ref="C56:C57"/>
    <mergeCell ref="D56:D57"/>
    <mergeCell ref="E56:G56"/>
    <mergeCell ref="H56:T56"/>
    <mergeCell ref="U56:AB56"/>
    <mergeCell ref="B86:B90"/>
    <mergeCell ref="T86:T88"/>
    <mergeCell ref="B98:B99"/>
    <mergeCell ref="C98:C99"/>
    <mergeCell ref="D98:D99"/>
    <mergeCell ref="E98:G98"/>
    <mergeCell ref="H98:T98"/>
    <mergeCell ref="U70:AB70"/>
    <mergeCell ref="B72:B76"/>
    <mergeCell ref="T72:T74"/>
    <mergeCell ref="B84:B85"/>
    <mergeCell ref="C84:C85"/>
    <mergeCell ref="D84:D85"/>
    <mergeCell ref="E84:G84"/>
    <mergeCell ref="H84:T84"/>
    <mergeCell ref="U84:AB84"/>
    <mergeCell ref="U129:AB129"/>
    <mergeCell ref="B120:B121"/>
    <mergeCell ref="C120:C121"/>
    <mergeCell ref="D120:D121"/>
    <mergeCell ref="E120:G120"/>
    <mergeCell ref="H120:T120"/>
    <mergeCell ref="U120:AB120"/>
    <mergeCell ref="U98:AB98"/>
    <mergeCell ref="B100:B103"/>
    <mergeCell ref="T100:T101"/>
    <mergeCell ref="B111:B112"/>
    <mergeCell ref="C111:C112"/>
    <mergeCell ref="D111:D112"/>
    <mergeCell ref="E111:G111"/>
    <mergeCell ref="H111:T111"/>
    <mergeCell ref="U111:AB111"/>
    <mergeCell ref="B131:B134"/>
    <mergeCell ref="T131:T132"/>
    <mergeCell ref="B140:B141"/>
    <mergeCell ref="C140:C141"/>
    <mergeCell ref="D140:D141"/>
    <mergeCell ref="E140:G140"/>
    <mergeCell ref="H140:T140"/>
    <mergeCell ref="B129:B130"/>
    <mergeCell ref="C129:C130"/>
    <mergeCell ref="D129:D130"/>
    <mergeCell ref="E129:G129"/>
    <mergeCell ref="H129:T129"/>
    <mergeCell ref="B158:B159"/>
    <mergeCell ref="C158:C159"/>
    <mergeCell ref="D158:D159"/>
    <mergeCell ref="E158:G158"/>
    <mergeCell ref="H158:T158"/>
    <mergeCell ref="U158:AB158"/>
    <mergeCell ref="U140:AB140"/>
    <mergeCell ref="B149:B150"/>
    <mergeCell ref="C149:C150"/>
    <mergeCell ref="D149:D150"/>
    <mergeCell ref="E149:G149"/>
    <mergeCell ref="H149:T149"/>
    <mergeCell ref="U149:AB149"/>
    <mergeCell ref="B176:B177"/>
    <mergeCell ref="C176:C177"/>
    <mergeCell ref="D176:D177"/>
    <mergeCell ref="E176:G176"/>
    <mergeCell ref="H176:T176"/>
    <mergeCell ref="U176:AB176"/>
    <mergeCell ref="B167:B168"/>
    <mergeCell ref="C167:C168"/>
    <mergeCell ref="D167:D168"/>
    <mergeCell ref="E167:G167"/>
    <mergeCell ref="H167:T167"/>
    <mergeCell ref="U167:AB167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45D5-D4F6-C04D-A9E5-F9CC716299C4}">
  <dimension ref="B2:AE119"/>
  <sheetViews>
    <sheetView showGridLines="0" topLeftCell="J1" workbookViewId="0">
      <selection activeCell="W14" sqref="W14"/>
    </sheetView>
  </sheetViews>
  <sheetFormatPr defaultColWidth="7.33203125" defaultRowHeight="14"/>
  <cols>
    <col min="1" max="1" width="4.33203125" style="595" customWidth="1"/>
    <col min="2" max="2" width="19" style="595" customWidth="1"/>
    <col min="3" max="3" width="25" style="595" customWidth="1"/>
    <col min="4" max="4" width="20.33203125" style="595" customWidth="1"/>
    <col min="5" max="5" width="16.6640625" style="595" customWidth="1"/>
    <col min="6" max="6" width="17.6640625" style="595" bestFit="1" customWidth="1"/>
    <col min="7" max="7" width="22.6640625" style="595" bestFit="1" customWidth="1"/>
    <col min="8" max="8" width="20.33203125" style="595" customWidth="1"/>
    <col min="9" max="9" width="21.75" style="595" customWidth="1"/>
    <col min="10" max="10" width="12" style="595" customWidth="1"/>
    <col min="11" max="11" width="13" style="595" customWidth="1"/>
    <col min="12" max="12" width="13.33203125" style="595" customWidth="1"/>
    <col min="13" max="13" width="17.08203125" style="595" customWidth="1"/>
    <col min="14" max="14" width="11.33203125" style="595" customWidth="1"/>
    <col min="15" max="15" width="17.08203125" style="595" customWidth="1"/>
    <col min="16" max="16" width="16" style="595" customWidth="1"/>
    <col min="17" max="17" width="14" style="595" bestFit="1" customWidth="1"/>
    <col min="18" max="18" width="13.4140625" style="595" customWidth="1"/>
    <col min="19" max="19" width="14.4140625" style="595" customWidth="1"/>
    <col min="20" max="21" width="16" style="595" customWidth="1"/>
    <col min="22" max="22" width="8.6640625" style="595" bestFit="1" customWidth="1"/>
    <col min="23" max="23" width="12" style="595" customWidth="1"/>
    <col min="24" max="24" width="10.4140625" style="595" bestFit="1" customWidth="1"/>
    <col min="25" max="25" width="11.33203125" style="595" bestFit="1" customWidth="1"/>
    <col min="26" max="26" width="16.6640625" style="595" customWidth="1"/>
    <col min="27" max="27" width="13.6640625" style="595" customWidth="1"/>
    <col min="28" max="28" width="13.08203125" style="595" customWidth="1"/>
    <col min="29" max="29" width="10.6640625" style="595" customWidth="1"/>
    <col min="30" max="30" width="7.33203125" style="595"/>
    <col min="31" max="31" width="11.08203125" style="595" bestFit="1" customWidth="1"/>
    <col min="32" max="16384" width="7.33203125" style="595"/>
  </cols>
  <sheetData>
    <row r="2" spans="2:31" customFormat="1" ht="14.5">
      <c r="B2" s="840" t="s">
        <v>236</v>
      </c>
    </row>
    <row r="3" spans="2:31" customFormat="1" ht="14.5">
      <c r="B3" s="840" t="s">
        <v>591</v>
      </c>
    </row>
    <row r="4" spans="2:31" customFormat="1" ht="14.5">
      <c r="B4" s="849" t="s">
        <v>708</v>
      </c>
    </row>
    <row r="5" spans="2:31" customFormat="1" ht="14.5">
      <c r="B5" s="849" t="s">
        <v>593</v>
      </c>
    </row>
    <row r="6" spans="2:31" customFormat="1"/>
    <row r="7" spans="2:31" s="1750" customFormat="1" ht="22.5">
      <c r="B7" s="2041" t="s">
        <v>907</v>
      </c>
      <c r="C7" s="1748"/>
      <c r="D7" s="1748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</row>
    <row r="8" spans="2:31" s="401" customFormat="1" ht="16.5">
      <c r="B8" s="1870" t="s">
        <v>178</v>
      </c>
      <c r="C8" s="1768" t="s">
        <v>704</v>
      </c>
      <c r="D8" s="2042"/>
      <c r="E8" s="1870"/>
      <c r="F8" s="1870"/>
      <c r="G8" s="1870"/>
      <c r="H8" s="1870"/>
      <c r="I8" s="1870"/>
      <c r="J8" s="1870"/>
      <c r="K8" s="1870"/>
      <c r="L8" s="1870"/>
      <c r="M8" s="1870"/>
      <c r="N8" s="1870"/>
      <c r="O8" s="1870"/>
      <c r="P8" s="1870"/>
      <c r="Q8" s="1870"/>
      <c r="R8" s="1870"/>
      <c r="S8" s="1870"/>
      <c r="T8" s="1870"/>
      <c r="U8" s="1870"/>
      <c r="V8" s="1870"/>
      <c r="W8" s="1870"/>
      <c r="X8" s="1870"/>
      <c r="Y8" s="1870"/>
      <c r="Z8" s="1870"/>
      <c r="AA8" s="1870"/>
      <c r="AB8" s="1870"/>
    </row>
    <row r="9" spans="2:31" s="401" customFormat="1" ht="16.5">
      <c r="B9" s="1870" t="s">
        <v>82</v>
      </c>
      <c r="C9" s="1768" t="s">
        <v>699</v>
      </c>
      <c r="D9" s="2042"/>
      <c r="E9" s="1870"/>
      <c r="F9" s="1870"/>
      <c r="G9" s="1870"/>
      <c r="H9" s="1870"/>
      <c r="I9" s="593"/>
      <c r="J9" s="593"/>
      <c r="K9" s="593"/>
      <c r="L9" s="1870"/>
      <c r="M9" s="1870"/>
      <c r="N9" s="1870"/>
      <c r="O9" s="1870"/>
      <c r="P9" s="1870"/>
      <c r="Q9" s="1870"/>
      <c r="R9" s="1870"/>
      <c r="S9" s="1870"/>
      <c r="T9" s="1870"/>
      <c r="U9" s="1870"/>
      <c r="V9" s="1870"/>
      <c r="W9" s="1870"/>
      <c r="X9" s="1870"/>
      <c r="Y9" s="1870"/>
      <c r="Z9" s="1870"/>
      <c r="AA9" s="1870"/>
      <c r="AB9" s="1870"/>
    </row>
    <row r="10" spans="2:31" s="401" customFormat="1" ht="16.5">
      <c r="B10" s="593" t="s">
        <v>81</v>
      </c>
      <c r="C10" s="594" t="s">
        <v>179</v>
      </c>
      <c r="D10" s="594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</row>
    <row r="11" spans="2:31" s="401" customFormat="1" ht="16.5">
      <c r="B11" s="2043"/>
      <c r="C11" s="400"/>
      <c r="D11" s="592"/>
      <c r="E11" s="596"/>
      <c r="F11" s="592"/>
      <c r="G11" s="593"/>
      <c r="H11" s="596"/>
      <c r="I11" s="593"/>
      <c r="J11" s="593"/>
      <c r="K11" s="593"/>
      <c r="L11" s="593"/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</row>
    <row r="12" spans="2:31" s="348" customFormat="1" ht="50" customHeight="1">
      <c r="B12" s="2371" t="s">
        <v>99</v>
      </c>
      <c r="C12" s="2372" t="s">
        <v>100</v>
      </c>
      <c r="D12" s="2299" t="s">
        <v>437</v>
      </c>
      <c r="E12" s="2299" t="s">
        <v>439</v>
      </c>
      <c r="F12" s="2299" t="s">
        <v>441</v>
      </c>
      <c r="G12" s="2374" t="s">
        <v>101</v>
      </c>
      <c r="H12" s="2426" t="s">
        <v>102</v>
      </c>
      <c r="I12" s="2427"/>
      <c r="J12" s="2428"/>
      <c r="K12" s="2347" t="s">
        <v>103</v>
      </c>
      <c r="L12" s="2346"/>
      <c r="M12" s="2346"/>
      <c r="N12" s="2346"/>
      <c r="O12" s="2346"/>
      <c r="P12" s="2346"/>
      <c r="Q12" s="2346"/>
      <c r="R12" s="2346"/>
      <c r="S12" s="2346"/>
      <c r="T12" s="2346"/>
      <c r="U12" s="2346"/>
      <c r="V12" s="2346"/>
      <c r="W12" s="2429"/>
      <c r="X12" s="2347" t="s">
        <v>27</v>
      </c>
      <c r="Y12" s="2346"/>
      <c r="Z12" s="2346"/>
      <c r="AA12" s="2346"/>
      <c r="AB12" s="2346"/>
      <c r="AC12" s="2346"/>
      <c r="AD12" s="2346"/>
      <c r="AE12" s="2430"/>
    </row>
    <row r="13" spans="2:31" s="349" customFormat="1" ht="50" customHeight="1">
      <c r="B13" s="2371"/>
      <c r="C13" s="2373"/>
      <c r="D13" s="2301"/>
      <c r="E13" s="2301"/>
      <c r="F13" s="2301"/>
      <c r="G13" s="2411"/>
      <c r="H13" s="350" t="s">
        <v>104</v>
      </c>
      <c r="I13" s="351" t="s">
        <v>105</v>
      </c>
      <c r="J13" s="352" t="s">
        <v>106</v>
      </c>
      <c r="K13" s="353" t="s">
        <v>107</v>
      </c>
      <c r="L13" s="354" t="s">
        <v>22</v>
      </c>
      <c r="M13" s="351" t="s">
        <v>21</v>
      </c>
      <c r="N13" s="354" t="s">
        <v>20</v>
      </c>
      <c r="O13" s="354" t="s">
        <v>19</v>
      </c>
      <c r="P13" s="355" t="s">
        <v>18</v>
      </c>
      <c r="Q13" s="354" t="s">
        <v>17</v>
      </c>
      <c r="R13" s="356" t="s">
        <v>16</v>
      </c>
      <c r="S13" s="357" t="s">
        <v>15</v>
      </c>
      <c r="T13" s="354" t="s">
        <v>14</v>
      </c>
      <c r="U13" s="354" t="s">
        <v>13</v>
      </c>
      <c r="V13" s="354" t="s">
        <v>12</v>
      </c>
      <c r="W13" s="358" t="s">
        <v>11</v>
      </c>
      <c r="X13" s="359" t="s">
        <v>10</v>
      </c>
      <c r="Y13" s="357" t="s">
        <v>9</v>
      </c>
      <c r="Z13" s="360" t="s">
        <v>8</v>
      </c>
      <c r="AA13" s="360" t="s">
        <v>7</v>
      </c>
      <c r="AB13" s="360" t="s">
        <v>6</v>
      </c>
      <c r="AC13" s="360" t="s">
        <v>5</v>
      </c>
      <c r="AD13" s="360" t="s">
        <v>4</v>
      </c>
      <c r="AE13" s="361" t="s">
        <v>3</v>
      </c>
    </row>
    <row r="14" spans="2:31" s="349" customFormat="1" ht="16.5">
      <c r="B14" s="2407" t="s">
        <v>700</v>
      </c>
      <c r="C14" s="362" t="s">
        <v>908</v>
      </c>
      <c r="D14" s="169" t="s">
        <v>701</v>
      </c>
      <c r="E14" s="169" t="s">
        <v>701</v>
      </c>
      <c r="F14" s="169" t="s">
        <v>702</v>
      </c>
      <c r="G14" s="1346" t="s">
        <v>700</v>
      </c>
      <c r="H14" s="363">
        <f>J14+I14</f>
        <v>791118.23</v>
      </c>
      <c r="I14" s="597">
        <v>91118.23</v>
      </c>
      <c r="J14" s="598">
        <v>700000</v>
      </c>
      <c r="K14" s="366">
        <v>729141</v>
      </c>
      <c r="L14" s="367">
        <f>H14/K14</f>
        <v>1.0850003360118277</v>
      </c>
      <c r="M14" s="368">
        <v>33783</v>
      </c>
      <c r="N14" s="369">
        <f>M14/K14</f>
        <v>4.6332602336173659E-2</v>
      </c>
      <c r="O14" s="370">
        <f>P14/M14</f>
        <v>4.0612142201699078E-2</v>
      </c>
      <c r="P14" s="371">
        <v>1372</v>
      </c>
      <c r="Q14" s="372">
        <v>1023</v>
      </c>
      <c r="R14" s="373">
        <f>Q14/P14</f>
        <v>0.74562682215743437</v>
      </c>
      <c r="S14" s="364">
        <f>H14/P14</f>
        <v>576.6167857142857</v>
      </c>
      <c r="T14" s="374">
        <f>H14/Q14</f>
        <v>773.33160312805467</v>
      </c>
      <c r="U14" s="371">
        <f>Q14*W14</f>
        <v>787710</v>
      </c>
      <c r="V14" s="375">
        <f>U14/H14</f>
        <v>0.99569188286812704</v>
      </c>
      <c r="W14" s="376">
        <v>770</v>
      </c>
      <c r="X14" s="377">
        <v>42</v>
      </c>
      <c r="Y14" s="368">
        <v>24</v>
      </c>
      <c r="Z14" s="369">
        <f>Y14/X14</f>
        <v>0.5714285714285714</v>
      </c>
      <c r="AA14" s="364">
        <f>H14/X14</f>
        <v>18836.148333333334</v>
      </c>
      <c r="AB14" s="374">
        <f>H14/Y14</f>
        <v>32963.259583333333</v>
      </c>
      <c r="AC14" s="371">
        <f>Y14*AE14</f>
        <v>78000</v>
      </c>
      <c r="AD14" s="599">
        <f>AC14/H14</f>
        <v>9.859461840488748E-2</v>
      </c>
      <c r="AE14" s="600">
        <v>3250</v>
      </c>
    </row>
    <row r="15" spans="2:31" s="342" customFormat="1" ht="16.5">
      <c r="B15" s="2408"/>
      <c r="C15" s="379" t="s">
        <v>117</v>
      </c>
      <c r="D15" s="153"/>
      <c r="E15" s="153"/>
      <c r="F15" s="153"/>
      <c r="G15" s="1347"/>
      <c r="H15" s="380">
        <f>SUM(I15:J15)</f>
        <v>791118.23</v>
      </c>
      <c r="I15" s="830">
        <f>SUM(I14:I14)</f>
        <v>91118.23</v>
      </c>
      <c r="J15" s="831">
        <f>SUM(J14:J14)</f>
        <v>700000</v>
      </c>
      <c r="K15" s="383">
        <f>SUM(K14:K14)</f>
        <v>729141</v>
      </c>
      <c r="L15" s="384">
        <f>H15/K15</f>
        <v>1.0850003360118277</v>
      </c>
      <c r="M15" s="385">
        <f>SUM(M14:M14)</f>
        <v>33783</v>
      </c>
      <c r="N15" s="386">
        <f>M15/K15</f>
        <v>4.6332602336173659E-2</v>
      </c>
      <c r="O15" s="386">
        <f>P15/M15</f>
        <v>4.0612142201699078E-2</v>
      </c>
      <c r="P15" s="385">
        <f>SUM(P14:P14)</f>
        <v>1372</v>
      </c>
      <c r="Q15" s="385">
        <f>SUM(Q14:Q14)</f>
        <v>1023</v>
      </c>
      <c r="R15" s="386">
        <f>Q15/P15</f>
        <v>0.74562682215743437</v>
      </c>
      <c r="S15" s="387">
        <f>H15/P15</f>
        <v>576.6167857142857</v>
      </c>
      <c r="T15" s="387">
        <f>H15/Q15</f>
        <v>773.33160312805467</v>
      </c>
      <c r="U15" s="385">
        <f>Q15*W14</f>
        <v>787710</v>
      </c>
      <c r="V15" s="388">
        <f>(U15)/H15</f>
        <v>0.99569188286812704</v>
      </c>
      <c r="W15" s="389"/>
      <c r="X15" s="390">
        <f>SUM(X14:X14)</f>
        <v>42</v>
      </c>
      <c r="Y15" s="385">
        <f>SUM(Y14:Y14)</f>
        <v>24</v>
      </c>
      <c r="Z15" s="391">
        <f>Y15/X15</f>
        <v>0.5714285714285714</v>
      </c>
      <c r="AA15" s="392">
        <f>H15/X15</f>
        <v>18836.148333333334</v>
      </c>
      <c r="AB15" s="392">
        <f>H15/Y15</f>
        <v>32963.259583333333</v>
      </c>
      <c r="AC15" s="385">
        <f>Y15*AE14</f>
        <v>78000</v>
      </c>
      <c r="AD15" s="393">
        <f>AC15/H15</f>
        <v>9.859461840488748E-2</v>
      </c>
      <c r="AE15" s="394"/>
    </row>
    <row r="16" spans="2:31" s="342" customFormat="1" ht="16.5">
      <c r="B16" s="641"/>
      <c r="C16" s="832"/>
      <c r="D16" s="832"/>
      <c r="E16" s="697"/>
      <c r="F16" s="833"/>
      <c r="G16" s="703"/>
      <c r="H16" s="834"/>
      <c r="I16" s="698"/>
      <c r="J16" s="834"/>
      <c r="K16" s="699"/>
      <c r="L16" s="699"/>
      <c r="M16" s="834"/>
      <c r="N16" s="834"/>
      <c r="O16" s="699"/>
      <c r="P16" s="835"/>
      <c r="Q16" s="835"/>
      <c r="R16" s="834"/>
      <c r="S16" s="700"/>
      <c r="T16" s="703"/>
      <c r="U16" s="834"/>
      <c r="V16" s="834"/>
      <c r="W16" s="701"/>
      <c r="X16" s="836"/>
      <c r="Y16" s="836"/>
      <c r="Z16" s="834"/>
      <c r="AA16" s="702"/>
      <c r="AB16" s="834"/>
    </row>
    <row r="17" spans="2:28" s="401" customFormat="1" ht="16.5">
      <c r="B17" s="601"/>
      <c r="C17" s="400"/>
      <c r="D17" s="400"/>
    </row>
    <row r="18" spans="2:28" s="401" customFormat="1" ht="16.5">
      <c r="B18" s="66" t="s">
        <v>128</v>
      </c>
      <c r="C18" s="400"/>
      <c r="D18" s="400"/>
    </row>
    <row r="19" spans="2:28" s="401" customFormat="1" ht="16.5">
      <c r="B19" s="66" t="s">
        <v>180</v>
      </c>
      <c r="C19" s="400"/>
      <c r="D19" s="400"/>
    </row>
    <row r="20" spans="2:28" s="401" customFormat="1" ht="16.5">
      <c r="B20" s="601"/>
      <c r="C20" s="400"/>
      <c r="D20" s="400"/>
    </row>
    <row r="21" spans="2:28" s="348" customFormat="1" ht="50" customHeight="1">
      <c r="B21" s="2371" t="s">
        <v>99</v>
      </c>
      <c r="C21" s="2372" t="s">
        <v>100</v>
      </c>
      <c r="D21" s="2374" t="s">
        <v>101</v>
      </c>
      <c r="E21" s="2426" t="s">
        <v>102</v>
      </c>
      <c r="F21" s="2427"/>
      <c r="G21" s="2428"/>
      <c r="H21" s="2347" t="s">
        <v>103</v>
      </c>
      <c r="I21" s="2346"/>
      <c r="J21" s="2346"/>
      <c r="K21" s="2346"/>
      <c r="L21" s="2346"/>
      <c r="M21" s="2346"/>
      <c r="N21" s="2346"/>
      <c r="O21" s="2346"/>
      <c r="P21" s="2346"/>
      <c r="Q21" s="2346"/>
      <c r="R21" s="2346"/>
      <c r="S21" s="2346"/>
      <c r="T21" s="2429"/>
      <c r="U21" s="2347" t="s">
        <v>27</v>
      </c>
      <c r="V21" s="2346"/>
      <c r="W21" s="2346"/>
      <c r="X21" s="2346"/>
      <c r="Y21" s="2346"/>
      <c r="Z21" s="2346"/>
      <c r="AA21" s="2346"/>
      <c r="AB21" s="2430"/>
    </row>
    <row r="22" spans="2:28" s="349" customFormat="1" ht="50" customHeight="1">
      <c r="B22" s="2371"/>
      <c r="C22" s="2373"/>
      <c r="D22" s="2411"/>
      <c r="E22" s="350" t="s">
        <v>104</v>
      </c>
      <c r="F22" s="351" t="s">
        <v>105</v>
      </c>
      <c r="G22" s="352" t="s">
        <v>106</v>
      </c>
      <c r="H22" s="353" t="s">
        <v>107</v>
      </c>
      <c r="I22" s="354" t="s">
        <v>22</v>
      </c>
      <c r="J22" s="351" t="s">
        <v>21</v>
      </c>
      <c r="K22" s="354" t="s">
        <v>20</v>
      </c>
      <c r="L22" s="354" t="s">
        <v>19</v>
      </c>
      <c r="M22" s="355" t="s">
        <v>18</v>
      </c>
      <c r="N22" s="354" t="s">
        <v>17</v>
      </c>
      <c r="O22" s="356" t="s">
        <v>16</v>
      </c>
      <c r="P22" s="357" t="s">
        <v>15</v>
      </c>
      <c r="Q22" s="354" t="s">
        <v>14</v>
      </c>
      <c r="R22" s="354" t="s">
        <v>13</v>
      </c>
      <c r="S22" s="354" t="s">
        <v>12</v>
      </c>
      <c r="T22" s="358" t="s">
        <v>11</v>
      </c>
      <c r="U22" s="359" t="s">
        <v>10</v>
      </c>
      <c r="V22" s="357" t="s">
        <v>9</v>
      </c>
      <c r="W22" s="360" t="s">
        <v>8</v>
      </c>
      <c r="X22" s="360" t="s">
        <v>7</v>
      </c>
      <c r="Y22" s="360" t="s">
        <v>6</v>
      </c>
      <c r="Z22" s="360" t="s">
        <v>5</v>
      </c>
      <c r="AA22" s="360" t="s">
        <v>4</v>
      </c>
      <c r="AB22" s="361" t="s">
        <v>3</v>
      </c>
    </row>
    <row r="23" spans="2:28" s="349" customFormat="1" ht="16.5">
      <c r="B23" s="2407" t="s">
        <v>180</v>
      </c>
      <c r="C23" s="362" t="s">
        <v>908</v>
      </c>
      <c r="D23" s="1346" t="s">
        <v>700</v>
      </c>
      <c r="E23" s="363">
        <f>G23+F23</f>
        <v>791118.23</v>
      </c>
      <c r="F23" s="597">
        <v>91118.23</v>
      </c>
      <c r="G23" s="598">
        <v>700000</v>
      </c>
      <c r="H23" s="366">
        <v>3474</v>
      </c>
      <c r="I23" s="367">
        <f>E23/H23</f>
        <v>227.72545480713873</v>
      </c>
      <c r="J23" s="368">
        <v>657</v>
      </c>
      <c r="K23" s="369">
        <f>J23/H23</f>
        <v>0.18911917098445596</v>
      </c>
      <c r="L23" s="370">
        <f>M23/J23</f>
        <v>7.7625570776255703E-2</v>
      </c>
      <c r="M23" s="371">
        <f>6821-6770</f>
        <v>51</v>
      </c>
      <c r="N23" s="372">
        <f>6688-6644</f>
        <v>44</v>
      </c>
      <c r="O23" s="373">
        <f>N23/M23</f>
        <v>0.86274509803921573</v>
      </c>
      <c r="P23" s="364">
        <f>E23/M23</f>
        <v>15512.122156862744</v>
      </c>
      <c r="Q23" s="374">
        <f>E23/N23</f>
        <v>17979.959772727274</v>
      </c>
      <c r="R23" s="371">
        <f>N23*T23</f>
        <v>143000</v>
      </c>
      <c r="S23" s="375">
        <f>R23/E23</f>
        <v>0.18075680040896036</v>
      </c>
      <c r="T23" s="376">
        <v>3250</v>
      </c>
      <c r="U23" s="377">
        <f>6821-6817</f>
        <v>4</v>
      </c>
      <c r="V23" s="368" t="s">
        <v>181</v>
      </c>
      <c r="W23" s="369" t="e">
        <f>V23/U23</f>
        <v>#VALUE!</v>
      </c>
      <c r="X23" s="364">
        <f>E23/U23</f>
        <v>197779.5575</v>
      </c>
      <c r="Y23" s="374" t="e">
        <f>E23/V23</f>
        <v>#VALUE!</v>
      </c>
      <c r="Z23" s="371" t="e">
        <f>V23*AB23</f>
        <v>#VALUE!</v>
      </c>
      <c r="AA23" s="599" t="e">
        <f>Z23/E23</f>
        <v>#VALUE!</v>
      </c>
      <c r="AB23" s="600">
        <v>3250</v>
      </c>
    </row>
    <row r="24" spans="2:28" s="342" customFormat="1" ht="16.5">
      <c r="B24" s="2408"/>
      <c r="C24" s="379" t="s">
        <v>117</v>
      </c>
      <c r="D24" s="1347"/>
      <c r="E24" s="380">
        <f>SUM(F24:G24)</f>
        <v>791118.23</v>
      </c>
      <c r="F24" s="830">
        <f>SUM(F23:F23)</f>
        <v>91118.23</v>
      </c>
      <c r="G24" s="831">
        <f>SUM(G23:G23)</f>
        <v>700000</v>
      </c>
      <c r="H24" s="383">
        <f>SUM(H23:H23)</f>
        <v>3474</v>
      </c>
      <c r="I24" s="384">
        <f>E24/H24</f>
        <v>227.72545480713873</v>
      </c>
      <c r="J24" s="385">
        <f>SUM(J23:J23)</f>
        <v>657</v>
      </c>
      <c r="K24" s="386">
        <f>J24/H24</f>
        <v>0.18911917098445596</v>
      </c>
      <c r="L24" s="386">
        <f>M24/J24</f>
        <v>7.7625570776255703E-2</v>
      </c>
      <c r="M24" s="385">
        <f>SUM(M23:M23)</f>
        <v>51</v>
      </c>
      <c r="N24" s="385">
        <f>SUM(N23:N23)</f>
        <v>44</v>
      </c>
      <c r="O24" s="386">
        <f>N24/M24</f>
        <v>0.86274509803921573</v>
      </c>
      <c r="P24" s="387">
        <f>E24/M24</f>
        <v>15512.122156862744</v>
      </c>
      <c r="Q24" s="387">
        <f>E24/N24</f>
        <v>17979.959772727274</v>
      </c>
      <c r="R24" s="385">
        <f>N24*T23</f>
        <v>143000</v>
      </c>
      <c r="S24" s="388">
        <f>(R24)/E24</f>
        <v>0.18075680040896036</v>
      </c>
      <c r="T24" s="389"/>
      <c r="U24" s="390">
        <f>SUM(U23:U23)</f>
        <v>4</v>
      </c>
      <c r="V24" s="385">
        <f>SUM(V23:V23)</f>
        <v>0</v>
      </c>
      <c r="W24" s="391">
        <f>V24/U24</f>
        <v>0</v>
      </c>
      <c r="X24" s="392">
        <f>E24/U24</f>
        <v>197779.5575</v>
      </c>
      <c r="Y24" s="392" t="e">
        <f>E24/V24</f>
        <v>#DIV/0!</v>
      </c>
      <c r="Z24" s="385">
        <f>V24*AB23</f>
        <v>0</v>
      </c>
      <c r="AA24" s="393">
        <f>Z24/E24</f>
        <v>0</v>
      </c>
      <c r="AB24" s="394"/>
    </row>
    <row r="25" spans="2:28" s="401" customFormat="1" ht="16.5">
      <c r="B25" s="601"/>
      <c r="C25" s="400"/>
      <c r="D25" s="400"/>
      <c r="E25" s="2044" t="s">
        <v>703</v>
      </c>
      <c r="F25" s="2045"/>
      <c r="G25" s="2044"/>
    </row>
    <row r="26" spans="2:28" s="401" customFormat="1" ht="16.5">
      <c r="B26" s="601"/>
      <c r="C26" s="400"/>
      <c r="D26" s="400"/>
    </row>
    <row r="27" spans="2:28" s="401" customFormat="1" ht="16.5">
      <c r="B27" s="66" t="s">
        <v>128</v>
      </c>
      <c r="C27" s="400"/>
      <c r="D27" s="400"/>
    </row>
    <row r="28" spans="2:28" s="401" customFormat="1" ht="16.5">
      <c r="B28" s="66" t="s">
        <v>184</v>
      </c>
      <c r="C28" s="400"/>
      <c r="D28" s="400"/>
    </row>
    <row r="29" spans="2:28" s="401" customFormat="1" ht="16.5">
      <c r="B29" s="601"/>
      <c r="C29" s="400"/>
      <c r="D29" s="400"/>
    </row>
    <row r="30" spans="2:28" s="348" customFormat="1" ht="50" customHeight="1">
      <c r="B30" s="2414" t="s">
        <v>99</v>
      </c>
      <c r="C30" s="2416" t="s">
        <v>100</v>
      </c>
      <c r="D30" s="2417" t="s">
        <v>101</v>
      </c>
      <c r="E30" s="2418" t="s">
        <v>102</v>
      </c>
      <c r="F30" s="2419"/>
      <c r="G30" s="2419"/>
      <c r="H30" s="2420" t="s">
        <v>103</v>
      </c>
      <c r="I30" s="2421"/>
      <c r="J30" s="2421"/>
      <c r="K30" s="2421"/>
      <c r="L30" s="2421"/>
      <c r="M30" s="2421"/>
      <c r="N30" s="2421"/>
      <c r="O30" s="2421"/>
      <c r="P30" s="2421"/>
      <c r="Q30" s="2421"/>
      <c r="R30" s="2421"/>
      <c r="S30" s="2421"/>
      <c r="T30" s="2422"/>
      <c r="U30" s="2423" t="s">
        <v>27</v>
      </c>
      <c r="V30" s="2424"/>
      <c r="W30" s="2424"/>
      <c r="X30" s="2424"/>
      <c r="Y30" s="2424"/>
      <c r="Z30" s="2424"/>
      <c r="AA30" s="2424"/>
      <c r="AB30" s="2425"/>
    </row>
    <row r="31" spans="2:28" s="349" customFormat="1" ht="50" customHeight="1">
      <c r="B31" s="2415"/>
      <c r="C31" s="2373"/>
      <c r="D31" s="2375"/>
      <c r="E31" s="179" t="s">
        <v>104</v>
      </c>
      <c r="F31" s="178" t="s">
        <v>105</v>
      </c>
      <c r="G31" s="602" t="s">
        <v>106</v>
      </c>
      <c r="H31" s="603" t="s">
        <v>107</v>
      </c>
      <c r="I31" s="354" t="s">
        <v>22</v>
      </c>
      <c r="J31" s="351" t="s">
        <v>21</v>
      </c>
      <c r="K31" s="354" t="s">
        <v>20</v>
      </c>
      <c r="L31" s="354" t="s">
        <v>19</v>
      </c>
      <c r="M31" s="355" t="s">
        <v>18</v>
      </c>
      <c r="N31" s="354" t="s">
        <v>17</v>
      </c>
      <c r="O31" s="356" t="s">
        <v>16</v>
      </c>
      <c r="P31" s="357" t="s">
        <v>15</v>
      </c>
      <c r="Q31" s="354" t="s">
        <v>14</v>
      </c>
      <c r="R31" s="354" t="s">
        <v>13</v>
      </c>
      <c r="S31" s="354" t="s">
        <v>12</v>
      </c>
      <c r="T31" s="604" t="s">
        <v>11</v>
      </c>
      <c r="U31" s="605" t="s">
        <v>10</v>
      </c>
      <c r="V31" s="408" t="s">
        <v>9</v>
      </c>
      <c r="W31" s="409" t="s">
        <v>8</v>
      </c>
      <c r="X31" s="409" t="s">
        <v>7</v>
      </c>
      <c r="Y31" s="409" t="s">
        <v>6</v>
      </c>
      <c r="Z31" s="409" t="s">
        <v>5</v>
      </c>
      <c r="AA31" s="409" t="s">
        <v>4</v>
      </c>
      <c r="AB31" s="606" t="s">
        <v>3</v>
      </c>
    </row>
    <row r="32" spans="2:28" s="349" customFormat="1" ht="16.5">
      <c r="B32" s="607" t="s">
        <v>129</v>
      </c>
      <c r="C32" s="608" t="s">
        <v>909</v>
      </c>
      <c r="D32" s="609" t="s">
        <v>129</v>
      </c>
      <c r="E32" s="610">
        <f>G32+F32</f>
        <v>1528148.24</v>
      </c>
      <c r="F32" s="611">
        <v>870672.64</v>
      </c>
      <c r="G32" s="612">
        <v>657475.6</v>
      </c>
      <c r="H32" s="613">
        <v>1182261</v>
      </c>
      <c r="I32" s="614">
        <f>E32/H32</f>
        <v>1.2925641969074511</v>
      </c>
      <c r="J32" s="615">
        <v>90636</v>
      </c>
      <c r="K32" s="616">
        <f>J32/H32</f>
        <v>7.6663274860627226E-2</v>
      </c>
      <c r="L32" s="617">
        <f>M32/J32</f>
        <v>6.9751533606955296E-2</v>
      </c>
      <c r="M32" s="618">
        <v>6322</v>
      </c>
      <c r="N32" s="619">
        <v>4746</v>
      </c>
      <c r="O32" s="620">
        <f>N32/M32</f>
        <v>0.7507118000632711</v>
      </c>
      <c r="P32" s="611">
        <f>E32/M32</f>
        <v>241.7191142043657</v>
      </c>
      <c r="Q32" s="621">
        <f>E32/N32</f>
        <v>321.98656552886644</v>
      </c>
      <c r="R32" s="618">
        <f>N32*T32</f>
        <v>3474072</v>
      </c>
      <c r="S32" s="622">
        <f>R32/E32</f>
        <v>2.2733867756180515</v>
      </c>
      <c r="T32" s="623">
        <v>732</v>
      </c>
      <c r="U32" s="624">
        <v>296</v>
      </c>
      <c r="V32" s="615">
        <v>226</v>
      </c>
      <c r="W32" s="616">
        <f>V32/U32</f>
        <v>0.76351351351351349</v>
      </c>
      <c r="X32" s="611">
        <f>E32/U32</f>
        <v>5162.662972972973</v>
      </c>
      <c r="Y32" s="621">
        <f>E32/V32</f>
        <v>6761.717876106195</v>
      </c>
      <c r="Z32" s="618">
        <f>V32*AB32</f>
        <v>310750</v>
      </c>
      <c r="AA32" s="625">
        <f>Z32/E32</f>
        <v>0.20335069063718583</v>
      </c>
      <c r="AB32" s="626">
        <v>1375</v>
      </c>
    </row>
    <row r="33" spans="2:28" s="349" customFormat="1" ht="16.5">
      <c r="B33" s="233"/>
      <c r="C33" s="232" t="s">
        <v>461</v>
      </c>
      <c r="D33" s="231" t="s">
        <v>462</v>
      </c>
      <c r="E33" s="462">
        <f>SUM(F33:G33)</f>
        <v>1528148.24</v>
      </c>
      <c r="F33" s="462">
        <v>870672.64</v>
      </c>
      <c r="G33" s="627">
        <v>657475.6</v>
      </c>
      <c r="H33" s="452"/>
      <c r="I33" s="453"/>
      <c r="J33" s="457"/>
      <c r="K33" s="454"/>
      <c r="O33" s="455"/>
      <c r="P33" s="455"/>
      <c r="Q33" s="455"/>
      <c r="R33" s="455"/>
      <c r="S33" s="455"/>
      <c r="T33" s="456"/>
      <c r="U33" s="457"/>
    </row>
    <row r="34" spans="2:28" s="349" customFormat="1" ht="16.5">
      <c r="B34" s="227"/>
      <c r="C34" s="226" t="s">
        <v>463</v>
      </c>
      <c r="D34" s="225" t="s">
        <v>135</v>
      </c>
      <c r="E34" s="628">
        <f>E32/E33</f>
        <v>1</v>
      </c>
      <c r="F34" s="629">
        <f>F32/F33</f>
        <v>1</v>
      </c>
      <c r="G34" s="460">
        <f>G32/G33</f>
        <v>1</v>
      </c>
      <c r="P34" s="455"/>
      <c r="Q34" s="455"/>
      <c r="R34" s="455"/>
      <c r="S34" s="455"/>
      <c r="T34" s="456"/>
      <c r="U34" s="463"/>
      <c r="W34" s="455"/>
      <c r="AB34" s="461"/>
    </row>
    <row r="35" spans="2:28" s="401" customFormat="1" ht="16.5">
      <c r="B35" s="601"/>
      <c r="C35" s="400"/>
      <c r="D35" s="400"/>
    </row>
    <row r="36" spans="2:28" s="401" customFormat="1" ht="16.5">
      <c r="B36" s="601"/>
      <c r="C36" s="400"/>
      <c r="D36" s="400"/>
    </row>
    <row r="37" spans="2:28" s="401" customFormat="1" ht="16.5">
      <c r="B37" s="66" t="s">
        <v>128</v>
      </c>
      <c r="C37" s="400"/>
      <c r="D37" s="400"/>
    </row>
    <row r="38" spans="2:28" s="401" customFormat="1" ht="16.5">
      <c r="B38" s="66" t="s">
        <v>185</v>
      </c>
      <c r="C38" s="400"/>
      <c r="D38" s="400"/>
    </row>
    <row r="39" spans="2:28" s="401" customFormat="1" ht="16.5">
      <c r="B39" s="601"/>
      <c r="C39" s="400"/>
      <c r="D39" s="400"/>
    </row>
    <row r="40" spans="2:28" s="348" customFormat="1" ht="50" customHeight="1">
      <c r="B40" s="2414" t="s">
        <v>99</v>
      </c>
      <c r="C40" s="2416" t="s">
        <v>100</v>
      </c>
      <c r="D40" s="2417" t="s">
        <v>101</v>
      </c>
      <c r="E40" s="2418" t="s">
        <v>102</v>
      </c>
      <c r="F40" s="2419"/>
      <c r="G40" s="2419"/>
      <c r="H40" s="2420" t="s">
        <v>103</v>
      </c>
      <c r="I40" s="2421"/>
      <c r="J40" s="2421"/>
      <c r="K40" s="2421"/>
      <c r="L40" s="2421"/>
      <c r="M40" s="2421"/>
      <c r="N40" s="2421"/>
      <c r="O40" s="2421"/>
      <c r="P40" s="2421"/>
      <c r="Q40" s="2421"/>
      <c r="R40" s="2421"/>
      <c r="S40" s="2421"/>
      <c r="T40" s="2422"/>
      <c r="U40" s="2423" t="s">
        <v>27</v>
      </c>
      <c r="V40" s="2424"/>
      <c r="W40" s="2424"/>
      <c r="X40" s="2424"/>
      <c r="Y40" s="2424"/>
      <c r="Z40" s="2424"/>
      <c r="AA40" s="2424"/>
      <c r="AB40" s="2425"/>
    </row>
    <row r="41" spans="2:28" s="349" customFormat="1" ht="50" customHeight="1">
      <c r="B41" s="2415"/>
      <c r="C41" s="2373"/>
      <c r="D41" s="2375"/>
      <c r="E41" s="179" t="s">
        <v>104</v>
      </c>
      <c r="F41" s="178" t="s">
        <v>105</v>
      </c>
      <c r="G41" s="602" t="s">
        <v>106</v>
      </c>
      <c r="H41" s="603" t="s">
        <v>107</v>
      </c>
      <c r="I41" s="354" t="s">
        <v>22</v>
      </c>
      <c r="J41" s="351" t="s">
        <v>21</v>
      </c>
      <c r="K41" s="354" t="s">
        <v>110</v>
      </c>
      <c r="L41" s="354" t="s">
        <v>19</v>
      </c>
      <c r="M41" s="355" t="s">
        <v>18</v>
      </c>
      <c r="N41" s="354" t="s">
        <v>17</v>
      </c>
      <c r="O41" s="356" t="s">
        <v>16</v>
      </c>
      <c r="P41" s="357" t="s">
        <v>15</v>
      </c>
      <c r="Q41" s="354" t="s">
        <v>14</v>
      </c>
      <c r="R41" s="354" t="s">
        <v>13</v>
      </c>
      <c r="S41" s="354" t="s">
        <v>12</v>
      </c>
      <c r="T41" s="604" t="s">
        <v>11</v>
      </c>
      <c r="U41" s="605" t="s">
        <v>10</v>
      </c>
      <c r="V41" s="408" t="s">
        <v>9</v>
      </c>
      <c r="W41" s="409" t="s">
        <v>8</v>
      </c>
      <c r="X41" s="409" t="s">
        <v>7</v>
      </c>
      <c r="Y41" s="409" t="s">
        <v>6</v>
      </c>
      <c r="Z41" s="409" t="s">
        <v>5</v>
      </c>
      <c r="AA41" s="409" t="s">
        <v>4</v>
      </c>
      <c r="AB41" s="606" t="s">
        <v>3</v>
      </c>
    </row>
    <row r="42" spans="2:28" s="349" customFormat="1" ht="16.5">
      <c r="B42" s="607" t="s">
        <v>136</v>
      </c>
      <c r="C42" s="608" t="s">
        <v>909</v>
      </c>
      <c r="D42" s="609" t="s">
        <v>129</v>
      </c>
      <c r="E42" s="610">
        <f>G42+F42</f>
        <v>1249635.6600000001</v>
      </c>
      <c r="F42" s="611">
        <v>592160.06000000006</v>
      </c>
      <c r="G42" s="612">
        <v>657475.6</v>
      </c>
      <c r="H42" s="613">
        <v>912508</v>
      </c>
      <c r="I42" s="614">
        <f>E42/H42</f>
        <v>1.3694517308341407</v>
      </c>
      <c r="J42" s="615">
        <v>56393</v>
      </c>
      <c r="K42" s="616">
        <f>J42/H42</f>
        <v>6.1800006136932498E-2</v>
      </c>
      <c r="L42" s="617">
        <f>M42/J42</f>
        <v>6.5380455021013251E-2</v>
      </c>
      <c r="M42" s="618">
        <v>3687</v>
      </c>
      <c r="N42" s="619">
        <v>2683</v>
      </c>
      <c r="O42" s="620">
        <f>N42/M42</f>
        <v>0.7276918904258205</v>
      </c>
      <c r="P42" s="611">
        <f>E42/M42</f>
        <v>338.9302034174126</v>
      </c>
      <c r="Q42" s="621">
        <f>E42/N42</f>
        <v>465.76058889303027</v>
      </c>
      <c r="R42" s="618">
        <f>N42*T42</f>
        <v>1963956</v>
      </c>
      <c r="S42" s="622">
        <f>R42/E42</f>
        <v>1.5716228840652642</v>
      </c>
      <c r="T42" s="623">
        <v>732</v>
      </c>
      <c r="U42" s="624">
        <f>1657401-1657214</f>
        <v>187</v>
      </c>
      <c r="V42" s="615">
        <f>1646088-1645945</f>
        <v>143</v>
      </c>
      <c r="W42" s="616">
        <f>V42/U42</f>
        <v>0.76470588235294112</v>
      </c>
      <c r="X42" s="611">
        <f>E42/U42</f>
        <v>6682.5436363636372</v>
      </c>
      <c r="Y42" s="621">
        <f>E42/V42</f>
        <v>8738.7109090909107</v>
      </c>
      <c r="Z42" s="618">
        <f>V42*AB42</f>
        <v>196625</v>
      </c>
      <c r="AA42" s="625">
        <f>Z42/E42</f>
        <v>0.15734586191306352</v>
      </c>
      <c r="AB42" s="626">
        <v>1375</v>
      </c>
    </row>
    <row r="43" spans="2:28" s="349" customFormat="1" ht="16.5">
      <c r="B43" s="233"/>
      <c r="C43" s="232" t="s">
        <v>461</v>
      </c>
      <c r="D43" s="231" t="s">
        <v>462</v>
      </c>
      <c r="E43" s="462"/>
      <c r="F43" s="462"/>
      <c r="G43" s="228">
        <v>683116.59</v>
      </c>
      <c r="H43" s="452"/>
      <c r="I43" s="453"/>
      <c r="J43" s="457"/>
      <c r="K43" s="454"/>
      <c r="O43" s="455"/>
      <c r="P43" s="455"/>
      <c r="Q43" s="455"/>
      <c r="R43" s="455"/>
      <c r="S43" s="455"/>
      <c r="T43" s="456"/>
      <c r="U43" s="457"/>
    </row>
    <row r="44" spans="2:28" s="349" customFormat="1" ht="16.5">
      <c r="B44" s="227"/>
      <c r="C44" s="226" t="s">
        <v>463</v>
      </c>
      <c r="D44" s="225" t="s">
        <v>135</v>
      </c>
      <c r="E44" s="628" t="e">
        <f>E42/E43</f>
        <v>#DIV/0!</v>
      </c>
      <c r="F44" s="630" t="e">
        <f>F42/F43</f>
        <v>#DIV/0!</v>
      </c>
      <c r="G44" s="460">
        <f>G42/G43</f>
        <v>0.9624646943503451</v>
      </c>
      <c r="P44" s="455"/>
      <c r="Q44" s="455"/>
      <c r="R44" s="455"/>
      <c r="S44" s="455"/>
      <c r="T44" s="456"/>
      <c r="U44" s="463"/>
      <c r="W44" s="455"/>
      <c r="AB44" s="461"/>
    </row>
    <row r="45" spans="2:28" s="401" customFormat="1" ht="16.5">
      <c r="B45" s="601"/>
      <c r="C45" s="400"/>
      <c r="D45" s="400"/>
    </row>
    <row r="46" spans="2:28" s="401" customFormat="1" ht="16.5">
      <c r="B46" s="601"/>
      <c r="C46" s="400"/>
      <c r="D46" s="400"/>
    </row>
    <row r="47" spans="2:28" s="401" customFormat="1" ht="16.5">
      <c r="B47" s="66" t="s">
        <v>128</v>
      </c>
      <c r="C47" s="400"/>
      <c r="D47" s="400"/>
    </row>
    <row r="48" spans="2:28" s="401" customFormat="1" ht="16.5">
      <c r="B48" s="66" t="s">
        <v>137</v>
      </c>
      <c r="C48" s="400"/>
      <c r="D48" s="400"/>
    </row>
    <row r="49" spans="2:28" s="401" customFormat="1" ht="16.5">
      <c r="B49" s="601"/>
      <c r="C49" s="400"/>
      <c r="D49" s="400"/>
    </row>
    <row r="50" spans="2:28" s="348" customFormat="1" ht="50" customHeight="1">
      <c r="B50" s="2414" t="s">
        <v>99</v>
      </c>
      <c r="C50" s="2416" t="s">
        <v>100</v>
      </c>
      <c r="D50" s="2417" t="s">
        <v>101</v>
      </c>
      <c r="E50" s="2418" t="s">
        <v>102</v>
      </c>
      <c r="F50" s="2419"/>
      <c r="G50" s="2419"/>
      <c r="H50" s="2420" t="s">
        <v>103</v>
      </c>
      <c r="I50" s="2421"/>
      <c r="J50" s="2421"/>
      <c r="K50" s="2421"/>
      <c r="L50" s="2421"/>
      <c r="M50" s="2421"/>
      <c r="N50" s="2421"/>
      <c r="O50" s="2421"/>
      <c r="P50" s="2421"/>
      <c r="Q50" s="2421"/>
      <c r="R50" s="2421"/>
      <c r="S50" s="2421"/>
      <c r="T50" s="2422"/>
      <c r="U50" s="2423" t="s">
        <v>27</v>
      </c>
      <c r="V50" s="2424"/>
      <c r="W50" s="2424"/>
      <c r="X50" s="2424"/>
      <c r="Y50" s="2424"/>
      <c r="Z50" s="2424"/>
      <c r="AA50" s="2424"/>
      <c r="AB50" s="2425"/>
    </row>
    <row r="51" spans="2:28" s="349" customFormat="1" ht="50" customHeight="1">
      <c r="B51" s="2415"/>
      <c r="C51" s="2373"/>
      <c r="D51" s="2375"/>
      <c r="E51" s="179" t="s">
        <v>104</v>
      </c>
      <c r="F51" s="178" t="s">
        <v>105</v>
      </c>
      <c r="G51" s="602" t="s">
        <v>106</v>
      </c>
      <c r="H51" s="603" t="s">
        <v>107</v>
      </c>
      <c r="I51" s="354" t="s">
        <v>22</v>
      </c>
      <c r="J51" s="351" t="s">
        <v>21</v>
      </c>
      <c r="K51" s="354" t="s">
        <v>20</v>
      </c>
      <c r="L51" s="354" t="s">
        <v>19</v>
      </c>
      <c r="M51" s="355" t="s">
        <v>18</v>
      </c>
      <c r="N51" s="354" t="s">
        <v>17</v>
      </c>
      <c r="O51" s="356" t="s">
        <v>16</v>
      </c>
      <c r="P51" s="357" t="s">
        <v>15</v>
      </c>
      <c r="Q51" s="354" t="s">
        <v>14</v>
      </c>
      <c r="R51" s="354" t="s">
        <v>13</v>
      </c>
      <c r="S51" s="354" t="s">
        <v>12</v>
      </c>
      <c r="T51" s="604" t="s">
        <v>11</v>
      </c>
      <c r="U51" s="605" t="s">
        <v>10</v>
      </c>
      <c r="V51" s="408" t="s">
        <v>9</v>
      </c>
      <c r="W51" s="409" t="s">
        <v>8</v>
      </c>
      <c r="X51" s="409" t="s">
        <v>7</v>
      </c>
      <c r="Y51" s="409" t="s">
        <v>6</v>
      </c>
      <c r="Z51" s="409" t="s">
        <v>5</v>
      </c>
      <c r="AA51" s="409" t="s">
        <v>4</v>
      </c>
      <c r="AB51" s="606" t="s">
        <v>3</v>
      </c>
    </row>
    <row r="52" spans="2:28" s="349" customFormat="1" ht="16.5">
      <c r="B52" s="607" t="s">
        <v>139</v>
      </c>
      <c r="C52" s="608" t="s">
        <v>909</v>
      </c>
      <c r="D52" s="609" t="s">
        <v>129</v>
      </c>
      <c r="E52" s="610">
        <f>G52+F52</f>
        <v>1090683.8</v>
      </c>
      <c r="F52" s="611">
        <v>487437.80000000005</v>
      </c>
      <c r="G52" s="631">
        <v>603246</v>
      </c>
      <c r="H52" s="613">
        <v>670119</v>
      </c>
      <c r="I52" s="614">
        <f>E52/H52</f>
        <v>1.627597187962138</v>
      </c>
      <c r="J52" s="615">
        <v>37182</v>
      </c>
      <c r="K52" s="616">
        <f>J52/H52</f>
        <v>5.5485667471001421E-2</v>
      </c>
      <c r="L52" s="617">
        <f>M52/J52</f>
        <v>6.5596256253025662E-2</v>
      </c>
      <c r="M52" s="618">
        <v>2439</v>
      </c>
      <c r="N52" s="619">
        <v>1746</v>
      </c>
      <c r="O52" s="620">
        <f>N52/M52</f>
        <v>0.71586715867158668</v>
      </c>
      <c r="P52" s="611">
        <f>E52/M52</f>
        <v>447.18482984829848</v>
      </c>
      <c r="Q52" s="621">
        <f>E52/N52</f>
        <v>624.67571592210766</v>
      </c>
      <c r="R52" s="618">
        <f>N52*T52</f>
        <v>1278072</v>
      </c>
      <c r="S52" s="622">
        <f>R52/E52</f>
        <v>1.1718079978816958</v>
      </c>
      <c r="T52" s="623">
        <v>732</v>
      </c>
      <c r="U52" s="624">
        <v>140</v>
      </c>
      <c r="V52" s="615">
        <v>93</v>
      </c>
      <c r="W52" s="616">
        <f>V52/U52</f>
        <v>0.66428571428571426</v>
      </c>
      <c r="X52" s="611">
        <f>E52/U52</f>
        <v>7790.5985714285716</v>
      </c>
      <c r="Y52" s="621">
        <f>E52/V52</f>
        <v>11727.782795698926</v>
      </c>
      <c r="Z52" s="618">
        <f>V52*AB52</f>
        <v>127875</v>
      </c>
      <c r="AA52" s="625">
        <f>Z52/E52</f>
        <v>0.1172429626258316</v>
      </c>
      <c r="AB52" s="626">
        <v>1375</v>
      </c>
    </row>
    <row r="53" spans="2:28" s="349" customFormat="1" ht="16.5">
      <c r="B53" s="233"/>
      <c r="C53" s="232" t="s">
        <v>461</v>
      </c>
      <c r="D53" s="231" t="s">
        <v>462</v>
      </c>
      <c r="E53" s="462"/>
      <c r="F53" s="462"/>
      <c r="G53" s="228">
        <v>683116.59</v>
      </c>
      <c r="H53" s="452"/>
      <c r="I53" s="453"/>
      <c r="J53" s="457"/>
      <c r="K53" s="454"/>
      <c r="O53" s="455"/>
      <c r="P53" s="455"/>
      <c r="Q53" s="455"/>
      <c r="R53" s="455"/>
      <c r="S53" s="455"/>
      <c r="T53" s="456"/>
      <c r="U53" s="457"/>
    </row>
    <row r="54" spans="2:28" s="349" customFormat="1" ht="16.5">
      <c r="B54" s="227"/>
      <c r="C54" s="226" t="s">
        <v>463</v>
      </c>
      <c r="D54" s="225" t="s">
        <v>69</v>
      </c>
      <c r="E54" s="628" t="e">
        <f>E52/E53</f>
        <v>#DIV/0!</v>
      </c>
      <c r="F54" s="630" t="e">
        <f>F52/F53</f>
        <v>#DIV/0!</v>
      </c>
      <c r="G54" s="460">
        <f>G52/G53</f>
        <v>0.88307912416532008</v>
      </c>
      <c r="P54" s="455"/>
      <c r="Q54" s="455"/>
      <c r="R54" s="455"/>
      <c r="S54" s="455"/>
      <c r="T54" s="456"/>
      <c r="U54" s="463"/>
      <c r="W54" s="455"/>
      <c r="AB54" s="461"/>
    </row>
    <row r="55" spans="2:28" s="401" customFormat="1" ht="16.5">
      <c r="B55" s="601"/>
      <c r="C55" s="400"/>
      <c r="D55" s="400"/>
    </row>
    <row r="56" spans="2:28" s="401" customFormat="1" ht="16.5">
      <c r="B56" s="601"/>
      <c r="C56" s="400"/>
      <c r="D56" s="400"/>
    </row>
    <row r="57" spans="2:28" s="401" customFormat="1" ht="16.5">
      <c r="B57" s="66" t="s">
        <v>128</v>
      </c>
      <c r="C57" s="400"/>
      <c r="D57" s="400"/>
    </row>
    <row r="58" spans="2:28" s="401" customFormat="1" ht="16.5">
      <c r="B58" s="66" t="s">
        <v>142</v>
      </c>
      <c r="C58" s="400"/>
      <c r="D58" s="400"/>
    </row>
    <row r="59" spans="2:28" s="401" customFormat="1" ht="16.5">
      <c r="B59" s="601"/>
      <c r="C59" s="400"/>
      <c r="D59" s="400"/>
    </row>
    <row r="60" spans="2:28" s="348" customFormat="1" ht="16.5">
      <c r="B60" s="2414" t="s">
        <v>99</v>
      </c>
      <c r="C60" s="2416" t="s">
        <v>100</v>
      </c>
      <c r="D60" s="2417" t="s">
        <v>101</v>
      </c>
      <c r="E60" s="2418" t="s">
        <v>102</v>
      </c>
      <c r="F60" s="2419"/>
      <c r="G60" s="2419"/>
      <c r="H60" s="2420" t="s">
        <v>103</v>
      </c>
      <c r="I60" s="2421"/>
      <c r="J60" s="2421"/>
      <c r="K60" s="2421"/>
      <c r="L60" s="2421"/>
      <c r="M60" s="2421"/>
      <c r="N60" s="2421"/>
      <c r="O60" s="2421"/>
      <c r="P60" s="2421"/>
      <c r="Q60" s="2421"/>
      <c r="R60" s="2421"/>
      <c r="S60" s="2421"/>
      <c r="T60" s="2422"/>
      <c r="U60" s="2423" t="s">
        <v>27</v>
      </c>
      <c r="V60" s="2424"/>
      <c r="W60" s="2424"/>
      <c r="X60" s="2424"/>
      <c r="Y60" s="2424"/>
      <c r="Z60" s="2424"/>
      <c r="AA60" s="2424"/>
      <c r="AB60" s="2425"/>
    </row>
    <row r="61" spans="2:28" s="349" customFormat="1" ht="66">
      <c r="B61" s="2415"/>
      <c r="C61" s="2373"/>
      <c r="D61" s="2375"/>
      <c r="E61" s="179" t="s">
        <v>104</v>
      </c>
      <c r="F61" s="178" t="s">
        <v>105</v>
      </c>
      <c r="G61" s="602" t="s">
        <v>106</v>
      </c>
      <c r="H61" s="603" t="s">
        <v>107</v>
      </c>
      <c r="I61" s="354" t="s">
        <v>108</v>
      </c>
      <c r="J61" s="351" t="s">
        <v>109</v>
      </c>
      <c r="K61" s="354" t="s">
        <v>20</v>
      </c>
      <c r="L61" s="354" t="s">
        <v>19</v>
      </c>
      <c r="M61" s="355" t="s">
        <v>18</v>
      </c>
      <c r="N61" s="354" t="s">
        <v>17</v>
      </c>
      <c r="O61" s="356" t="s">
        <v>16</v>
      </c>
      <c r="P61" s="357" t="s">
        <v>15</v>
      </c>
      <c r="Q61" s="354" t="s">
        <v>14</v>
      </c>
      <c r="R61" s="354" t="s">
        <v>13</v>
      </c>
      <c r="S61" s="354" t="s">
        <v>12</v>
      </c>
      <c r="T61" s="604" t="s">
        <v>11</v>
      </c>
      <c r="U61" s="605" t="s">
        <v>10</v>
      </c>
      <c r="V61" s="408" t="s">
        <v>9</v>
      </c>
      <c r="W61" s="409" t="s">
        <v>8</v>
      </c>
      <c r="X61" s="409" t="s">
        <v>7</v>
      </c>
      <c r="Y61" s="409" t="s">
        <v>6</v>
      </c>
      <c r="Z61" s="409" t="s">
        <v>5</v>
      </c>
      <c r="AA61" s="409" t="s">
        <v>4</v>
      </c>
      <c r="AB61" s="606" t="s">
        <v>3</v>
      </c>
    </row>
    <row r="62" spans="2:28" s="349" customFormat="1" ht="16.5">
      <c r="B62" s="607" t="s">
        <v>142</v>
      </c>
      <c r="C62" s="608" t="s">
        <v>909</v>
      </c>
      <c r="D62" s="609" t="s">
        <v>129</v>
      </c>
      <c r="E62" s="632">
        <f>SUM(F62:G62)</f>
        <v>387457.44</v>
      </c>
      <c r="F62" s="633">
        <v>196653.44</v>
      </c>
      <c r="G62" s="634">
        <v>190804</v>
      </c>
      <c r="H62" s="613">
        <v>266099</v>
      </c>
      <c r="I62" s="614">
        <f>E62/H62</f>
        <v>1.45606499836527</v>
      </c>
      <c r="J62" s="615">
        <v>16022</v>
      </c>
      <c r="K62" s="616">
        <f>J62/H62</f>
        <v>6.0210673471151714E-2</v>
      </c>
      <c r="L62" s="617">
        <f>M62/J62</f>
        <v>5.0617900386967916E-2</v>
      </c>
      <c r="M62" s="618">
        <v>811</v>
      </c>
      <c r="N62" s="619">
        <v>528</v>
      </c>
      <c r="O62" s="620">
        <f>N62/M62</f>
        <v>0.65104808877928488</v>
      </c>
      <c r="P62" s="635">
        <f>E62/M62</f>
        <v>477.75270036991367</v>
      </c>
      <c r="Q62" s="619">
        <f>E62/N62</f>
        <v>733.82090909090914</v>
      </c>
      <c r="R62" s="618">
        <f>N62*T62</f>
        <v>386496</v>
      </c>
      <c r="S62" s="622">
        <f>R62/E62</f>
        <v>0.99751859197748272</v>
      </c>
      <c r="T62" s="636">
        <v>732</v>
      </c>
      <c r="U62" s="624">
        <f>478272-478188</f>
        <v>84</v>
      </c>
      <c r="V62" s="615">
        <f>474243-474186</f>
        <v>57</v>
      </c>
      <c r="W62" s="616">
        <f>V62/U62</f>
        <v>0.6785714285714286</v>
      </c>
      <c r="X62" s="637">
        <f>E62/U62</f>
        <v>4612.5885714285714</v>
      </c>
      <c r="Y62" s="638">
        <f>E62/V62</f>
        <v>6797.4989473684209</v>
      </c>
      <c r="Z62" s="618">
        <f>V62*AB62</f>
        <v>78375</v>
      </c>
      <c r="AA62" s="625">
        <f>Z62/E62</f>
        <v>0.20228028141619889</v>
      </c>
      <c r="AB62" s="626">
        <v>1375</v>
      </c>
    </row>
    <row r="63" spans="2:28" s="349" customFormat="1" ht="16.5">
      <c r="B63" s="233"/>
      <c r="C63" s="232" t="s">
        <v>461</v>
      </c>
      <c r="D63" s="231" t="s">
        <v>462</v>
      </c>
      <c r="E63" s="231"/>
      <c r="F63" s="231"/>
      <c r="G63" s="228">
        <v>683116.59</v>
      </c>
      <c r="H63" s="452"/>
      <c r="I63" s="453"/>
      <c r="J63" s="639"/>
      <c r="K63" s="640"/>
      <c r="O63" s="455"/>
      <c r="P63" s="455"/>
      <c r="Q63" s="455"/>
      <c r="R63" s="455"/>
      <c r="S63" s="455"/>
      <c r="T63" s="456"/>
      <c r="U63" s="639"/>
    </row>
    <row r="64" spans="2:28" s="349" customFormat="1" ht="16.5">
      <c r="B64" s="227"/>
      <c r="C64" s="226" t="s">
        <v>463</v>
      </c>
      <c r="D64" s="225" t="s">
        <v>69</v>
      </c>
      <c r="E64" s="225"/>
      <c r="F64" s="225"/>
      <c r="G64" s="460">
        <f>G62/G63</f>
        <v>0.2793139601542981</v>
      </c>
      <c r="P64" s="455"/>
      <c r="Q64" s="455"/>
      <c r="R64" s="455"/>
      <c r="S64" s="455"/>
      <c r="T64" s="456"/>
      <c r="U64" s="463"/>
      <c r="W64" s="455"/>
      <c r="AB64" s="461"/>
    </row>
    <row r="65" spans="2:28" s="401" customFormat="1" ht="16.5">
      <c r="B65" s="601"/>
      <c r="C65" s="400"/>
      <c r="D65" s="400"/>
    </row>
    <row r="66" spans="2:28" s="401" customFormat="1" ht="16.5">
      <c r="B66" s="601"/>
      <c r="C66" s="400"/>
      <c r="D66" s="400"/>
    </row>
    <row r="67" spans="2:28" s="401" customFormat="1" ht="16.5">
      <c r="B67" s="66" t="s">
        <v>128</v>
      </c>
      <c r="C67" s="400"/>
      <c r="D67" s="400"/>
    </row>
    <row r="68" spans="2:28" s="401" customFormat="1" ht="16.5">
      <c r="B68" s="66" t="s">
        <v>186</v>
      </c>
      <c r="C68" s="400"/>
      <c r="D68" s="400"/>
    </row>
    <row r="69" spans="2:28" s="401" customFormat="1" ht="16.5">
      <c r="B69" s="601"/>
      <c r="C69" s="400"/>
      <c r="D69" s="400"/>
    </row>
    <row r="70" spans="2:28" s="348" customFormat="1" ht="50" customHeight="1">
      <c r="B70" s="2414" t="s">
        <v>99</v>
      </c>
      <c r="C70" s="2416" t="s">
        <v>100</v>
      </c>
      <c r="D70" s="2417" t="s">
        <v>101</v>
      </c>
      <c r="E70" s="2418" t="s">
        <v>102</v>
      </c>
      <c r="F70" s="2419"/>
      <c r="G70" s="2419"/>
      <c r="H70" s="2420" t="s">
        <v>103</v>
      </c>
      <c r="I70" s="2421"/>
      <c r="J70" s="2421"/>
      <c r="K70" s="2421"/>
      <c r="L70" s="2421"/>
      <c r="M70" s="2421"/>
      <c r="N70" s="2421"/>
      <c r="O70" s="2421"/>
      <c r="P70" s="2421"/>
      <c r="Q70" s="2421"/>
      <c r="R70" s="2421"/>
      <c r="S70" s="2421"/>
      <c r="T70" s="2422"/>
      <c r="U70" s="2423" t="s">
        <v>27</v>
      </c>
      <c r="V70" s="2424"/>
      <c r="W70" s="2424"/>
      <c r="X70" s="2424"/>
      <c r="Y70" s="2424"/>
      <c r="Z70" s="2424"/>
      <c r="AA70" s="2424"/>
      <c r="AB70" s="2425"/>
    </row>
    <row r="71" spans="2:28" s="349" customFormat="1" ht="50" customHeight="1">
      <c r="B71" s="2415"/>
      <c r="C71" s="2373"/>
      <c r="D71" s="2375"/>
      <c r="E71" s="179" t="s">
        <v>104</v>
      </c>
      <c r="F71" s="178" t="s">
        <v>105</v>
      </c>
      <c r="G71" s="602" t="s">
        <v>106</v>
      </c>
      <c r="H71" s="603" t="s">
        <v>107</v>
      </c>
      <c r="I71" s="354" t="s">
        <v>22</v>
      </c>
      <c r="J71" s="351" t="s">
        <v>21</v>
      </c>
      <c r="K71" s="354" t="s">
        <v>20</v>
      </c>
      <c r="L71" s="354" t="s">
        <v>19</v>
      </c>
      <c r="M71" s="355" t="s">
        <v>18</v>
      </c>
      <c r="N71" s="354" t="s">
        <v>17</v>
      </c>
      <c r="O71" s="356" t="s">
        <v>16</v>
      </c>
      <c r="P71" s="357" t="s">
        <v>15</v>
      </c>
      <c r="Q71" s="354" t="s">
        <v>14</v>
      </c>
      <c r="R71" s="354" t="s">
        <v>13</v>
      </c>
      <c r="S71" s="354" t="s">
        <v>12</v>
      </c>
      <c r="T71" s="604" t="s">
        <v>11</v>
      </c>
      <c r="U71" s="605" t="s">
        <v>10</v>
      </c>
      <c r="V71" s="408" t="s">
        <v>9</v>
      </c>
      <c r="W71" s="409" t="s">
        <v>8</v>
      </c>
      <c r="X71" s="409" t="s">
        <v>7</v>
      </c>
      <c r="Y71" s="409" t="s">
        <v>6</v>
      </c>
      <c r="Z71" s="409" t="s">
        <v>5</v>
      </c>
      <c r="AA71" s="409" t="s">
        <v>4</v>
      </c>
      <c r="AB71" s="606" t="s">
        <v>3</v>
      </c>
    </row>
    <row r="72" spans="2:28" s="349" customFormat="1" ht="16.5">
      <c r="B72" s="607" t="s">
        <v>187</v>
      </c>
      <c r="C72" s="608" t="s">
        <v>909</v>
      </c>
      <c r="D72" s="609" t="s">
        <v>129</v>
      </c>
      <c r="E72" s="632">
        <f>SUM(F72:G72)</f>
        <v>242868</v>
      </c>
      <c r="F72" s="633">
        <v>103405.92</v>
      </c>
      <c r="G72" s="634">
        <v>139462.07999999999</v>
      </c>
      <c r="H72" s="613">
        <v>78483</v>
      </c>
      <c r="I72" s="614">
        <f>E72/H72</f>
        <v>3.0945300256106418</v>
      </c>
      <c r="J72" s="615">
        <v>7526</v>
      </c>
      <c r="K72" s="616">
        <f>J72/H72</f>
        <v>9.589337818381051E-2</v>
      </c>
      <c r="L72" s="617">
        <f>M72/J72</f>
        <v>4.1190539463194259E-2</v>
      </c>
      <c r="M72" s="618">
        <v>310</v>
      </c>
      <c r="N72" s="619">
        <f>137125-136945</f>
        <v>180</v>
      </c>
      <c r="O72" s="620">
        <f>N72/M72</f>
        <v>0.58064516129032262</v>
      </c>
      <c r="P72" s="635">
        <f>E72/M72</f>
        <v>783.44516129032263</v>
      </c>
      <c r="Q72" s="619">
        <f>E72/N72</f>
        <v>1349.2666666666667</v>
      </c>
      <c r="R72" s="618">
        <f>N72*T72</f>
        <v>131760</v>
      </c>
      <c r="S72" s="622">
        <f>R72/E72</f>
        <v>0.54251692277286423</v>
      </c>
      <c r="T72" s="636">
        <v>732</v>
      </c>
      <c r="U72" s="624">
        <v>18</v>
      </c>
      <c r="V72" s="615">
        <f>137125-137121</f>
        <v>4</v>
      </c>
      <c r="W72" s="616">
        <f>V72/U72</f>
        <v>0.22222222222222221</v>
      </c>
      <c r="X72" s="637">
        <f>E72/U72</f>
        <v>13492.666666666666</v>
      </c>
      <c r="Y72" s="638">
        <f>E72/V72</f>
        <v>60717</v>
      </c>
      <c r="Z72" s="618">
        <f>V72*AB72</f>
        <v>5500</v>
      </c>
      <c r="AA72" s="625">
        <f>Z72/E72</f>
        <v>2.2646046412042757E-2</v>
      </c>
      <c r="AB72" s="626">
        <v>1375</v>
      </c>
    </row>
    <row r="73" spans="2:28" s="349" customFormat="1" ht="16.5">
      <c r="B73" s="233"/>
      <c r="C73" s="232" t="s">
        <v>461</v>
      </c>
      <c r="D73" s="231" t="s">
        <v>462</v>
      </c>
      <c r="E73" s="231"/>
      <c r="F73" s="231"/>
      <c r="G73" s="228">
        <v>683116.59</v>
      </c>
      <c r="H73" s="452"/>
      <c r="I73" s="453"/>
      <c r="J73" s="457"/>
      <c r="K73" s="454"/>
      <c r="O73" s="455"/>
      <c r="P73" s="455"/>
      <c r="Q73" s="455"/>
      <c r="R73" s="455"/>
      <c r="S73" s="455"/>
      <c r="T73" s="456"/>
      <c r="U73" s="457"/>
    </row>
    <row r="74" spans="2:28" s="349" customFormat="1" ht="16.5">
      <c r="B74" s="227"/>
      <c r="C74" s="226" t="s">
        <v>463</v>
      </c>
      <c r="D74" s="225" t="s">
        <v>69</v>
      </c>
      <c r="E74" s="225"/>
      <c r="F74" s="225"/>
      <c r="G74" s="460">
        <f>G72/G73</f>
        <v>0.20415560395041787</v>
      </c>
      <c r="P74" s="455"/>
      <c r="Q74" s="455"/>
      <c r="R74" s="455"/>
      <c r="S74" s="455"/>
      <c r="T74" s="456"/>
      <c r="U74" s="463"/>
      <c r="W74" s="455"/>
      <c r="AB74" s="461"/>
    </row>
    <row r="75" spans="2:28" s="453" customFormat="1" ht="16.5">
      <c r="B75" s="641"/>
      <c r="C75" s="641"/>
      <c r="D75" s="641"/>
      <c r="E75" s="642"/>
      <c r="F75" s="643"/>
      <c r="G75" s="643"/>
      <c r="H75" s="644"/>
      <c r="I75" s="645"/>
      <c r="J75" s="646"/>
      <c r="K75" s="647"/>
      <c r="L75" s="648"/>
      <c r="M75" s="644"/>
      <c r="N75" s="644"/>
      <c r="O75" s="649"/>
      <c r="P75" s="650"/>
      <c r="Q75" s="644"/>
      <c r="R75" s="644"/>
      <c r="S75" s="651"/>
      <c r="T75" s="644"/>
      <c r="U75" s="646"/>
      <c r="V75" s="646"/>
      <c r="W75" s="647"/>
      <c r="X75" s="652"/>
      <c r="Y75" s="652"/>
      <c r="Z75" s="644"/>
      <c r="AA75" s="653"/>
      <c r="AB75" s="654"/>
    </row>
    <row r="76" spans="2:28" s="401" customFormat="1" ht="16.5">
      <c r="B76" s="601"/>
      <c r="C76" s="400"/>
      <c r="D76" s="400"/>
    </row>
    <row r="77" spans="2:28" s="401" customFormat="1" ht="16.5">
      <c r="B77" s="66" t="s">
        <v>128</v>
      </c>
      <c r="C77" s="400"/>
      <c r="D77" s="400"/>
    </row>
    <row r="78" spans="2:28" s="401" customFormat="1" ht="16.5">
      <c r="B78" s="66" t="s">
        <v>188</v>
      </c>
      <c r="C78" s="400"/>
      <c r="D78" s="400"/>
    </row>
    <row r="79" spans="2:28" s="401" customFormat="1" ht="16.5">
      <c r="B79" s="601"/>
      <c r="C79" s="400"/>
      <c r="D79" s="400"/>
    </row>
    <row r="80" spans="2:28" s="348" customFormat="1" ht="50" customHeight="1">
      <c r="B80" s="2371" t="s">
        <v>32</v>
      </c>
      <c r="C80" s="2372" t="s">
        <v>100</v>
      </c>
      <c r="D80" s="2374" t="s">
        <v>101</v>
      </c>
      <c r="E80" s="2376" t="s">
        <v>102</v>
      </c>
      <c r="F80" s="2396"/>
      <c r="G80" s="2397"/>
      <c r="H80" s="2346" t="s">
        <v>103</v>
      </c>
      <c r="I80" s="2347"/>
      <c r="J80" s="2347"/>
      <c r="K80" s="2347"/>
      <c r="L80" s="2347"/>
      <c r="M80" s="2347"/>
      <c r="N80" s="2347"/>
      <c r="O80" s="2347"/>
      <c r="P80" s="2347"/>
      <c r="Q80" s="2347"/>
      <c r="R80" s="2347"/>
      <c r="S80" s="2347"/>
      <c r="T80" s="2348"/>
      <c r="U80" s="2349" t="s">
        <v>27</v>
      </c>
      <c r="V80" s="2350"/>
      <c r="W80" s="2350"/>
      <c r="X80" s="2350"/>
      <c r="Y80" s="2350"/>
      <c r="Z80" s="2350"/>
      <c r="AA80" s="2350"/>
      <c r="AB80" s="2351"/>
    </row>
    <row r="81" spans="2:28" s="349" customFormat="1" ht="50" customHeight="1">
      <c r="B81" s="2393"/>
      <c r="C81" s="2394"/>
      <c r="D81" s="2395"/>
      <c r="E81" s="179" t="s">
        <v>26</v>
      </c>
      <c r="F81" s="178" t="s">
        <v>138</v>
      </c>
      <c r="G81" s="174" t="s">
        <v>24</v>
      </c>
      <c r="H81" s="406" t="s">
        <v>23</v>
      </c>
      <c r="I81" s="354" t="s">
        <v>22</v>
      </c>
      <c r="J81" s="351" t="s">
        <v>21</v>
      </c>
      <c r="K81" s="354" t="s">
        <v>20</v>
      </c>
      <c r="L81" s="354" t="s">
        <v>19</v>
      </c>
      <c r="M81" s="355" t="s">
        <v>18</v>
      </c>
      <c r="N81" s="354" t="s">
        <v>17</v>
      </c>
      <c r="O81" s="356" t="s">
        <v>16</v>
      </c>
      <c r="P81" s="357" t="s">
        <v>15</v>
      </c>
      <c r="Q81" s="354" t="s">
        <v>14</v>
      </c>
      <c r="R81" s="354" t="s">
        <v>13</v>
      </c>
      <c r="S81" s="354" t="s">
        <v>12</v>
      </c>
      <c r="T81" s="352" t="s">
        <v>11</v>
      </c>
      <c r="U81" s="407" t="s">
        <v>10</v>
      </c>
      <c r="V81" s="408" t="s">
        <v>9</v>
      </c>
      <c r="W81" s="409" t="s">
        <v>8</v>
      </c>
      <c r="X81" s="409" t="s">
        <v>7</v>
      </c>
      <c r="Y81" s="409" t="s">
        <v>6</v>
      </c>
      <c r="Z81" s="409" t="s">
        <v>5</v>
      </c>
      <c r="AA81" s="409" t="s">
        <v>4</v>
      </c>
      <c r="AB81" s="410" t="s">
        <v>3</v>
      </c>
    </row>
    <row r="82" spans="2:28" s="349" customFormat="1" ht="16.5">
      <c r="B82" s="2288" t="s">
        <v>189</v>
      </c>
      <c r="C82" s="169" t="s">
        <v>910</v>
      </c>
      <c r="D82" s="184" t="s">
        <v>190</v>
      </c>
      <c r="E82" s="464">
        <f>SUM(F82:G82)</f>
        <v>830379.67</v>
      </c>
      <c r="F82" s="465">
        <v>119571.03</v>
      </c>
      <c r="G82" s="182">
        <v>710808.64</v>
      </c>
      <c r="H82" s="414">
        <v>511459</v>
      </c>
      <c r="I82" s="415">
        <f>E82/H82</f>
        <v>1.6235508027036381</v>
      </c>
      <c r="J82" s="416">
        <v>23828</v>
      </c>
      <c r="K82" s="417">
        <f>J82/H82</f>
        <v>4.6588289579418879E-2</v>
      </c>
      <c r="L82" s="418">
        <f>M82/J82</f>
        <v>3.8610038610038609E-2</v>
      </c>
      <c r="M82" s="155">
        <v>920</v>
      </c>
      <c r="N82" s="159">
        <v>652</v>
      </c>
      <c r="O82" s="419">
        <f>N82/M82</f>
        <v>0.70869565217391306</v>
      </c>
      <c r="P82" s="163">
        <f>E82/M82</f>
        <v>902.58659782608697</v>
      </c>
      <c r="Q82" s="159">
        <f>E82/N82</f>
        <v>1273.5884509202454</v>
      </c>
      <c r="R82" s="155">
        <f>N82*T82</f>
        <v>477264</v>
      </c>
      <c r="S82" s="421">
        <f>R82/E82</f>
        <v>0.57475395562128828</v>
      </c>
      <c r="T82" s="2369">
        <v>732</v>
      </c>
      <c r="U82" s="422"/>
      <c r="V82" s="416"/>
      <c r="W82" s="417" t="e">
        <f>V82/U82</f>
        <v>#DIV/0!</v>
      </c>
      <c r="X82" s="157" t="e">
        <f>E82/U82</f>
        <v>#DIV/0!</v>
      </c>
      <c r="Y82" s="156" t="e">
        <f>E82/V82</f>
        <v>#DIV/0!</v>
      </c>
      <c r="Z82" s="155">
        <f>V82*AB82</f>
        <v>0</v>
      </c>
      <c r="AA82" s="423">
        <f>Z82/E82</f>
        <v>0</v>
      </c>
      <c r="AB82" s="468">
        <v>1359</v>
      </c>
    </row>
    <row r="83" spans="2:28" s="349" customFormat="1" ht="16.5">
      <c r="B83" s="2338"/>
      <c r="C83" s="169" t="s">
        <v>909</v>
      </c>
      <c r="D83" s="184" t="s">
        <v>191</v>
      </c>
      <c r="E83" s="464">
        <f>SUM(F83:G83)</f>
        <v>385894.36</v>
      </c>
      <c r="F83" s="465">
        <v>205405.36</v>
      </c>
      <c r="G83" s="182">
        <v>180489</v>
      </c>
      <c r="H83" s="414">
        <v>229751</v>
      </c>
      <c r="I83" s="415">
        <f>E83/H83</f>
        <v>1.6796199363658917</v>
      </c>
      <c r="J83" s="416">
        <v>34478</v>
      </c>
      <c r="K83" s="417">
        <f>J83/H83</f>
        <v>0.15006681146110354</v>
      </c>
      <c r="L83" s="418">
        <f>M83/J83</f>
        <v>6.383780961772724E-2</v>
      </c>
      <c r="M83" s="155">
        <v>2201</v>
      </c>
      <c r="N83" s="159">
        <v>1431</v>
      </c>
      <c r="O83" s="419">
        <f>N83/M83</f>
        <v>0.65015901862789638</v>
      </c>
      <c r="P83" s="163">
        <f>E83/M83</f>
        <v>175.32683325761016</v>
      </c>
      <c r="Q83" s="159">
        <f>E83/N83</f>
        <v>269.66761705101328</v>
      </c>
      <c r="R83" s="155">
        <f>N83*T82</f>
        <v>1047492</v>
      </c>
      <c r="S83" s="421">
        <f>R83/E83</f>
        <v>2.7144527326079606</v>
      </c>
      <c r="T83" s="2370"/>
      <c r="U83" s="422"/>
      <c r="V83" s="416"/>
      <c r="W83" s="417" t="e">
        <f>V83/U83</f>
        <v>#DIV/0!</v>
      </c>
      <c r="X83" s="157" t="e">
        <f>E83/U83</f>
        <v>#DIV/0!</v>
      </c>
      <c r="Y83" s="156" t="e">
        <f>E83/V83</f>
        <v>#DIV/0!</v>
      </c>
      <c r="Z83" s="155">
        <f>V83*AB83</f>
        <v>0</v>
      </c>
      <c r="AA83" s="423">
        <f>Z83/E83</f>
        <v>0</v>
      </c>
      <c r="AB83" s="468">
        <v>1375</v>
      </c>
    </row>
    <row r="84" spans="2:28" s="349" customFormat="1" ht="16.5">
      <c r="B84" s="2338"/>
      <c r="C84" s="424" t="s">
        <v>145</v>
      </c>
      <c r="D84" s="425"/>
      <c r="E84" s="469">
        <f>SUM(F84:G84)</f>
        <v>1216274.03</v>
      </c>
      <c r="F84" s="470">
        <f>SUM(F82:F83)</f>
        <v>324976.39</v>
      </c>
      <c r="G84" s="471">
        <f>SUM(G82:G83)</f>
        <v>891297.64</v>
      </c>
      <c r="H84" s="429">
        <f>SUM(H82:H83)</f>
        <v>741210</v>
      </c>
      <c r="I84" s="430">
        <f>E84/H84</f>
        <v>1.6409304110845779</v>
      </c>
      <c r="J84" s="431">
        <f>SUM(J82:J83)</f>
        <v>58306</v>
      </c>
      <c r="K84" s="432">
        <f>J84/H84</f>
        <v>7.866326682046923E-2</v>
      </c>
      <c r="L84" s="432">
        <f>M84/J84</f>
        <v>5.3527938805611776E-2</v>
      </c>
      <c r="M84" s="431">
        <f>SUM(M82:M83)</f>
        <v>3121</v>
      </c>
      <c r="N84" s="431">
        <f>SUM(N82:N83)</f>
        <v>2083</v>
      </c>
      <c r="O84" s="433">
        <f>N84/M84</f>
        <v>0.66741429029157318</v>
      </c>
      <c r="P84" s="475">
        <f>E84/M84</f>
        <v>389.70651393784044</v>
      </c>
      <c r="Q84" s="431">
        <f>E84/N84</f>
        <v>583.90495919347097</v>
      </c>
      <c r="R84" s="431">
        <f>N84*T84</f>
        <v>1524756</v>
      </c>
      <c r="S84" s="434">
        <f>R84/E84</f>
        <v>1.253628674452582</v>
      </c>
      <c r="T84" s="476">
        <f>T82</f>
        <v>732</v>
      </c>
      <c r="U84" s="429">
        <f>SUM(U82:U83)</f>
        <v>0</v>
      </c>
      <c r="V84" s="431">
        <f>SUM(V82:V83)</f>
        <v>0</v>
      </c>
      <c r="W84" s="432" t="e">
        <f>V84/U84</f>
        <v>#DIV/0!</v>
      </c>
      <c r="X84" s="477" t="e">
        <f>E84/U84</f>
        <v>#DIV/0!</v>
      </c>
      <c r="Y84" s="477" t="e">
        <f>E84/V84</f>
        <v>#DIV/0!</v>
      </c>
      <c r="Z84" s="431">
        <f>V84*AB84</f>
        <v>0</v>
      </c>
      <c r="AA84" s="436">
        <f>Z84/E84</f>
        <v>0</v>
      </c>
      <c r="AB84" s="476">
        <f>T82</f>
        <v>732</v>
      </c>
    </row>
    <row r="85" spans="2:28" s="348" customFormat="1" ht="16.5">
      <c r="B85" s="2289"/>
      <c r="C85" s="437" t="s">
        <v>146</v>
      </c>
      <c r="D85" s="438"/>
      <c r="E85" s="472">
        <f>E84</f>
        <v>1216274.03</v>
      </c>
      <c r="F85" s="473">
        <f>F84</f>
        <v>324976.39</v>
      </c>
      <c r="G85" s="474">
        <f>G84</f>
        <v>891297.64</v>
      </c>
      <c r="H85" s="144">
        <v>707203</v>
      </c>
      <c r="I85" s="442">
        <f>E85/H85</f>
        <v>1.7198372037448937</v>
      </c>
      <c r="J85" s="443">
        <v>51541</v>
      </c>
      <c r="K85" s="444">
        <f>J85/H85</f>
        <v>7.2880064139999409E-2</v>
      </c>
      <c r="L85" s="445">
        <f>M85/J85</f>
        <v>5.1978036902660021E-2</v>
      </c>
      <c r="M85" s="141">
        <v>2679</v>
      </c>
      <c r="N85" s="141">
        <v>1778</v>
      </c>
      <c r="O85" s="446">
        <f>N85/M85</f>
        <v>0.66368047779022021</v>
      </c>
      <c r="P85" s="478">
        <f>E85/M85</f>
        <v>454.00299738708475</v>
      </c>
      <c r="Q85" s="141">
        <f>E85/N85</f>
        <v>684.06863329583803</v>
      </c>
      <c r="R85" s="141">
        <f>N85*T85</f>
        <v>1301496</v>
      </c>
      <c r="S85" s="447">
        <f>R85/E85</f>
        <v>1.070068066815502</v>
      </c>
      <c r="T85" s="479">
        <f>T82</f>
        <v>732</v>
      </c>
      <c r="U85" s="448"/>
      <c r="V85" s="443"/>
      <c r="W85" s="444" t="e">
        <f>V85/U85</f>
        <v>#DIV/0!</v>
      </c>
      <c r="X85" s="480" t="e">
        <f>E85/U85</f>
        <v>#DIV/0!</v>
      </c>
      <c r="Y85" s="480" t="e">
        <f>E85/V85</f>
        <v>#DIV/0!</v>
      </c>
      <c r="Z85" s="141">
        <f>V85*AB85</f>
        <v>0</v>
      </c>
      <c r="AA85" s="449">
        <f>Z85/E85</f>
        <v>0</v>
      </c>
      <c r="AB85" s="479">
        <f>T82</f>
        <v>732</v>
      </c>
    </row>
    <row r="86" spans="2:28" s="401" customFormat="1" ht="14.5">
      <c r="G86" s="655"/>
    </row>
    <row r="87" spans="2:28" s="401" customFormat="1" ht="16.5">
      <c r="B87" s="601"/>
      <c r="C87" s="400"/>
      <c r="D87" s="400"/>
    </row>
    <row r="88" spans="2:28" s="401" customFormat="1" ht="16.5">
      <c r="B88" s="66" t="s">
        <v>128</v>
      </c>
      <c r="C88" s="400"/>
      <c r="D88" s="400"/>
    </row>
    <row r="89" spans="2:28" s="401" customFormat="1" ht="16.5">
      <c r="B89" s="66" t="s">
        <v>192</v>
      </c>
      <c r="C89" s="400"/>
      <c r="D89" s="400"/>
    </row>
    <row r="90" spans="2:28" s="401" customFormat="1" ht="16.5">
      <c r="C90" s="400"/>
      <c r="D90" s="400"/>
    </row>
    <row r="91" spans="2:28" s="348" customFormat="1" ht="16.5">
      <c r="B91" s="2371" t="s">
        <v>32</v>
      </c>
      <c r="C91" s="2372" t="s">
        <v>100</v>
      </c>
      <c r="D91" s="2374" t="s">
        <v>101</v>
      </c>
      <c r="E91" s="2376" t="s">
        <v>102</v>
      </c>
      <c r="F91" s="2377"/>
      <c r="G91" s="2378"/>
      <c r="H91" s="2346" t="s">
        <v>103</v>
      </c>
      <c r="I91" s="2346"/>
      <c r="J91" s="2346"/>
      <c r="K91" s="2346"/>
      <c r="L91" s="2346"/>
      <c r="M91" s="2346"/>
      <c r="N91" s="2346"/>
      <c r="O91" s="2346"/>
      <c r="P91" s="2346"/>
      <c r="Q91" s="2346"/>
      <c r="R91" s="2346"/>
      <c r="S91" s="2346"/>
      <c r="T91" s="2346"/>
      <c r="U91" s="2349" t="s">
        <v>27</v>
      </c>
      <c r="V91" s="2349"/>
      <c r="W91" s="2349"/>
      <c r="X91" s="2349"/>
      <c r="Y91" s="2349"/>
      <c r="Z91" s="2349"/>
      <c r="AA91" s="2349"/>
      <c r="AB91" s="2379"/>
    </row>
    <row r="92" spans="2:28" s="349" customFormat="1" ht="66">
      <c r="B92" s="2371"/>
      <c r="C92" s="2373"/>
      <c r="D92" s="2375"/>
      <c r="E92" s="179" t="s">
        <v>26</v>
      </c>
      <c r="F92" s="178" t="s">
        <v>138</v>
      </c>
      <c r="G92" s="174" t="s">
        <v>24</v>
      </c>
      <c r="H92" s="406" t="s">
        <v>23</v>
      </c>
      <c r="I92" s="354" t="s">
        <v>22</v>
      </c>
      <c r="J92" s="351" t="s">
        <v>21</v>
      </c>
      <c r="K92" s="354" t="s">
        <v>20</v>
      </c>
      <c r="L92" s="354" t="s">
        <v>19</v>
      </c>
      <c r="M92" s="355" t="s">
        <v>18</v>
      </c>
      <c r="N92" s="354" t="s">
        <v>17</v>
      </c>
      <c r="O92" s="356" t="s">
        <v>16</v>
      </c>
      <c r="P92" s="357" t="s">
        <v>15</v>
      </c>
      <c r="Q92" s="354" t="s">
        <v>14</v>
      </c>
      <c r="R92" s="354" t="s">
        <v>13</v>
      </c>
      <c r="S92" s="354" t="s">
        <v>12</v>
      </c>
      <c r="T92" s="352" t="s">
        <v>11</v>
      </c>
      <c r="U92" s="407" t="s">
        <v>10</v>
      </c>
      <c r="V92" s="408" t="s">
        <v>9</v>
      </c>
      <c r="W92" s="409" t="s">
        <v>8</v>
      </c>
      <c r="X92" s="409" t="s">
        <v>7</v>
      </c>
      <c r="Y92" s="409" t="s">
        <v>6</v>
      </c>
      <c r="Z92" s="409" t="s">
        <v>5</v>
      </c>
      <c r="AA92" s="409" t="s">
        <v>4</v>
      </c>
      <c r="AB92" s="410" t="s">
        <v>3</v>
      </c>
    </row>
    <row r="93" spans="2:28" s="349" customFormat="1" ht="16.5">
      <c r="B93" s="2288" t="s">
        <v>193</v>
      </c>
      <c r="C93" s="169" t="s">
        <v>910</v>
      </c>
      <c r="D93" s="184" t="s">
        <v>190</v>
      </c>
      <c r="E93" s="464">
        <f>SUM(F93:G93)</f>
        <v>812578.48</v>
      </c>
      <c r="F93" s="465">
        <v>101769.84</v>
      </c>
      <c r="G93" s="182">
        <v>710808.64</v>
      </c>
      <c r="H93" s="414">
        <v>440633</v>
      </c>
      <c r="I93" s="415">
        <f>E93/H93</f>
        <v>1.8441162600168393</v>
      </c>
      <c r="J93" s="416">
        <v>18639</v>
      </c>
      <c r="K93" s="417">
        <f>J93/H93</f>
        <v>4.2300508586510771E-2</v>
      </c>
      <c r="L93" s="418">
        <f>M93/J93</f>
        <v>3.675089865336123E-2</v>
      </c>
      <c r="M93" s="155">
        <v>685</v>
      </c>
      <c r="N93" s="159">
        <v>471</v>
      </c>
      <c r="O93" s="419">
        <f>N93/M93</f>
        <v>0.68759124087591239</v>
      </c>
      <c r="P93" s="163">
        <f>E93/M93</f>
        <v>1186.2459562043796</v>
      </c>
      <c r="Q93" s="159">
        <f>E93/N93</f>
        <v>1725.2197027600848</v>
      </c>
      <c r="R93" s="155">
        <f>N93*T93</f>
        <v>344772</v>
      </c>
      <c r="S93" s="421">
        <f>R93/E93</f>
        <v>0.42429378636756415</v>
      </c>
      <c r="T93" s="2369">
        <v>732</v>
      </c>
      <c r="U93" s="422"/>
      <c r="V93" s="416"/>
      <c r="W93" s="417" t="e">
        <f>V93/U93</f>
        <v>#DIV/0!</v>
      </c>
      <c r="X93" s="157" t="e">
        <f>E93/U93</f>
        <v>#DIV/0!</v>
      </c>
      <c r="Y93" s="156" t="e">
        <f>E93/V93</f>
        <v>#DIV/0!</v>
      </c>
      <c r="Z93" s="155">
        <f>V93*AB93</f>
        <v>0</v>
      </c>
      <c r="AA93" s="423">
        <f>Z93/E93</f>
        <v>0</v>
      </c>
      <c r="AB93" s="656"/>
    </row>
    <row r="94" spans="2:28" s="349" customFormat="1" ht="16.5">
      <c r="B94" s="2338"/>
      <c r="C94" s="169" t="s">
        <v>909</v>
      </c>
      <c r="D94" s="184" t="s">
        <v>191</v>
      </c>
      <c r="E94" s="464">
        <f>SUM(F94:G94)</f>
        <v>290064.68000000005</v>
      </c>
      <c r="F94" s="465">
        <v>188023.1</v>
      </c>
      <c r="G94" s="182">
        <v>102041.58000000007</v>
      </c>
      <c r="H94" s="414">
        <v>218350</v>
      </c>
      <c r="I94" s="415">
        <f>E94/H94</f>
        <v>1.328439111518205</v>
      </c>
      <c r="J94" s="416">
        <v>30908</v>
      </c>
      <c r="K94" s="417">
        <f>J94/H94</f>
        <v>0.14155255324021068</v>
      </c>
      <c r="L94" s="418">
        <f>M94/J94</f>
        <v>6.2669858936197753E-2</v>
      </c>
      <c r="M94" s="155">
        <v>1937</v>
      </c>
      <c r="N94" s="159">
        <v>1223</v>
      </c>
      <c r="O94" s="419">
        <f>N94/M94</f>
        <v>0.63138874548270518</v>
      </c>
      <c r="P94" s="163">
        <f>E94/M94</f>
        <v>149.74944759938052</v>
      </c>
      <c r="Q94" s="159">
        <f>E94/N94</f>
        <v>237.17471790678664</v>
      </c>
      <c r="R94" s="155">
        <f>N94*T93</f>
        <v>895236</v>
      </c>
      <c r="S94" s="421">
        <f>R94/E94</f>
        <v>3.0863323311200794</v>
      </c>
      <c r="T94" s="2370"/>
      <c r="U94" s="422"/>
      <c r="V94" s="416"/>
      <c r="W94" s="417" t="e">
        <f>V94/U94</f>
        <v>#DIV/0!</v>
      </c>
      <c r="X94" s="157" t="e">
        <f>E94/U94</f>
        <v>#DIV/0!</v>
      </c>
      <c r="Y94" s="156" t="e">
        <f>E94/V94</f>
        <v>#DIV/0!</v>
      </c>
      <c r="Z94" s="155">
        <f>V94*AB94</f>
        <v>0</v>
      </c>
      <c r="AA94" s="423">
        <f>Z94/E94</f>
        <v>0</v>
      </c>
      <c r="AB94" s="656"/>
    </row>
    <row r="95" spans="2:28" s="349" customFormat="1" ht="16.5">
      <c r="B95" s="2338"/>
      <c r="C95" s="424" t="s">
        <v>145</v>
      </c>
      <c r="D95" s="425"/>
      <c r="E95" s="469">
        <f>SUM(F95:G95)</f>
        <v>1102643.1600000001</v>
      </c>
      <c r="F95" s="470">
        <f>SUM(F93:F94)</f>
        <v>289792.94</v>
      </c>
      <c r="G95" s="471">
        <f>SUM(G93:G94)</f>
        <v>812850.22000000009</v>
      </c>
      <c r="H95" s="429">
        <f>SUM(H93:H94)</f>
        <v>658983</v>
      </c>
      <c r="I95" s="430">
        <f>E95/H95</f>
        <v>1.6732497803433475</v>
      </c>
      <c r="J95" s="431">
        <f>SUM(J93:J94)</f>
        <v>49547</v>
      </c>
      <c r="K95" s="432">
        <f>J95/H95</f>
        <v>7.5187068558672979E-2</v>
      </c>
      <c r="L95" s="432">
        <f>M95/J95</f>
        <v>5.2919450218983997E-2</v>
      </c>
      <c r="M95" s="431">
        <f>SUM(M93:M94)</f>
        <v>2622</v>
      </c>
      <c r="N95" s="431">
        <f>SUM(N93:N94)</f>
        <v>1694</v>
      </c>
      <c r="O95" s="433">
        <f>N95/M95</f>
        <v>0.64607170099160949</v>
      </c>
      <c r="P95" s="475">
        <f>E95/M95</f>
        <v>420.53514874141882</v>
      </c>
      <c r="Q95" s="431">
        <f>E95/N95</f>
        <v>650.91095631641099</v>
      </c>
      <c r="R95" s="431">
        <f>N95*T95</f>
        <v>1240008</v>
      </c>
      <c r="S95" s="434">
        <f>R95/E95</f>
        <v>1.1245777827162142</v>
      </c>
      <c r="T95" s="476">
        <v>732</v>
      </c>
      <c r="U95" s="429">
        <f>SUM(U93:U94)</f>
        <v>0</v>
      </c>
      <c r="V95" s="431">
        <f>SUM(V93:V94)</f>
        <v>0</v>
      </c>
      <c r="W95" s="432" t="e">
        <f>V95/U95</f>
        <v>#DIV/0!</v>
      </c>
      <c r="X95" s="477" t="e">
        <f>E95/U95</f>
        <v>#DIV/0!</v>
      </c>
      <c r="Y95" s="477" t="e">
        <f>E95/V95</f>
        <v>#DIV/0!</v>
      </c>
      <c r="Z95" s="431">
        <f>V95*AB95</f>
        <v>0</v>
      </c>
      <c r="AA95" s="436">
        <f>Z95/E95</f>
        <v>0</v>
      </c>
      <c r="AB95" s="476">
        <f>T93</f>
        <v>732</v>
      </c>
    </row>
    <row r="96" spans="2:28" s="348" customFormat="1" ht="16.5">
      <c r="B96" s="2289"/>
      <c r="C96" s="437" t="s">
        <v>146</v>
      </c>
      <c r="D96" s="438"/>
      <c r="E96" s="472">
        <f>E95</f>
        <v>1102643.1600000001</v>
      </c>
      <c r="F96" s="473">
        <f>F95</f>
        <v>289792.94</v>
      </c>
      <c r="G96" s="474">
        <f>G95</f>
        <v>812850.22000000009</v>
      </c>
      <c r="H96" s="144">
        <v>627663</v>
      </c>
      <c r="I96" s="442">
        <f>E96/H96</f>
        <v>1.7567439214992762</v>
      </c>
      <c r="J96" s="443">
        <v>43839</v>
      </c>
      <c r="K96" s="444">
        <f>J96/H96</f>
        <v>6.9844805253774719E-2</v>
      </c>
      <c r="L96" s="445">
        <f>M96/J96</f>
        <v>5.0799516412326925E-2</v>
      </c>
      <c r="M96" s="141">
        <v>2227</v>
      </c>
      <c r="N96" s="141">
        <v>1456</v>
      </c>
      <c r="O96" s="446">
        <f>N96/M96</f>
        <v>0.65379434216434662</v>
      </c>
      <c r="P96" s="478">
        <f>E96/M96</f>
        <v>495.12490345756629</v>
      </c>
      <c r="Q96" s="141">
        <f>E96/N96</f>
        <v>757.3098626373627</v>
      </c>
      <c r="R96" s="141">
        <f>N96*T96</f>
        <v>1065792</v>
      </c>
      <c r="S96" s="447">
        <f>R96/E96</f>
        <v>0.96657925126021715</v>
      </c>
      <c r="T96" s="479">
        <v>732</v>
      </c>
      <c r="U96" s="448"/>
      <c r="V96" s="443"/>
      <c r="W96" s="444" t="e">
        <f>V96/U96</f>
        <v>#DIV/0!</v>
      </c>
      <c r="X96" s="480" t="e">
        <f>E96/U96</f>
        <v>#DIV/0!</v>
      </c>
      <c r="Y96" s="480" t="e">
        <f>E96/V96</f>
        <v>#DIV/0!</v>
      </c>
      <c r="Z96" s="141">
        <f>V96*AB96</f>
        <v>0</v>
      </c>
      <c r="AA96" s="449">
        <f>Z96/E96</f>
        <v>0</v>
      </c>
      <c r="AB96" s="479">
        <f>T93</f>
        <v>732</v>
      </c>
    </row>
    <row r="97" spans="2:28" s="670" customFormat="1" ht="16.5">
      <c r="B97" s="641"/>
      <c r="C97" s="657"/>
      <c r="D97" s="657"/>
      <c r="E97" s="658"/>
      <c r="F97" s="659"/>
      <c r="G97" s="655"/>
      <c r="H97" s="660"/>
      <c r="I97" s="661"/>
      <c r="J97" s="662"/>
      <c r="K97" s="663"/>
      <c r="L97" s="664"/>
      <c r="M97" s="660"/>
      <c r="N97" s="660"/>
      <c r="O97" s="665"/>
      <c r="P97" s="666"/>
      <c r="Q97" s="660"/>
      <c r="R97" s="660"/>
      <c r="S97" s="667"/>
      <c r="T97" s="660"/>
      <c r="U97" s="662"/>
      <c r="V97" s="662"/>
      <c r="W97" s="663"/>
      <c r="X97" s="668"/>
      <c r="Y97" s="668"/>
      <c r="Z97" s="660"/>
      <c r="AA97" s="669"/>
      <c r="AB97" s="660"/>
    </row>
    <row r="98" spans="2:28" s="401" customFormat="1"/>
    <row r="99" spans="2:28" s="401" customFormat="1" ht="14.5">
      <c r="B99" s="66" t="s">
        <v>128</v>
      </c>
    </row>
    <row r="100" spans="2:28" s="401" customFormat="1" ht="14.5">
      <c r="B100" s="66" t="s">
        <v>194</v>
      </c>
    </row>
    <row r="101" spans="2:28" s="671" customFormat="1" ht="14.5">
      <c r="B101" s="405"/>
    </row>
    <row r="102" spans="2:28" s="348" customFormat="1" ht="50.25" customHeight="1">
      <c r="B102" s="2371" t="s">
        <v>195</v>
      </c>
      <c r="C102" s="2372" t="s">
        <v>196</v>
      </c>
      <c r="D102" s="2374" t="s">
        <v>197</v>
      </c>
      <c r="E102" s="2376" t="s">
        <v>198</v>
      </c>
      <c r="F102" s="2377"/>
      <c r="G102" s="2378"/>
      <c r="H102" s="2346" t="s">
        <v>28</v>
      </c>
      <c r="I102" s="2346"/>
      <c r="J102" s="2346"/>
      <c r="K102" s="2346"/>
      <c r="L102" s="2346"/>
      <c r="M102" s="2346"/>
      <c r="N102" s="2346"/>
      <c r="O102" s="2346"/>
      <c r="P102" s="2346"/>
      <c r="Q102" s="2346"/>
      <c r="R102" s="2346"/>
      <c r="S102" s="2346"/>
      <c r="T102" s="2346"/>
      <c r="U102" s="2349" t="s">
        <v>27</v>
      </c>
      <c r="V102" s="2349"/>
      <c r="W102" s="2349"/>
      <c r="X102" s="2349"/>
      <c r="Y102" s="2349"/>
      <c r="Z102" s="2349"/>
      <c r="AA102" s="2349"/>
      <c r="AB102" s="2379"/>
    </row>
    <row r="103" spans="2:28" s="349" customFormat="1" ht="50.25" customHeight="1">
      <c r="B103" s="2371"/>
      <c r="C103" s="2373"/>
      <c r="D103" s="2375"/>
      <c r="E103" s="179" t="s">
        <v>199</v>
      </c>
      <c r="F103" s="178" t="s">
        <v>200</v>
      </c>
      <c r="G103" s="174" t="s">
        <v>201</v>
      </c>
      <c r="H103" s="406" t="s">
        <v>202</v>
      </c>
      <c r="I103" s="354" t="s">
        <v>203</v>
      </c>
      <c r="J103" s="351" t="s">
        <v>204</v>
      </c>
      <c r="K103" s="354" t="s">
        <v>205</v>
      </c>
      <c r="L103" s="354" t="s">
        <v>206</v>
      </c>
      <c r="M103" s="355" t="s">
        <v>207</v>
      </c>
      <c r="N103" s="354" t="s">
        <v>17</v>
      </c>
      <c r="O103" s="356" t="s">
        <v>16</v>
      </c>
      <c r="P103" s="357" t="s">
        <v>15</v>
      </c>
      <c r="Q103" s="354" t="s">
        <v>14</v>
      </c>
      <c r="R103" s="354" t="s">
        <v>13</v>
      </c>
      <c r="S103" s="354" t="s">
        <v>12</v>
      </c>
      <c r="T103" s="352" t="s">
        <v>11</v>
      </c>
      <c r="U103" s="407" t="s">
        <v>10</v>
      </c>
      <c r="V103" s="408" t="s">
        <v>9</v>
      </c>
      <c r="W103" s="409" t="s">
        <v>8</v>
      </c>
      <c r="X103" s="409" t="s">
        <v>7</v>
      </c>
      <c r="Y103" s="409" t="s">
        <v>6</v>
      </c>
      <c r="Z103" s="409" t="s">
        <v>5</v>
      </c>
      <c r="AA103" s="409" t="s">
        <v>4</v>
      </c>
      <c r="AB103" s="410" t="s">
        <v>3</v>
      </c>
    </row>
    <row r="104" spans="2:28" s="349" customFormat="1" ht="16.5">
      <c r="B104" s="2288" t="s">
        <v>208</v>
      </c>
      <c r="C104" s="169" t="s">
        <v>910</v>
      </c>
      <c r="D104" s="184" t="s">
        <v>209</v>
      </c>
      <c r="E104" s="672">
        <f>SUM(F104:G104)</f>
        <v>616072.93000000005</v>
      </c>
      <c r="F104" s="673">
        <v>98485.890000000014</v>
      </c>
      <c r="G104" s="674">
        <v>517587.04000000004</v>
      </c>
      <c r="H104" s="414">
        <v>431560</v>
      </c>
      <c r="I104" s="675">
        <f>E104/H104</f>
        <v>1.4275487301881546</v>
      </c>
      <c r="J104" s="416">
        <v>17773</v>
      </c>
      <c r="K104" s="417">
        <f>J104/H104</f>
        <v>4.1183149504124571E-2</v>
      </c>
      <c r="L104" s="418">
        <f>M104/J104</f>
        <v>3.7191245147133289E-2</v>
      </c>
      <c r="M104" s="155">
        <v>661</v>
      </c>
      <c r="N104" s="159">
        <v>456</v>
      </c>
      <c r="O104" s="419">
        <f>N104/M104</f>
        <v>0.68986384266263234</v>
      </c>
      <c r="P104" s="163">
        <f>E104/M104</f>
        <v>932.03166414523457</v>
      </c>
      <c r="Q104" s="159">
        <f>E104/N104</f>
        <v>1351.0371271929826</v>
      </c>
      <c r="R104" s="155">
        <f>N104*T104</f>
        <v>333792</v>
      </c>
      <c r="S104" s="421">
        <f>R104/E104</f>
        <v>0.54180598391167745</v>
      </c>
      <c r="T104" s="2369">
        <v>732</v>
      </c>
      <c r="U104" s="422"/>
      <c r="V104" s="416"/>
      <c r="W104" s="417" t="e">
        <f>V104/U104</f>
        <v>#DIV/0!</v>
      </c>
      <c r="X104" s="157" t="e">
        <f>E104/U104</f>
        <v>#DIV/0!</v>
      </c>
      <c r="Y104" s="156" t="e">
        <f>E104/V104</f>
        <v>#DIV/0!</v>
      </c>
      <c r="Z104" s="155">
        <f>V104*AB104</f>
        <v>0</v>
      </c>
      <c r="AA104" s="542">
        <f>Z104/E104</f>
        <v>0</v>
      </c>
      <c r="AB104" s="656">
        <v>1359</v>
      </c>
    </row>
    <row r="105" spans="2:28" s="349" customFormat="1" ht="16.5">
      <c r="B105" s="2338"/>
      <c r="C105" s="169" t="s">
        <v>909</v>
      </c>
      <c r="D105" s="184" t="s">
        <v>210</v>
      </c>
      <c r="E105" s="672">
        <f>SUM(F105:G105)</f>
        <v>290064.68000000005</v>
      </c>
      <c r="F105" s="673">
        <v>188023.1</v>
      </c>
      <c r="G105" s="674">
        <v>102041.58000000007</v>
      </c>
      <c r="H105" s="414">
        <v>218231</v>
      </c>
      <c r="I105" s="675">
        <f>E105/H105</f>
        <v>1.3291635010608027</v>
      </c>
      <c r="J105" s="416">
        <v>30353</v>
      </c>
      <c r="K105" s="417">
        <f>J105/H105</f>
        <v>0.13908656423697824</v>
      </c>
      <c r="L105" s="418">
        <f>M105/J105</f>
        <v>6.3321582710111027E-2</v>
      </c>
      <c r="M105" s="155">
        <v>1922</v>
      </c>
      <c r="N105" s="159">
        <v>1229</v>
      </c>
      <c r="O105" s="419">
        <f>N105/M105</f>
        <v>0.63943808532778357</v>
      </c>
      <c r="P105" s="163">
        <f>E105/M105</f>
        <v>150.91814776274717</v>
      </c>
      <c r="Q105" s="159">
        <f>E105/N105</f>
        <v>236.01682668836457</v>
      </c>
      <c r="R105" s="155">
        <f>N105*T104</f>
        <v>899628</v>
      </c>
      <c r="S105" s="421">
        <f>R105/E105</f>
        <v>3.101473781640701</v>
      </c>
      <c r="T105" s="2370"/>
      <c r="U105" s="422"/>
      <c r="V105" s="416"/>
      <c r="W105" s="417" t="e">
        <f>V105/U105</f>
        <v>#DIV/0!</v>
      </c>
      <c r="X105" s="157" t="e">
        <f>E105/U105</f>
        <v>#DIV/0!</v>
      </c>
      <c r="Y105" s="156" t="e">
        <f>E105/V105</f>
        <v>#DIV/0!</v>
      </c>
      <c r="Z105" s="155">
        <f>V105*AB105</f>
        <v>0</v>
      </c>
      <c r="AA105" s="676">
        <f>Z105/E105</f>
        <v>0</v>
      </c>
      <c r="AB105" s="656">
        <v>1375</v>
      </c>
    </row>
    <row r="106" spans="2:28" s="349" customFormat="1" ht="16.5">
      <c r="B106" s="2338"/>
      <c r="C106" s="424" t="s">
        <v>211</v>
      </c>
      <c r="D106" s="425"/>
      <c r="E106" s="677">
        <f>SUM(F106:G106)</f>
        <v>906137.6100000001</v>
      </c>
      <c r="F106" s="678">
        <f>SUM(F104:F105)</f>
        <v>286508.99</v>
      </c>
      <c r="G106" s="679">
        <f>SUM(G104:G105)</f>
        <v>619628.62000000011</v>
      </c>
      <c r="H106" s="429">
        <f>SUM(H104:H105)</f>
        <v>649791</v>
      </c>
      <c r="I106" s="680">
        <f>E106/H106</f>
        <v>1.3945062489323492</v>
      </c>
      <c r="J106" s="431">
        <f>SUM(J104:J105)</f>
        <v>48126</v>
      </c>
      <c r="K106" s="432">
        <f>J106/H106</f>
        <v>7.4063814364926567E-2</v>
      </c>
      <c r="L106" s="432">
        <f>M106/J106</f>
        <v>5.3671612018451567E-2</v>
      </c>
      <c r="M106" s="431">
        <f>SUM(M104:M105)</f>
        <v>2583</v>
      </c>
      <c r="N106" s="431">
        <f>SUM(N104:N105)</f>
        <v>1685</v>
      </c>
      <c r="O106" s="433">
        <f>N106/M106</f>
        <v>0.65234223770809141</v>
      </c>
      <c r="P106" s="475">
        <f>E106/M106</f>
        <v>350.80821138211388</v>
      </c>
      <c r="Q106" s="475">
        <f>E106/N106</f>
        <v>537.7671275964392</v>
      </c>
      <c r="R106" s="431">
        <f>N106*T104</f>
        <v>1233420</v>
      </c>
      <c r="S106" s="434">
        <f>R106/E106</f>
        <v>1.3611839817574727</v>
      </c>
      <c r="T106" s="476">
        <v>732</v>
      </c>
      <c r="U106" s="429">
        <f>SUM(U104:U105)</f>
        <v>0</v>
      </c>
      <c r="V106" s="431">
        <f>SUM(V104:V105)</f>
        <v>0</v>
      </c>
      <c r="W106" s="432" t="e">
        <f>V106/U106</f>
        <v>#DIV/0!</v>
      </c>
      <c r="X106" s="477" t="e">
        <f>E106/U106</f>
        <v>#DIV/0!</v>
      </c>
      <c r="Y106" s="477" t="e">
        <f>E106/V106</f>
        <v>#DIV/0!</v>
      </c>
      <c r="Z106" s="431">
        <f>V106*AB106</f>
        <v>0</v>
      </c>
      <c r="AA106" s="681">
        <f>Z106/E106</f>
        <v>0</v>
      </c>
      <c r="AB106" s="476">
        <f>T104</f>
        <v>732</v>
      </c>
    </row>
    <row r="107" spans="2:28" s="348" customFormat="1" ht="16.5">
      <c r="B107" s="2289"/>
      <c r="C107" s="437" t="s">
        <v>212</v>
      </c>
      <c r="D107" s="438"/>
      <c r="E107" s="682">
        <f>E106</f>
        <v>906137.6100000001</v>
      </c>
      <c r="F107" s="683">
        <f>F106</f>
        <v>286508.99</v>
      </c>
      <c r="G107" s="684">
        <f>G106</f>
        <v>619628.62000000011</v>
      </c>
      <c r="H107" s="144">
        <v>618731</v>
      </c>
      <c r="I107" s="685">
        <f>E107/H107</f>
        <v>1.4645097950482522</v>
      </c>
      <c r="J107" s="443">
        <v>42604</v>
      </c>
      <c r="K107" s="444">
        <f>J107/H107</f>
        <v>6.8857063893679155E-2</v>
      </c>
      <c r="L107" s="445">
        <f>M107/J107</f>
        <v>5.1755703689794388E-2</v>
      </c>
      <c r="M107" s="141">
        <v>2205</v>
      </c>
      <c r="N107" s="141">
        <v>1425</v>
      </c>
      <c r="O107" s="446">
        <f>N107/M107</f>
        <v>0.6462585034013606</v>
      </c>
      <c r="P107" s="478">
        <f>E107/M107</f>
        <v>410.94676190476196</v>
      </c>
      <c r="Q107" s="141">
        <f>E107/N107</f>
        <v>635.88604210526319</v>
      </c>
      <c r="R107" s="141">
        <f>N107*T104</f>
        <v>1043100</v>
      </c>
      <c r="S107" s="447">
        <f>R107/E107</f>
        <v>1.1511496581628478</v>
      </c>
      <c r="T107" s="479">
        <v>732</v>
      </c>
      <c r="U107" s="448"/>
      <c r="V107" s="443"/>
      <c r="W107" s="444" t="e">
        <f>V107/U107</f>
        <v>#DIV/0!</v>
      </c>
      <c r="X107" s="480" t="e">
        <f>E107/U107</f>
        <v>#DIV/0!</v>
      </c>
      <c r="Y107" s="480" t="e">
        <f>E107/V107</f>
        <v>#DIV/0!</v>
      </c>
      <c r="Z107" s="141">
        <f>V107*AB107</f>
        <v>0</v>
      </c>
      <c r="AA107" s="686">
        <f>Z107/E107</f>
        <v>0</v>
      </c>
      <c r="AB107" s="479">
        <f>T104</f>
        <v>732</v>
      </c>
    </row>
    <row r="108" spans="2:28">
      <c r="S108" s="401"/>
      <c r="T108" s="401"/>
      <c r="U108" s="401"/>
      <c r="V108" s="401"/>
      <c r="W108" s="401"/>
      <c r="X108" s="401"/>
      <c r="Y108" s="401"/>
    </row>
    <row r="110" spans="2:28" s="401" customFormat="1" ht="14.5">
      <c r="B110" s="66" t="s">
        <v>128</v>
      </c>
    </row>
    <row r="111" spans="2:28" s="401" customFormat="1" ht="14.5">
      <c r="B111" s="66" t="s">
        <v>213</v>
      </c>
    </row>
    <row r="112" spans="2:28" s="671" customFormat="1" ht="14.5">
      <c r="B112" s="405"/>
    </row>
    <row r="113" spans="2:28" s="342" customFormat="1" ht="40" customHeight="1">
      <c r="B113" s="2371" t="s">
        <v>148</v>
      </c>
      <c r="C113" s="2372" t="s">
        <v>149</v>
      </c>
      <c r="D113" s="2372" t="s">
        <v>150</v>
      </c>
      <c r="E113" s="2376" t="s">
        <v>151</v>
      </c>
      <c r="F113" s="2377"/>
      <c r="G113" s="2378"/>
      <c r="H113" s="2377" t="s">
        <v>152</v>
      </c>
      <c r="I113" s="2377"/>
      <c r="J113" s="2377"/>
      <c r="K113" s="2377"/>
      <c r="L113" s="2377"/>
      <c r="M113" s="2377"/>
      <c r="N113" s="2377"/>
      <c r="O113" s="2377"/>
      <c r="P113" s="2377"/>
      <c r="Q113" s="2377"/>
      <c r="R113" s="2377"/>
      <c r="S113" s="2377"/>
      <c r="T113" s="2378"/>
      <c r="U113" s="2402" t="s">
        <v>153</v>
      </c>
      <c r="V113" s="2377"/>
      <c r="W113" s="2377"/>
      <c r="X113" s="2377"/>
      <c r="Y113" s="2377"/>
      <c r="Z113" s="2377"/>
      <c r="AA113" s="2377"/>
      <c r="AB113" s="2378"/>
    </row>
    <row r="114" spans="2:28" s="342" customFormat="1" ht="66">
      <c r="B114" s="2401"/>
      <c r="C114" s="2394"/>
      <c r="D114" s="2394"/>
      <c r="E114" s="516" t="s">
        <v>154</v>
      </c>
      <c r="F114" s="517" t="s">
        <v>155</v>
      </c>
      <c r="G114" s="518" t="s">
        <v>156</v>
      </c>
      <c r="H114" s="519" t="s">
        <v>23</v>
      </c>
      <c r="I114" s="520" t="s">
        <v>44</v>
      </c>
      <c r="J114" s="517" t="s">
        <v>21</v>
      </c>
      <c r="K114" s="520" t="s">
        <v>20</v>
      </c>
      <c r="L114" s="520" t="s">
        <v>19</v>
      </c>
      <c r="M114" s="521" t="s">
        <v>18</v>
      </c>
      <c r="N114" s="520" t="s">
        <v>17</v>
      </c>
      <c r="O114" s="520" t="s">
        <v>16</v>
      </c>
      <c r="P114" s="522" t="s">
        <v>15</v>
      </c>
      <c r="Q114" s="520" t="s">
        <v>14</v>
      </c>
      <c r="R114" s="520" t="s">
        <v>13</v>
      </c>
      <c r="S114" s="520" t="s">
        <v>12</v>
      </c>
      <c r="T114" s="489" t="s">
        <v>11</v>
      </c>
      <c r="U114" s="523" t="s">
        <v>10</v>
      </c>
      <c r="V114" s="522" t="s">
        <v>67</v>
      </c>
      <c r="W114" s="524" t="s">
        <v>160</v>
      </c>
      <c r="X114" s="524" t="s">
        <v>7</v>
      </c>
      <c r="Y114" s="524" t="s">
        <v>6</v>
      </c>
      <c r="Z114" s="524" t="s">
        <v>71</v>
      </c>
      <c r="AA114" s="524" t="s">
        <v>161</v>
      </c>
      <c r="AB114" s="525" t="s">
        <v>3</v>
      </c>
    </row>
    <row r="115" spans="2:28" s="342" customFormat="1" ht="16.5" customHeight="1">
      <c r="B115" s="2412" t="s">
        <v>214</v>
      </c>
      <c r="C115" s="526" t="s">
        <v>911</v>
      </c>
      <c r="D115" s="526" t="s">
        <v>215</v>
      </c>
      <c r="E115" s="687">
        <f>SUM(F115:G115)</f>
        <v>1434717</v>
      </c>
      <c r="F115" s="688">
        <v>645544.20000000007</v>
      </c>
      <c r="G115" s="689">
        <f>527681.96+261490.84</f>
        <v>789172.79999999993</v>
      </c>
      <c r="H115" s="530">
        <v>1548493</v>
      </c>
      <c r="I115" s="690">
        <f>E115/H115</f>
        <v>0.92652469207158183</v>
      </c>
      <c r="J115" s="186">
        <v>108065</v>
      </c>
      <c r="K115" s="165">
        <f>J115/H115</f>
        <v>6.9787206012555433E-2</v>
      </c>
      <c r="L115" s="532">
        <f>M115/J115</f>
        <v>4.9488733632535975E-2</v>
      </c>
      <c r="M115" s="533">
        <v>5348</v>
      </c>
      <c r="N115" s="186">
        <v>3807</v>
      </c>
      <c r="O115" s="691">
        <f>N115/M115</f>
        <v>0.71185489902767385</v>
      </c>
      <c r="P115" s="534">
        <f>E115/M115</f>
        <v>268.27169035153327</v>
      </c>
      <c r="Q115" s="535">
        <f>E115/N115</f>
        <v>376.86288416075649</v>
      </c>
      <c r="R115" s="533">
        <f>N115*T115</f>
        <v>2710584</v>
      </c>
      <c r="S115" s="536">
        <f>(R115)/E115</f>
        <v>1.889281300772208</v>
      </c>
      <c r="T115" s="585">
        <v>712</v>
      </c>
      <c r="U115" s="537">
        <v>426</v>
      </c>
      <c r="V115" s="538">
        <v>307</v>
      </c>
      <c r="W115" s="539">
        <f>V115/U115</f>
        <v>0.72065727699530513</v>
      </c>
      <c r="X115" s="540">
        <f>E115/U115</f>
        <v>3367.8802816901407</v>
      </c>
      <c r="Y115" s="541">
        <f>E115/V115</f>
        <v>4673.345276872964</v>
      </c>
      <c r="Z115" s="188">
        <f>V115*AB115</f>
        <v>209988</v>
      </c>
      <c r="AA115" s="423">
        <f>Z115/E115</f>
        <v>0.14636196546078425</v>
      </c>
      <c r="AB115" s="543">
        <v>684</v>
      </c>
    </row>
    <row r="116" spans="2:28" s="342" customFormat="1" ht="16.5" customHeight="1">
      <c r="B116" s="2413"/>
      <c r="C116" s="561" t="s">
        <v>117</v>
      </c>
      <c r="D116" s="561"/>
      <c r="E116" s="692">
        <f>SUM(F116:G116)</f>
        <v>1434717</v>
      </c>
      <c r="F116" s="693">
        <f>SUM(F115:F115)</f>
        <v>645544.20000000007</v>
      </c>
      <c r="G116" s="694">
        <f>SUM(G115:G115)</f>
        <v>789172.79999999993</v>
      </c>
      <c r="H116" s="565">
        <f>SUM(H115:H115)</f>
        <v>1548493</v>
      </c>
      <c r="I116" s="695">
        <f>E116/H116</f>
        <v>0.92652469207158183</v>
      </c>
      <c r="J116" s="567">
        <f>SUM(J115:J115)</f>
        <v>108065</v>
      </c>
      <c r="K116" s="568">
        <f>J116/H116</f>
        <v>6.9787206012555433E-2</v>
      </c>
      <c r="L116" s="569">
        <f>M116/J116</f>
        <v>4.9488733632535975E-2</v>
      </c>
      <c r="M116" s="570">
        <f>SUM(M115:M115)</f>
        <v>5348</v>
      </c>
      <c r="N116" s="570">
        <f>SUM(N115:N115)</f>
        <v>3807</v>
      </c>
      <c r="O116" s="569">
        <f>N116/M116</f>
        <v>0.71185489902767385</v>
      </c>
      <c r="P116" s="571">
        <f>E116/M116</f>
        <v>268.27169035153327</v>
      </c>
      <c r="Q116" s="571">
        <f>E116/N116</f>
        <v>376.86288416075649</v>
      </c>
      <c r="R116" s="570">
        <f>N116*T115</f>
        <v>2710584</v>
      </c>
      <c r="S116" s="572">
        <f>(R116)/E116</f>
        <v>1.889281300772208</v>
      </c>
      <c r="T116" s="573"/>
      <c r="U116" s="574">
        <f>SUM(U115:U115)</f>
        <v>426</v>
      </c>
      <c r="V116" s="567">
        <f>SUM(V115:V115)</f>
        <v>307</v>
      </c>
      <c r="W116" s="575">
        <f>V116/U116</f>
        <v>0.72065727699530513</v>
      </c>
      <c r="X116" s="576">
        <f>E116/U116</f>
        <v>3367.8802816901407</v>
      </c>
      <c r="Y116" s="576">
        <f>E116/V116</f>
        <v>4673.345276872964</v>
      </c>
      <c r="Z116" s="567">
        <f>V116*AB116</f>
        <v>209988</v>
      </c>
      <c r="AA116" s="696">
        <f>Z116/E116</f>
        <v>0.14636196546078425</v>
      </c>
      <c r="AB116" s="578">
        <v>684</v>
      </c>
    </row>
    <row r="117" spans="2:28">
      <c r="S117" s="401"/>
      <c r="T117" s="401"/>
      <c r="U117" s="401"/>
      <c r="V117" s="401"/>
      <c r="W117" s="401"/>
      <c r="X117" s="401"/>
      <c r="Y117" s="401"/>
    </row>
    <row r="118" spans="2:28">
      <c r="S118" s="401"/>
      <c r="T118" s="401"/>
      <c r="U118" s="401"/>
      <c r="V118" s="401"/>
      <c r="W118" s="401"/>
      <c r="X118" s="401"/>
      <c r="Y118" s="401"/>
    </row>
    <row r="119" spans="2:28">
      <c r="S119" s="401"/>
      <c r="T119" s="401"/>
      <c r="U119" s="401"/>
      <c r="V119" s="401"/>
      <c r="W119" s="401"/>
      <c r="X119" s="401"/>
      <c r="Y119" s="401"/>
    </row>
  </sheetData>
  <mergeCells count="78">
    <mergeCell ref="H12:J12"/>
    <mergeCell ref="K12:W12"/>
    <mergeCell ref="X12:AE12"/>
    <mergeCell ref="B14:B15"/>
    <mergeCell ref="B21:B22"/>
    <mergeCell ref="C21:C22"/>
    <mergeCell ref="D21:D22"/>
    <mergeCell ref="E21:G21"/>
    <mergeCell ref="H21:T21"/>
    <mergeCell ref="U21:AB21"/>
    <mergeCell ref="B12:B13"/>
    <mergeCell ref="C12:C13"/>
    <mergeCell ref="D12:D13"/>
    <mergeCell ref="E12:E13"/>
    <mergeCell ref="F12:F13"/>
    <mergeCell ref="G12:G13"/>
    <mergeCell ref="B23:B24"/>
    <mergeCell ref="B30:B31"/>
    <mergeCell ref="C30:C31"/>
    <mergeCell ref="D30:D31"/>
    <mergeCell ref="E30:G30"/>
    <mergeCell ref="U30:AB30"/>
    <mergeCell ref="B40:B41"/>
    <mergeCell ref="C40:C41"/>
    <mergeCell ref="D40:D41"/>
    <mergeCell ref="E40:G40"/>
    <mergeCell ref="H40:T40"/>
    <mergeCell ref="U40:AB40"/>
    <mergeCell ref="H30:T30"/>
    <mergeCell ref="U60:AB60"/>
    <mergeCell ref="B50:B51"/>
    <mergeCell ref="C50:C51"/>
    <mergeCell ref="D50:D51"/>
    <mergeCell ref="E50:G50"/>
    <mergeCell ref="H50:T50"/>
    <mergeCell ref="U50:AB50"/>
    <mergeCell ref="B60:B61"/>
    <mergeCell ref="C60:C61"/>
    <mergeCell ref="D60:D61"/>
    <mergeCell ref="E60:G60"/>
    <mergeCell ref="H60:T60"/>
    <mergeCell ref="U80:AB80"/>
    <mergeCell ref="B70:B71"/>
    <mergeCell ref="C70:C71"/>
    <mergeCell ref="D70:D71"/>
    <mergeCell ref="E70:G70"/>
    <mergeCell ref="H70:T70"/>
    <mergeCell ref="U70:AB70"/>
    <mergeCell ref="B80:B81"/>
    <mergeCell ref="C80:C81"/>
    <mergeCell ref="D80:D81"/>
    <mergeCell ref="E80:G80"/>
    <mergeCell ref="H80:T80"/>
    <mergeCell ref="B82:B85"/>
    <mergeCell ref="T82:T83"/>
    <mergeCell ref="B91:B92"/>
    <mergeCell ref="C91:C92"/>
    <mergeCell ref="D91:D92"/>
    <mergeCell ref="E91:G91"/>
    <mergeCell ref="H91:T91"/>
    <mergeCell ref="U91:AB91"/>
    <mergeCell ref="B93:B96"/>
    <mergeCell ref="T93:T94"/>
    <mergeCell ref="B102:B103"/>
    <mergeCell ref="C102:C103"/>
    <mergeCell ref="D102:D103"/>
    <mergeCell ref="E102:G102"/>
    <mergeCell ref="H102:T102"/>
    <mergeCell ref="U102:AB102"/>
    <mergeCell ref="U113:AB113"/>
    <mergeCell ref="B115:B116"/>
    <mergeCell ref="B104:B107"/>
    <mergeCell ref="T104:T105"/>
    <mergeCell ref="B113:B114"/>
    <mergeCell ref="C113:C114"/>
    <mergeCell ref="D113:D114"/>
    <mergeCell ref="E113:G113"/>
    <mergeCell ref="H113:T113"/>
  </mergeCells>
  <phoneticPr fontId="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ED6E-79BB-114D-A2A1-1609CFFED825}">
  <dimension ref="A1:AK179"/>
  <sheetViews>
    <sheetView showGridLines="0" workbookViewId="0">
      <selection activeCell="D23" sqref="D23"/>
    </sheetView>
  </sheetViews>
  <sheetFormatPr defaultColWidth="9" defaultRowHeight="16.5"/>
  <cols>
    <col min="1" max="1" width="7.75" style="349" customWidth="1"/>
    <col min="2" max="2" width="26.33203125" style="349" customWidth="1"/>
    <col min="3" max="4" width="26" style="1121" customWidth="1"/>
    <col min="5" max="5" width="18.4140625" style="1121" bestFit="1" customWidth="1"/>
    <col min="6" max="6" width="17.4140625" style="1121" bestFit="1" customWidth="1"/>
    <col min="7" max="7" width="22.4140625" style="1121" bestFit="1" customWidth="1"/>
    <col min="8" max="19" width="15.4140625" style="349" customWidth="1"/>
    <col min="20" max="20" width="17.75" style="349" customWidth="1"/>
    <col min="21" max="28" width="15.4140625" style="349" customWidth="1"/>
    <col min="29" max="31" width="14.08203125" style="349" customWidth="1"/>
    <col min="32" max="16384" width="9" style="349"/>
  </cols>
  <sheetData>
    <row r="1" spans="1:37" s="839" customFormat="1">
      <c r="D1" s="841"/>
      <c r="E1" s="841"/>
      <c r="F1" s="841"/>
      <c r="G1" s="841"/>
      <c r="H1" s="841"/>
      <c r="I1" s="842"/>
      <c r="J1" s="842"/>
      <c r="K1" s="842"/>
      <c r="L1" s="843"/>
      <c r="M1" s="844"/>
      <c r="N1" s="843"/>
      <c r="O1" s="845"/>
      <c r="P1" s="845"/>
      <c r="Q1" s="843"/>
      <c r="R1" s="843"/>
      <c r="S1" s="845"/>
      <c r="T1" s="843"/>
      <c r="U1" s="843"/>
      <c r="V1" s="843"/>
      <c r="W1" s="846"/>
      <c r="X1" s="843"/>
      <c r="Y1" s="843"/>
      <c r="Z1" s="843"/>
      <c r="AA1" s="843"/>
      <c r="AB1" s="845"/>
      <c r="AC1" s="843"/>
      <c r="AD1" s="843"/>
      <c r="AE1" s="843"/>
      <c r="AF1" s="846"/>
      <c r="AG1" s="843"/>
      <c r="AH1" s="847"/>
      <c r="AI1" s="848"/>
      <c r="AJ1" s="848"/>
      <c r="AK1" s="848"/>
    </row>
    <row r="2" spans="1:37" s="839" customFormat="1">
      <c r="B2" s="840" t="s">
        <v>236</v>
      </c>
      <c r="D2" s="841"/>
      <c r="E2" s="841"/>
      <c r="F2" s="841"/>
      <c r="G2" s="841"/>
      <c r="H2" s="841"/>
      <c r="I2" s="842"/>
      <c r="J2" s="842"/>
      <c r="K2" s="842"/>
      <c r="L2" s="843"/>
      <c r="M2" s="844"/>
      <c r="N2" s="843"/>
      <c r="O2" s="845"/>
      <c r="P2" s="845"/>
      <c r="Q2" s="843"/>
      <c r="R2" s="843"/>
      <c r="S2" s="845"/>
      <c r="T2" s="843"/>
      <c r="U2" s="843"/>
      <c r="V2" s="843"/>
      <c r="W2" s="846"/>
      <c r="X2" s="843"/>
      <c r="Y2" s="843"/>
      <c r="Z2" s="843"/>
      <c r="AA2" s="843"/>
      <c r="AB2" s="845"/>
      <c r="AC2" s="843"/>
      <c r="AD2" s="843"/>
      <c r="AE2" s="843"/>
      <c r="AF2" s="846"/>
      <c r="AG2" s="843"/>
      <c r="AH2" s="847"/>
      <c r="AI2" s="848"/>
      <c r="AJ2" s="848"/>
      <c r="AK2" s="848"/>
    </row>
    <row r="3" spans="1:37" s="839" customFormat="1">
      <c r="B3" s="840" t="s">
        <v>182</v>
      </c>
      <c r="D3" s="841"/>
      <c r="E3" s="841"/>
      <c r="F3" s="841"/>
      <c r="G3" s="841"/>
      <c r="H3" s="841"/>
      <c r="I3" s="842"/>
      <c r="J3" s="842"/>
      <c r="K3" s="842"/>
      <c r="L3" s="843"/>
      <c r="M3" s="844"/>
      <c r="N3" s="843"/>
      <c r="O3" s="845"/>
      <c r="P3" s="845"/>
      <c r="Q3" s="843"/>
      <c r="R3" s="843"/>
      <c r="S3" s="845"/>
      <c r="T3" s="843"/>
      <c r="U3" s="843"/>
      <c r="V3" s="843"/>
      <c r="W3" s="846"/>
      <c r="X3" s="843"/>
      <c r="Y3" s="843"/>
      <c r="Z3" s="843"/>
      <c r="AA3" s="843"/>
      <c r="AB3" s="845"/>
      <c r="AC3" s="843"/>
      <c r="AD3" s="843"/>
      <c r="AE3" s="843"/>
      <c r="AF3" s="846"/>
      <c r="AG3" s="843"/>
      <c r="AH3" s="847"/>
      <c r="AI3" s="848"/>
      <c r="AJ3" s="848"/>
      <c r="AK3" s="848"/>
    </row>
    <row r="4" spans="1:37" s="839" customFormat="1">
      <c r="B4" s="849" t="s">
        <v>237</v>
      </c>
      <c r="D4" s="841"/>
      <c r="E4" s="841"/>
      <c r="F4" s="841"/>
      <c r="G4" s="841"/>
      <c r="H4" s="841"/>
      <c r="I4" s="842"/>
      <c r="J4" s="842"/>
      <c r="K4" s="842"/>
      <c r="L4" s="843"/>
      <c r="M4" s="844"/>
      <c r="N4" s="843"/>
      <c r="O4" s="845"/>
      <c r="P4" s="845"/>
      <c r="Q4" s="843"/>
      <c r="R4" s="843"/>
      <c r="S4" s="845"/>
      <c r="T4" s="843"/>
      <c r="U4" s="843"/>
      <c r="V4" s="843"/>
      <c r="W4" s="846"/>
      <c r="X4" s="843"/>
      <c r="Y4" s="843"/>
      <c r="Z4" s="843"/>
      <c r="AA4" s="843"/>
      <c r="AB4" s="845"/>
      <c r="AC4" s="843"/>
      <c r="AD4" s="843"/>
      <c r="AE4" s="843"/>
      <c r="AF4" s="846"/>
      <c r="AG4" s="843"/>
      <c r="AH4" s="847"/>
      <c r="AI4" s="848"/>
      <c r="AJ4" s="848"/>
      <c r="AK4" s="848"/>
    </row>
    <row r="5" spans="1:37" s="839" customFormat="1">
      <c r="B5" s="849" t="s">
        <v>183</v>
      </c>
      <c r="D5" s="841"/>
      <c r="E5" s="841"/>
      <c r="F5" s="841"/>
      <c r="G5" s="841"/>
      <c r="H5" s="841"/>
      <c r="I5" s="842"/>
      <c r="J5" s="842"/>
      <c r="K5" s="842"/>
      <c r="L5" s="843"/>
      <c r="M5" s="844"/>
      <c r="N5" s="843"/>
      <c r="O5" s="845"/>
      <c r="P5" s="845"/>
      <c r="Q5" s="843"/>
      <c r="R5" s="843"/>
      <c r="S5" s="845"/>
      <c r="T5" s="843"/>
      <c r="U5" s="843"/>
      <c r="V5" s="843"/>
      <c r="W5" s="846"/>
      <c r="X5" s="843"/>
      <c r="Y5" s="843"/>
      <c r="Z5" s="843"/>
      <c r="AA5" s="843"/>
      <c r="AB5" s="845"/>
      <c r="AC5" s="843"/>
      <c r="AD5" s="843"/>
      <c r="AE5" s="843"/>
      <c r="AF5" s="846"/>
      <c r="AG5" s="843"/>
      <c r="AH5" s="847"/>
      <c r="AI5" s="848"/>
      <c r="AJ5" s="848"/>
      <c r="AK5" s="848"/>
    </row>
    <row r="7" spans="1:37" s="1909" customFormat="1" ht="22.5">
      <c r="B7" s="1910" t="s">
        <v>912</v>
      </c>
      <c r="C7" s="1911"/>
      <c r="D7" s="1911"/>
      <c r="E7" s="1911"/>
      <c r="F7" s="1911"/>
      <c r="G7" s="1911"/>
    </row>
    <row r="8" spans="1:37" s="1122" customFormat="1">
      <c r="B8" s="1122" t="s">
        <v>646</v>
      </c>
      <c r="C8" s="1123" t="s">
        <v>647</v>
      </c>
      <c r="D8" s="1124"/>
      <c r="E8" s="1125"/>
      <c r="F8" s="1126"/>
      <c r="G8" s="1126"/>
    </row>
    <row r="9" spans="1:37" s="1122" customFormat="1">
      <c r="B9" s="1122" t="s">
        <v>648</v>
      </c>
      <c r="C9" s="1123" t="s">
        <v>649</v>
      </c>
      <c r="D9" s="1912"/>
      <c r="E9" s="1125"/>
      <c r="F9" s="1125"/>
      <c r="G9" s="1126"/>
      <c r="L9" s="1127"/>
    </row>
    <row r="10" spans="1:37">
      <c r="B10" s="349" t="s">
        <v>650</v>
      </c>
      <c r="C10" s="1128" t="s">
        <v>412</v>
      </c>
      <c r="D10" s="1129"/>
      <c r="E10" s="1130"/>
      <c r="F10" s="1130"/>
      <c r="H10" s="1130"/>
      <c r="I10" s="1130"/>
      <c r="L10" s="1131"/>
    </row>
    <row r="11" spans="1:37">
      <c r="D11" s="641"/>
      <c r="E11" s="1132"/>
      <c r="F11" s="1133"/>
      <c r="G11" s="1134"/>
      <c r="H11" s="1132"/>
      <c r="I11" s="1133"/>
    </row>
    <row r="12" spans="1:37" ht="28" customHeight="1">
      <c r="A12" s="1138"/>
      <c r="B12" s="1139"/>
      <c r="C12" s="2479"/>
      <c r="D12" s="2479"/>
      <c r="E12" s="2479"/>
      <c r="F12" s="2479"/>
      <c r="G12" s="2479"/>
      <c r="H12" s="453"/>
      <c r="I12" s="453"/>
      <c r="J12" s="453"/>
      <c r="K12" s="641"/>
      <c r="L12" s="641"/>
      <c r="M12" s="1137"/>
      <c r="U12" s="1135"/>
      <c r="V12" s="1130"/>
      <c r="W12" s="1130"/>
      <c r="X12" s="1136"/>
      <c r="Y12" s="1136"/>
      <c r="Z12" s="1136"/>
      <c r="AA12" s="1136"/>
      <c r="AB12" s="1136"/>
    </row>
    <row r="13" spans="1:37" s="348" customFormat="1" ht="16.5" customHeight="1">
      <c r="B13" s="2297" t="s">
        <v>99</v>
      </c>
      <c r="C13" s="2299" t="s">
        <v>100</v>
      </c>
      <c r="D13" s="2299" t="s">
        <v>651</v>
      </c>
      <c r="E13" s="2299" t="s">
        <v>439</v>
      </c>
      <c r="F13" s="2299" t="s">
        <v>441</v>
      </c>
      <c r="G13" s="2463" t="s">
        <v>101</v>
      </c>
      <c r="H13" s="2465" t="s">
        <v>102</v>
      </c>
      <c r="I13" s="2470"/>
      <c r="J13" s="2470"/>
      <c r="K13" s="2347" t="s">
        <v>103</v>
      </c>
      <c r="L13" s="2347"/>
      <c r="M13" s="2347"/>
      <c r="N13" s="2347"/>
      <c r="O13" s="2347"/>
      <c r="P13" s="2347"/>
      <c r="Q13" s="2347"/>
      <c r="R13" s="2347"/>
      <c r="S13" s="2347"/>
      <c r="T13" s="2347"/>
      <c r="U13" s="2347"/>
      <c r="V13" s="2347"/>
      <c r="W13" s="2348"/>
      <c r="X13" s="2349" t="s">
        <v>501</v>
      </c>
      <c r="Y13" s="2350"/>
      <c r="Z13" s="2350"/>
      <c r="AA13" s="2350"/>
      <c r="AB13" s="2350"/>
      <c r="AC13" s="2350"/>
      <c r="AD13" s="2350"/>
      <c r="AE13" s="2351"/>
    </row>
    <row r="14" spans="1:37" ht="49.5">
      <c r="B14" s="2468"/>
      <c r="C14" s="2301"/>
      <c r="D14" s="2301"/>
      <c r="E14" s="2301"/>
      <c r="F14" s="2301"/>
      <c r="G14" s="2469"/>
      <c r="H14" s="1913" t="s">
        <v>104</v>
      </c>
      <c r="I14" s="1914" t="s">
        <v>652</v>
      </c>
      <c r="J14" s="1915" t="s">
        <v>106</v>
      </c>
      <c r="K14" s="1916" t="s">
        <v>107</v>
      </c>
      <c r="L14" s="1188" t="s">
        <v>653</v>
      </c>
      <c r="M14" s="1189" t="s">
        <v>502</v>
      </c>
      <c r="N14" s="1188" t="s">
        <v>654</v>
      </c>
      <c r="O14" s="1188" t="s">
        <v>655</v>
      </c>
      <c r="P14" s="837" t="s">
        <v>656</v>
      </c>
      <c r="Q14" s="1188" t="s">
        <v>657</v>
      </c>
      <c r="R14" s="63" t="s">
        <v>658</v>
      </c>
      <c r="S14" s="1189" t="s">
        <v>659</v>
      </c>
      <c r="T14" s="1188" t="s">
        <v>660</v>
      </c>
      <c r="U14" s="1188" t="s">
        <v>661</v>
      </c>
      <c r="V14" s="1188" t="s">
        <v>662</v>
      </c>
      <c r="W14" s="1917" t="s">
        <v>663</v>
      </c>
      <c r="X14" s="1918" t="s">
        <v>664</v>
      </c>
      <c r="Y14" s="1189" t="s">
        <v>665</v>
      </c>
      <c r="Z14" s="1192" t="s">
        <v>666</v>
      </c>
      <c r="AA14" s="1192" t="s">
        <v>7</v>
      </c>
      <c r="AB14" s="1192" t="s">
        <v>6</v>
      </c>
      <c r="AC14" s="1192" t="s">
        <v>667</v>
      </c>
      <c r="AD14" s="1192" t="s">
        <v>668</v>
      </c>
      <c r="AE14" s="1193" t="s">
        <v>3</v>
      </c>
    </row>
    <row r="15" spans="1:37">
      <c r="B15" s="1140" t="s">
        <v>669</v>
      </c>
      <c r="C15" s="1919" t="s">
        <v>913</v>
      </c>
      <c r="D15" s="1920" t="s">
        <v>449</v>
      </c>
      <c r="E15" s="1920" t="s">
        <v>451</v>
      </c>
      <c r="F15" s="1920" t="s">
        <v>454</v>
      </c>
      <c r="G15" s="1921" t="s">
        <v>670</v>
      </c>
      <c r="H15" s="1157">
        <f>I15+J15</f>
        <v>1632824.8599999999</v>
      </c>
      <c r="I15" s="1144">
        <v>768564.86</v>
      </c>
      <c r="J15" s="1145">
        <v>864260</v>
      </c>
      <c r="K15" s="1146">
        <v>1234907</v>
      </c>
      <c r="L15" s="415">
        <f>H15/K15</f>
        <v>1.3222249610699428</v>
      </c>
      <c r="M15" s="1147">
        <v>81325</v>
      </c>
      <c r="N15" s="417">
        <f>M15/K15</f>
        <v>6.5855161562773559E-2</v>
      </c>
      <c r="O15" s="1148">
        <f>P15/M15</f>
        <v>7.7319397479249929E-2</v>
      </c>
      <c r="P15" s="1149">
        <v>6288</v>
      </c>
      <c r="Q15" s="1147">
        <v>5064</v>
      </c>
      <c r="R15" s="1150">
        <f>IFERROR(Q15/P15,"-")</f>
        <v>0.80534351145038163</v>
      </c>
      <c r="S15" s="163">
        <f>IFERROR(H15/P15,"-")</f>
        <v>259.67316475826971</v>
      </c>
      <c r="T15" s="159">
        <f>IFERROR(H15/Q15,"-")</f>
        <v>322.43776856240123</v>
      </c>
      <c r="U15" s="1149">
        <f>IFERROR(W15*Q15,"-")</f>
        <v>1724279.4678259436</v>
      </c>
      <c r="V15" s="421">
        <f>IFERROR(U15/H15,"-")</f>
        <v>1.0560100535374894</v>
      </c>
      <c r="W15" s="2292">
        <v>340.49752524208998</v>
      </c>
      <c r="X15" s="1922">
        <v>1715</v>
      </c>
      <c r="Y15" s="1923">
        <v>1419</v>
      </c>
      <c r="Z15" s="1924">
        <f>IFERROR(Y15/X15,"-")</f>
        <v>0.82740524781341107</v>
      </c>
      <c r="AA15" s="1925">
        <f>IFERROR(H15/X15,"-")</f>
        <v>952.08446647230312</v>
      </c>
      <c r="AB15" s="1926">
        <f>IFERROR(H15/Y15,"-")</f>
        <v>1150.6870049330514</v>
      </c>
      <c r="AC15" s="1927">
        <f>IFERROR(AE15*Y15,"-")</f>
        <v>685992.58835758769</v>
      </c>
      <c r="AD15" s="1928">
        <f>IFERROR(AC15/H15,"-")</f>
        <v>0.42012625184895075</v>
      </c>
      <c r="AE15" s="1929">
        <v>483.43381843381798</v>
      </c>
    </row>
    <row r="16" spans="1:37">
      <c r="B16" s="1140" t="s">
        <v>669</v>
      </c>
      <c r="C16" s="1141" t="s">
        <v>914</v>
      </c>
      <c r="D16" s="1348" t="s">
        <v>449</v>
      </c>
      <c r="E16" s="1348" t="s">
        <v>453</v>
      </c>
      <c r="F16" s="1348" t="s">
        <v>452</v>
      </c>
      <c r="G16" s="1142" t="s">
        <v>455</v>
      </c>
      <c r="H16" s="1157">
        <f>I16+J16</f>
        <v>1823245.59</v>
      </c>
      <c r="I16" s="1144">
        <v>296922.73</v>
      </c>
      <c r="J16" s="1145">
        <v>1526322.86</v>
      </c>
      <c r="K16" s="1146">
        <v>1784033</v>
      </c>
      <c r="L16" s="415">
        <f>H16/K16</f>
        <v>1.0219797447692953</v>
      </c>
      <c r="M16" s="1147">
        <v>48980</v>
      </c>
      <c r="N16" s="417">
        <f>M16/K16</f>
        <v>2.7454649101221782E-2</v>
      </c>
      <c r="O16" s="1148">
        <f>P16/M16</f>
        <v>8.8934258881175995E-2</v>
      </c>
      <c r="P16" s="1149">
        <v>4356</v>
      </c>
      <c r="Q16" s="1147">
        <v>3618</v>
      </c>
      <c r="R16" s="1150">
        <f>IFERROR(Q16/P16,"-")</f>
        <v>0.83057851239669422</v>
      </c>
      <c r="S16" s="163">
        <f>IFERROR(H16/P16,"-")</f>
        <v>418.55959366391187</v>
      </c>
      <c r="T16" s="159">
        <f>IFERROR(H16/Q16,"-")</f>
        <v>503.93742122719738</v>
      </c>
      <c r="U16" s="1149">
        <f>IFERROR(W15*Q16,"-")</f>
        <v>1231920.0463258815</v>
      </c>
      <c r="V16" s="421">
        <f>IFERROR(U16/H16,"-")</f>
        <v>0.67567422243203201</v>
      </c>
      <c r="W16" s="2473"/>
      <c r="X16" s="1151">
        <v>435</v>
      </c>
      <c r="Y16" s="1147">
        <v>362</v>
      </c>
      <c r="Z16" s="417">
        <f>IFERROR(Y16/X16,"-")</f>
        <v>0.83218390804597697</v>
      </c>
      <c r="AA16" s="157">
        <f>IFERROR(H16/X16,"-")</f>
        <v>4191.3691724137934</v>
      </c>
      <c r="AB16" s="156">
        <f>IFERROR(H16/Y16,"-")</f>
        <v>5036.5900276243092</v>
      </c>
      <c r="AC16" s="155">
        <f>IFERROR(AE16*Y16,"-")</f>
        <v>183581.81944306815</v>
      </c>
      <c r="AD16" s="423">
        <f>IFERROR(AC16/H16,"-")</f>
        <v>0.10068957273225498</v>
      </c>
      <c r="AE16" s="838">
        <v>507.132097909028</v>
      </c>
    </row>
    <row r="17" spans="2:31">
      <c r="B17" s="1930"/>
      <c r="C17" s="424" t="s">
        <v>504</v>
      </c>
      <c r="D17" s="1931"/>
      <c r="E17" s="1931"/>
      <c r="F17" s="1931"/>
      <c r="G17" s="1932"/>
      <c r="H17" s="1933">
        <f>I17+J17</f>
        <v>3456070.45</v>
      </c>
      <c r="I17" s="470">
        <f>SUM(I15:I16)</f>
        <v>1065487.5899999999</v>
      </c>
      <c r="J17" s="1934">
        <f>SUM(J15:J16)</f>
        <v>2390582.8600000003</v>
      </c>
      <c r="K17" s="1935">
        <f>SUM(K15:K16)</f>
        <v>3018940</v>
      </c>
      <c r="L17" s="430">
        <f>H17/K17</f>
        <v>1.1447960045578913</v>
      </c>
      <c r="M17" s="431">
        <f>SUM(M15:M16)</f>
        <v>130305</v>
      </c>
      <c r="N17" s="432">
        <f>M17/K17</f>
        <v>4.3162500745294707E-2</v>
      </c>
      <c r="O17" s="432">
        <f>P17/M17</f>
        <v>8.1685276850466212E-2</v>
      </c>
      <c r="P17" s="431">
        <f>SUM(P15:P16)</f>
        <v>10644</v>
      </c>
      <c r="Q17" s="431">
        <f>SUM(Q15:Q16)</f>
        <v>8682</v>
      </c>
      <c r="R17" s="1936">
        <f>Q17/P17</f>
        <v>0.8156708004509583</v>
      </c>
      <c r="S17" s="475">
        <f>H17/P17</f>
        <v>324.69658493047729</v>
      </c>
      <c r="T17" s="475">
        <f>H17/Q17</f>
        <v>398.07307648007372</v>
      </c>
      <c r="U17" s="431">
        <f>W15*Q17</f>
        <v>2956199.5141518251</v>
      </c>
      <c r="V17" s="434">
        <f>U17/H17</f>
        <v>0.85536436739934651</v>
      </c>
      <c r="W17" s="2473"/>
      <c r="X17" s="429">
        <f>SUM(X15:X16)</f>
        <v>2150</v>
      </c>
      <c r="Y17" s="431">
        <f>SUM(Y15:Y16)</f>
        <v>1781</v>
      </c>
      <c r="Z17" s="432">
        <f>IFERROR(Y17/X17,"-")</f>
        <v>0.82837209302325576</v>
      </c>
      <c r="AA17" s="477">
        <f>IFERROR(H17/X17,"-")</f>
        <v>1607.4746279069768</v>
      </c>
      <c r="AB17" s="477">
        <f>IFERROR(H17/Y17,"-")</f>
        <v>1940.5224312184166</v>
      </c>
      <c r="AC17" s="431">
        <f>AE17*Y17</f>
        <v>606426.09245616221</v>
      </c>
      <c r="AD17" s="436">
        <f>IFERROR(AC17/H17,"-")</f>
        <v>0.17546693599841467</v>
      </c>
      <c r="AE17" s="476">
        <v>340.49752524208998</v>
      </c>
    </row>
    <row r="18" spans="2:31">
      <c r="B18" s="1937"/>
      <c r="C18" s="153" t="s">
        <v>480</v>
      </c>
      <c r="D18" s="1938"/>
      <c r="E18" s="1938"/>
      <c r="F18" s="1938"/>
      <c r="G18" s="1389"/>
      <c r="H18" s="1939">
        <f>H17</f>
        <v>3456070.45</v>
      </c>
      <c r="I18" s="1372">
        <f>I17</f>
        <v>1065487.5899999999</v>
      </c>
      <c r="J18" s="1940">
        <f>J17</f>
        <v>2390582.8600000003</v>
      </c>
      <c r="K18" s="1941">
        <v>2916412</v>
      </c>
      <c r="L18" s="1942">
        <f>H18/K18</f>
        <v>1.1850419110880082</v>
      </c>
      <c r="M18" s="1943">
        <v>124893</v>
      </c>
      <c r="N18" s="1944">
        <f>M18/K18</f>
        <v>4.2824196306968973E-2</v>
      </c>
      <c r="O18" s="1944">
        <f>P18/M18</f>
        <v>8.1469738095810013E-2</v>
      </c>
      <c r="P18" s="1943">
        <v>10175</v>
      </c>
      <c r="Q18" s="1943">
        <v>8337</v>
      </c>
      <c r="R18" s="1945">
        <f>Q18/P18</f>
        <v>0.81936117936117936</v>
      </c>
      <c r="S18" s="1946">
        <f>H18/P18</f>
        <v>339.66294348894348</v>
      </c>
      <c r="T18" s="1946">
        <f>H18/Q18</f>
        <v>414.54605373635604</v>
      </c>
      <c r="U18" s="1943">
        <f>W15*Q18</f>
        <v>2838727.8679433041</v>
      </c>
      <c r="V18" s="1947">
        <f>U18/H18</f>
        <v>0.82137442190835663</v>
      </c>
      <c r="W18" s="2293"/>
      <c r="X18" s="1948">
        <v>2128</v>
      </c>
      <c r="Y18" s="1943">
        <v>1774</v>
      </c>
      <c r="Z18" s="1944">
        <f>Y18/X18</f>
        <v>0.83364661654135341</v>
      </c>
      <c r="AA18" s="1949">
        <f>H18/X18</f>
        <v>1624.0932565789474</v>
      </c>
      <c r="AB18" s="1949">
        <f>H18/Y18</f>
        <v>1948.1795095828636</v>
      </c>
      <c r="AC18" s="1943">
        <f>AE18*Y18</f>
        <v>604042.60977946757</v>
      </c>
      <c r="AD18" s="1950">
        <f>AC18/H18</f>
        <v>0.17477728493048153</v>
      </c>
      <c r="AE18" s="1951">
        <v>340.49752524208998</v>
      </c>
    </row>
    <row r="19" spans="2:31" customFormat="1" ht="14">
      <c r="B19" t="s">
        <v>414</v>
      </c>
    </row>
    <row r="20" spans="2:31" customFormat="1" ht="14"/>
    <row r="21" spans="2:31" customFormat="1" ht="14"/>
    <row r="22" spans="2:31">
      <c r="B22" s="1152"/>
      <c r="F22" s="1129"/>
      <c r="G22" s="641"/>
      <c r="H22" s="453"/>
      <c r="I22" s="452"/>
      <c r="K22" s="1153"/>
      <c r="L22" s="1153"/>
      <c r="N22" s="455"/>
      <c r="O22" s="455"/>
      <c r="P22" s="455"/>
      <c r="Q22" s="455"/>
      <c r="R22" s="455"/>
      <c r="S22" s="455"/>
      <c r="T22" s="1154"/>
      <c r="U22" s="1154"/>
      <c r="V22" s="1154"/>
      <c r="W22" s="1154"/>
      <c r="X22" s="1154"/>
      <c r="Z22" s="1952"/>
      <c r="AB22" s="455"/>
    </row>
    <row r="23" spans="2:31" ht="16.5" customHeight="1">
      <c r="B23" s="481" t="s">
        <v>128</v>
      </c>
      <c r="T23" s="1121"/>
      <c r="U23" s="644"/>
      <c r="V23" s="644"/>
      <c r="W23" s="644"/>
      <c r="X23" s="644"/>
    </row>
    <row r="24" spans="2:31" ht="16.5" customHeight="1">
      <c r="B24" s="481" t="s">
        <v>671</v>
      </c>
      <c r="T24" s="1121"/>
      <c r="U24" s="644"/>
      <c r="V24" s="644"/>
      <c r="W24" s="644"/>
      <c r="X24" s="644"/>
    </row>
    <row r="25" spans="2:31" ht="16.5" customHeight="1">
      <c r="B25" s="1155"/>
      <c r="T25" s="1121"/>
      <c r="U25" s="644"/>
      <c r="V25" s="644"/>
      <c r="W25" s="644"/>
      <c r="X25" s="644"/>
    </row>
    <row r="26" spans="2:31" ht="16.5" customHeight="1">
      <c r="B26" s="1155"/>
      <c r="T26" s="1121"/>
      <c r="U26" s="644"/>
      <c r="V26" s="644"/>
      <c r="W26" s="644"/>
      <c r="X26" s="644"/>
    </row>
    <row r="27" spans="2:31" s="348" customFormat="1" ht="16.5" customHeight="1">
      <c r="B27" s="2297" t="s">
        <v>99</v>
      </c>
      <c r="C27" s="2299" t="s">
        <v>100</v>
      </c>
      <c r="D27" s="2299" t="s">
        <v>651</v>
      </c>
      <c r="E27" s="2299" t="s">
        <v>439</v>
      </c>
      <c r="F27" s="2299" t="s">
        <v>441</v>
      </c>
      <c r="G27" s="2463" t="s">
        <v>101</v>
      </c>
      <c r="H27" s="2465" t="s">
        <v>102</v>
      </c>
      <c r="I27" s="2470"/>
      <c r="J27" s="2470"/>
      <c r="K27" s="2347" t="s">
        <v>103</v>
      </c>
      <c r="L27" s="2347"/>
      <c r="M27" s="2347"/>
      <c r="N27" s="2347"/>
      <c r="O27" s="2347"/>
      <c r="P27" s="2347"/>
      <c r="Q27" s="2347"/>
      <c r="R27" s="2347"/>
      <c r="S27" s="2347"/>
      <c r="T27" s="2347"/>
      <c r="U27" s="2347"/>
      <c r="V27" s="2347"/>
      <c r="W27" s="2348"/>
      <c r="X27" s="2349" t="s">
        <v>501</v>
      </c>
      <c r="Y27" s="2350"/>
      <c r="Z27" s="2350"/>
      <c r="AA27" s="2350"/>
      <c r="AB27" s="2350"/>
      <c r="AC27" s="2350"/>
      <c r="AD27" s="2350"/>
      <c r="AE27" s="2351"/>
    </row>
    <row r="28" spans="2:31" ht="49.5">
      <c r="B28" s="2468"/>
      <c r="C28" s="2301"/>
      <c r="D28" s="2301"/>
      <c r="E28" s="2301"/>
      <c r="F28" s="2301"/>
      <c r="G28" s="2469"/>
      <c r="H28" s="1913" t="s">
        <v>104</v>
      </c>
      <c r="I28" s="1914" t="s">
        <v>652</v>
      </c>
      <c r="J28" s="1915" t="s">
        <v>106</v>
      </c>
      <c r="K28" s="1916" t="s">
        <v>107</v>
      </c>
      <c r="L28" s="1188" t="s">
        <v>653</v>
      </c>
      <c r="M28" s="1189" t="s">
        <v>502</v>
      </c>
      <c r="N28" s="1188" t="s">
        <v>654</v>
      </c>
      <c r="O28" s="1188" t="s">
        <v>655</v>
      </c>
      <c r="P28" s="837" t="s">
        <v>656</v>
      </c>
      <c r="Q28" s="1188" t="s">
        <v>657</v>
      </c>
      <c r="R28" s="63" t="s">
        <v>658</v>
      </c>
      <c r="S28" s="1189" t="s">
        <v>659</v>
      </c>
      <c r="T28" s="1188" t="s">
        <v>660</v>
      </c>
      <c r="U28" s="1188" t="s">
        <v>661</v>
      </c>
      <c r="V28" s="1188" t="s">
        <v>662</v>
      </c>
      <c r="W28" s="1917" t="s">
        <v>672</v>
      </c>
      <c r="X28" s="1918" t="s">
        <v>664</v>
      </c>
      <c r="Y28" s="1189" t="s">
        <v>665</v>
      </c>
      <c r="Z28" s="1192" t="s">
        <v>666</v>
      </c>
      <c r="AA28" s="1192" t="s">
        <v>7</v>
      </c>
      <c r="AB28" s="1192" t="s">
        <v>6</v>
      </c>
      <c r="AC28" s="1192" t="s">
        <v>667</v>
      </c>
      <c r="AD28" s="1192" t="s">
        <v>668</v>
      </c>
      <c r="AE28" s="1193" t="s">
        <v>3</v>
      </c>
    </row>
    <row r="29" spans="2:31">
      <c r="B29" s="1953" t="s">
        <v>673</v>
      </c>
      <c r="C29" s="1919" t="s">
        <v>913</v>
      </c>
      <c r="D29" s="1920" t="s">
        <v>449</v>
      </c>
      <c r="E29" s="1920" t="s">
        <v>451</v>
      </c>
      <c r="F29" s="1920" t="s">
        <v>454</v>
      </c>
      <c r="G29" s="1921" t="s">
        <v>670</v>
      </c>
      <c r="H29" s="1143">
        <f>I29+J29</f>
        <v>833478.09999999986</v>
      </c>
      <c r="I29" s="1954">
        <v>283065.09999999992</v>
      </c>
      <c r="J29" s="1955">
        <v>550413</v>
      </c>
      <c r="K29" s="1956">
        <v>143493</v>
      </c>
      <c r="L29" s="1957">
        <f>H29/K29</f>
        <v>5.8084930972242539</v>
      </c>
      <c r="M29" s="1923">
        <v>8242</v>
      </c>
      <c r="N29" s="1924">
        <f>M29/K29</f>
        <v>5.7438341940024951E-2</v>
      </c>
      <c r="O29" s="1958">
        <f>P29/M29</f>
        <v>7.7044406697403547E-2</v>
      </c>
      <c r="P29" s="1927">
        <v>635</v>
      </c>
      <c r="Q29" s="1959">
        <v>514</v>
      </c>
      <c r="R29" s="1960">
        <f>Q29/P29</f>
        <v>0.80944881889763776</v>
      </c>
      <c r="S29" s="1961">
        <f>H29/P29</f>
        <v>1312.5639370078738</v>
      </c>
      <c r="T29" s="1959">
        <f>H29/Q29</f>
        <v>1621.5527237354083</v>
      </c>
      <c r="U29" s="1927">
        <f>W29*Q29</f>
        <v>102810.28</v>
      </c>
      <c r="V29" s="1962">
        <f>U29/H29</f>
        <v>0.12335090748035253</v>
      </c>
      <c r="W29" s="2474">
        <v>200.02</v>
      </c>
      <c r="X29" s="1922">
        <v>335</v>
      </c>
      <c r="Y29" s="1923">
        <v>267</v>
      </c>
      <c r="Z29" s="1924">
        <f>Y29/X29</f>
        <v>0.79701492537313434</v>
      </c>
      <c r="AA29" s="1925">
        <f>H29/X29</f>
        <v>2487.9943283582083</v>
      </c>
      <c r="AB29" s="1926">
        <f>H29/Y29</f>
        <v>3121.6408239700368</v>
      </c>
      <c r="AC29" s="1927">
        <f>AE29*Y29</f>
        <v>126648.0599277</v>
      </c>
      <c r="AD29" s="1928">
        <f>AC29/H29</f>
        <v>0.15195127493775784</v>
      </c>
      <c r="AE29" s="1929">
        <v>474.33730309999999</v>
      </c>
    </row>
    <row r="30" spans="2:31">
      <c r="B30" s="1140" t="s">
        <v>413</v>
      </c>
      <c r="C30" s="1141" t="s">
        <v>914</v>
      </c>
      <c r="D30" s="1348" t="s">
        <v>449</v>
      </c>
      <c r="E30" s="1348" t="s">
        <v>453</v>
      </c>
      <c r="F30" s="1348" t="s">
        <v>452</v>
      </c>
      <c r="G30" s="1142" t="s">
        <v>455</v>
      </c>
      <c r="H30" s="1143">
        <f>I30+J30</f>
        <v>972353.63</v>
      </c>
      <c r="I30" s="1144">
        <v>79086.63</v>
      </c>
      <c r="J30" s="1145">
        <v>893267</v>
      </c>
      <c r="K30" s="1146">
        <v>20510</v>
      </c>
      <c r="L30" s="415">
        <f>H30/K30</f>
        <v>47.40875816674793</v>
      </c>
      <c r="M30" s="1147">
        <v>164</v>
      </c>
      <c r="N30" s="417">
        <f>M30/K30</f>
        <v>7.9960994636762549E-3</v>
      </c>
      <c r="O30" s="1148">
        <f>P30/M30</f>
        <v>0.18902439024390244</v>
      </c>
      <c r="P30" s="1149">
        <v>31</v>
      </c>
      <c r="Q30" s="1147">
        <v>25</v>
      </c>
      <c r="R30" s="1150">
        <f>IFERROR(Q30/P30,"-")</f>
        <v>0.80645161290322576</v>
      </c>
      <c r="S30" s="163">
        <f>IFERROR(H30/P30,"-")</f>
        <v>31366.246129032257</v>
      </c>
      <c r="T30" s="159">
        <f>IFERROR(H30/Q30,"-")</f>
        <v>38894.145199999999</v>
      </c>
      <c r="U30" s="1149">
        <f>IFERROR(W29*Q30,"-")</f>
        <v>5000.5</v>
      </c>
      <c r="V30" s="421">
        <f>IFERROR(U30/H30,"-")</f>
        <v>5.1426763326836147E-3</v>
      </c>
      <c r="W30" s="2477"/>
      <c r="X30" s="1151" t="s">
        <v>62</v>
      </c>
      <c r="Y30" s="1147" t="s">
        <v>62</v>
      </c>
      <c r="Z30" s="417" t="str">
        <f>IFERROR(Y30/X30,"-")</f>
        <v>-</v>
      </c>
      <c r="AA30" s="157" t="str">
        <f>IFERROR(H30/X30,"-")</f>
        <v>-</v>
      </c>
      <c r="AB30" s="156" t="str">
        <f>IFERROR(H30/Y30,"-")</f>
        <v>-</v>
      </c>
      <c r="AC30" s="155" t="str">
        <f>IFERROR(AE30*Y30,"-")</f>
        <v>-</v>
      </c>
      <c r="AD30" s="423" t="str">
        <f>IFERROR(AC30/H30,"-")</f>
        <v>-</v>
      </c>
      <c r="AE30" s="838">
        <v>482.32823500849719</v>
      </c>
    </row>
    <row r="31" spans="2:31">
      <c r="B31" s="1963"/>
      <c r="C31" s="424" t="s">
        <v>504</v>
      </c>
      <c r="D31" s="1931"/>
      <c r="E31" s="1931"/>
      <c r="F31" s="1931"/>
      <c r="G31" s="1932"/>
      <c r="H31" s="1933">
        <f>I31+J31</f>
        <v>1805831.73</v>
      </c>
      <c r="I31" s="470">
        <f>SUM(I29:I30)</f>
        <v>362151.72999999992</v>
      </c>
      <c r="J31" s="1934">
        <f>SUM(J29:J30)</f>
        <v>1443680</v>
      </c>
      <c r="K31" s="1935">
        <f>SUM(K29:K30)</f>
        <v>164003</v>
      </c>
      <c r="L31" s="430">
        <f>H31/K31</f>
        <v>11.010967665225635</v>
      </c>
      <c r="M31" s="431">
        <f>SUM(M29:M30)</f>
        <v>8406</v>
      </c>
      <c r="N31" s="432">
        <f>M31/K31</f>
        <v>5.1255159966585979E-2</v>
      </c>
      <c r="O31" s="432">
        <f>P31/M31</f>
        <v>7.922912205567452E-2</v>
      </c>
      <c r="P31" s="431">
        <f>SUM(P29:P30)</f>
        <v>666</v>
      </c>
      <c r="Q31" s="431">
        <f>SUM(Q29:Q30)</f>
        <v>539</v>
      </c>
      <c r="R31" s="1936">
        <f>Q31/P31</f>
        <v>0.80930930930930933</v>
      </c>
      <c r="S31" s="475">
        <f>H31/P31</f>
        <v>2711.4590540540539</v>
      </c>
      <c r="T31" s="475">
        <f>H31/Q31</f>
        <v>3350.3371614100183</v>
      </c>
      <c r="U31" s="431">
        <f>W29*Q31</f>
        <v>107810.78</v>
      </c>
      <c r="V31" s="434">
        <f>U31/H31</f>
        <v>5.9701454021964716E-2</v>
      </c>
      <c r="W31" s="2477"/>
      <c r="X31" s="429">
        <f>SUM(X29:X30)</f>
        <v>335</v>
      </c>
      <c r="Y31" s="431">
        <f>SUM(Y29:Y30)</f>
        <v>267</v>
      </c>
      <c r="Z31" s="432">
        <f>Y31/X31</f>
        <v>0.79701492537313434</v>
      </c>
      <c r="AA31" s="477">
        <f>H31/X31</f>
        <v>5390.5424776119398</v>
      </c>
      <c r="AB31" s="477">
        <f>H31/Y31</f>
        <v>6763.4147191011234</v>
      </c>
      <c r="AC31" s="431">
        <f>AE31*Y31</f>
        <v>53405.340000000004</v>
      </c>
      <c r="AD31" s="436">
        <f>AC31/H31</f>
        <v>2.9573818597151354E-2</v>
      </c>
      <c r="AE31" s="476">
        <f>W29</f>
        <v>200.02</v>
      </c>
    </row>
    <row r="32" spans="2:31">
      <c r="B32" s="1964"/>
      <c r="C32" s="153" t="s">
        <v>480</v>
      </c>
      <c r="D32" s="1938"/>
      <c r="E32" s="1938"/>
      <c r="F32" s="1938"/>
      <c r="G32" s="1389"/>
      <c r="H32" s="1939">
        <f>H31</f>
        <v>1805831.73</v>
      </c>
      <c r="I32" s="1372">
        <f>I31</f>
        <v>362151.72999999992</v>
      </c>
      <c r="J32" s="1940">
        <f>J31</f>
        <v>1443680</v>
      </c>
      <c r="K32" s="1941">
        <v>161753</v>
      </c>
      <c r="L32" s="1942">
        <f>H32/K32</f>
        <v>11.164131298955816</v>
      </c>
      <c r="M32" s="1943">
        <v>8376</v>
      </c>
      <c r="N32" s="1944">
        <f>M32/K32</f>
        <v>5.1782656272217516E-2</v>
      </c>
      <c r="O32" s="1944">
        <f>P32/M32</f>
        <v>7.8796561604584522E-2</v>
      </c>
      <c r="P32" s="1943">
        <v>660</v>
      </c>
      <c r="Q32" s="1943">
        <v>536</v>
      </c>
      <c r="R32" s="1945">
        <f>Q32/P32</f>
        <v>0.81212121212121213</v>
      </c>
      <c r="S32" s="1946">
        <f>H32/P32</f>
        <v>2736.1086818181816</v>
      </c>
      <c r="T32" s="1946">
        <f>H32/Q32</f>
        <v>3369.0890485074628</v>
      </c>
      <c r="U32" s="1943">
        <f>W29*Q32</f>
        <v>107210.72</v>
      </c>
      <c r="V32" s="1947">
        <f>U32/H32</f>
        <v>5.9369163925367507E-2</v>
      </c>
      <c r="W32" s="2478"/>
      <c r="X32" s="1948">
        <v>335</v>
      </c>
      <c r="Y32" s="1943">
        <v>267</v>
      </c>
      <c r="Z32" s="1944">
        <f>Y32/X32</f>
        <v>0.79701492537313434</v>
      </c>
      <c r="AA32" s="1949">
        <f>H32/X32</f>
        <v>5390.5424776119398</v>
      </c>
      <c r="AB32" s="1949">
        <f>H32/Y32</f>
        <v>6763.4147191011234</v>
      </c>
      <c r="AC32" s="1943">
        <f>AE32*Y32</f>
        <v>53405.340000000004</v>
      </c>
      <c r="AD32" s="1950">
        <f>AC32/H32</f>
        <v>2.9573818597151354E-2</v>
      </c>
      <c r="AE32" s="1951">
        <f>W29</f>
        <v>200.02</v>
      </c>
    </row>
    <row r="33" spans="2:28" customFormat="1" ht="14">
      <c r="B33" t="s">
        <v>414</v>
      </c>
    </row>
    <row r="34" spans="2:28" customFormat="1" ht="14">
      <c r="B34" t="s">
        <v>415</v>
      </c>
    </row>
    <row r="35" spans="2:28" ht="16.5" customHeight="1">
      <c r="B35" s="1155"/>
      <c r="T35" s="1121"/>
      <c r="U35" s="644"/>
      <c r="V35" s="644"/>
      <c r="W35" s="644"/>
      <c r="X35" s="644"/>
    </row>
    <row r="36" spans="2:28" ht="16.5" customHeight="1">
      <c r="B36" s="481" t="s">
        <v>416</v>
      </c>
      <c r="T36" s="1121"/>
      <c r="U36" s="644"/>
      <c r="V36" s="644"/>
      <c r="W36" s="644"/>
      <c r="X36" s="644"/>
    </row>
    <row r="37" spans="2:28" ht="16.5" customHeight="1">
      <c r="B37" s="1155"/>
      <c r="T37" s="1121"/>
      <c r="U37" s="644"/>
      <c r="V37" s="644"/>
      <c r="W37" s="644"/>
      <c r="X37" s="644"/>
    </row>
    <row r="38" spans="2:28" s="348" customFormat="1" ht="52" customHeight="1">
      <c r="B38" s="2297" t="s">
        <v>467</v>
      </c>
      <c r="C38" s="2299" t="s">
        <v>674</v>
      </c>
      <c r="D38" s="2463" t="s">
        <v>150</v>
      </c>
      <c r="E38" s="2465" t="s">
        <v>470</v>
      </c>
      <c r="F38" s="2466"/>
      <c r="G38" s="2467"/>
      <c r="H38" s="2347" t="s">
        <v>28</v>
      </c>
      <c r="I38" s="2346"/>
      <c r="J38" s="2346"/>
      <c r="K38" s="2346"/>
      <c r="L38" s="2346"/>
      <c r="M38" s="2346"/>
      <c r="N38" s="2346"/>
      <c r="O38" s="2346"/>
      <c r="P38" s="2346"/>
      <c r="Q38" s="2346"/>
      <c r="R38" s="2346"/>
      <c r="S38" s="2346"/>
      <c r="T38" s="2346"/>
      <c r="U38" s="2349" t="s">
        <v>501</v>
      </c>
      <c r="V38" s="2350"/>
      <c r="W38" s="2350"/>
      <c r="X38" s="2350"/>
      <c r="Y38" s="2350"/>
      <c r="Z38" s="2350"/>
      <c r="AA38" s="2350"/>
      <c r="AB38" s="2351"/>
    </row>
    <row r="39" spans="2:28" ht="52" customHeight="1">
      <c r="B39" s="2451"/>
      <c r="C39" s="2461"/>
      <c r="D39" s="2464"/>
      <c r="E39" s="1913" t="s">
        <v>471</v>
      </c>
      <c r="F39" s="1914" t="s">
        <v>675</v>
      </c>
      <c r="G39" s="1915" t="s">
        <v>473</v>
      </c>
      <c r="H39" s="1916" t="s">
        <v>474</v>
      </c>
      <c r="I39" s="1188" t="s">
        <v>653</v>
      </c>
      <c r="J39" s="1189" t="s">
        <v>676</v>
      </c>
      <c r="K39" s="1188" t="s">
        <v>654</v>
      </c>
      <c r="L39" s="1188" t="s">
        <v>655</v>
      </c>
      <c r="M39" s="837" t="s">
        <v>656</v>
      </c>
      <c r="N39" s="1188" t="s">
        <v>657</v>
      </c>
      <c r="O39" s="63" t="s">
        <v>658</v>
      </c>
      <c r="P39" s="1189" t="s">
        <v>659</v>
      </c>
      <c r="Q39" s="1188" t="s">
        <v>660</v>
      </c>
      <c r="R39" s="1188" t="s">
        <v>661</v>
      </c>
      <c r="S39" s="1188" t="s">
        <v>662</v>
      </c>
      <c r="T39" s="1917" t="s">
        <v>663</v>
      </c>
      <c r="U39" s="1918" t="s">
        <v>664</v>
      </c>
      <c r="V39" s="1189" t="s">
        <v>677</v>
      </c>
      <c r="W39" s="1192" t="s">
        <v>666</v>
      </c>
      <c r="X39" s="1192" t="s">
        <v>7</v>
      </c>
      <c r="Y39" s="1192" t="s">
        <v>6</v>
      </c>
      <c r="Z39" s="1192" t="s">
        <v>667</v>
      </c>
      <c r="AA39" s="1192" t="s">
        <v>668</v>
      </c>
      <c r="AB39" s="1193" t="s">
        <v>3</v>
      </c>
    </row>
    <row r="40" spans="2:28">
      <c r="B40" s="1953" t="s">
        <v>678</v>
      </c>
      <c r="C40" s="1919" t="s">
        <v>915</v>
      </c>
      <c r="D40" s="1921" t="s">
        <v>462</v>
      </c>
      <c r="E40" s="1143">
        <f>F40+G40</f>
        <v>552590.74</v>
      </c>
      <c r="F40" s="1954">
        <v>469307.74</v>
      </c>
      <c r="G40" s="1955">
        <v>83283</v>
      </c>
      <c r="H40" s="1956">
        <v>1040907</v>
      </c>
      <c r="I40" s="1957">
        <f>E40/H40</f>
        <v>0.53087426638498925</v>
      </c>
      <c r="J40" s="1923">
        <v>88084</v>
      </c>
      <c r="K40" s="1924">
        <f>J40/H40</f>
        <v>8.4622353389880167E-2</v>
      </c>
      <c r="L40" s="1958">
        <f>M40/J40</f>
        <v>0.12498297080059943</v>
      </c>
      <c r="M40" s="1927">
        <v>11009</v>
      </c>
      <c r="N40" s="1959">
        <v>8904</v>
      </c>
      <c r="O40" s="1960">
        <f>N40/M40</f>
        <v>0.80879280588609315</v>
      </c>
      <c r="P40" s="1961">
        <f>E40/M40</f>
        <v>50.194453628849125</v>
      </c>
      <c r="Q40" s="1959">
        <f>E40/N40</f>
        <v>62.060954627133874</v>
      </c>
      <c r="R40" s="1927">
        <f>T40*N40</f>
        <v>4447400.5198294446</v>
      </c>
      <c r="S40" s="1962">
        <f>R40/E40</f>
        <v>8.0482718907476531</v>
      </c>
      <c r="T40" s="2474">
        <v>499.483436638527</v>
      </c>
      <c r="U40" s="1922">
        <v>1018</v>
      </c>
      <c r="V40" s="1923">
        <v>876</v>
      </c>
      <c r="W40" s="1924">
        <f>V40/U40</f>
        <v>0.86051080550098236</v>
      </c>
      <c r="X40" s="1925">
        <f>E40/U40</f>
        <v>542.81998035363461</v>
      </c>
      <c r="Y40" s="1926">
        <f>E40/V40</f>
        <v>630.81134703196346</v>
      </c>
      <c r="Z40" s="1927">
        <f>AB40*V40</f>
        <v>400655.1793439262</v>
      </c>
      <c r="AA40" s="1928">
        <f>Z40/E40</f>
        <v>0.72504866683782321</v>
      </c>
      <c r="AB40" s="1929">
        <v>457.36892619169657</v>
      </c>
    </row>
    <row r="41" spans="2:28">
      <c r="B41" s="1140" t="s">
        <v>417</v>
      </c>
      <c r="C41" s="169" t="s">
        <v>916</v>
      </c>
      <c r="D41" s="1156" t="s">
        <v>462</v>
      </c>
      <c r="E41" s="1157">
        <f>F41+G41</f>
        <v>846706.62</v>
      </c>
      <c r="F41" s="1158">
        <v>503336.62</v>
      </c>
      <c r="G41" s="1159">
        <v>343370</v>
      </c>
      <c r="H41" s="1160">
        <v>383210</v>
      </c>
      <c r="I41" s="415">
        <f>E41/H41</f>
        <v>2.2095107643328724</v>
      </c>
      <c r="J41" s="416">
        <v>55504</v>
      </c>
      <c r="K41" s="417">
        <f>J41/H41</f>
        <v>0.14483964405939304</v>
      </c>
      <c r="L41" s="1148">
        <f>M41/J41</f>
        <v>0.29367252810608246</v>
      </c>
      <c r="M41" s="155">
        <v>16300</v>
      </c>
      <c r="N41" s="416">
        <v>12454</v>
      </c>
      <c r="O41" s="1150">
        <f>N41/M41</f>
        <v>0.76404907975460123</v>
      </c>
      <c r="P41" s="163">
        <f>E41/M41</f>
        <v>51.945191411042941</v>
      </c>
      <c r="Q41" s="159">
        <f>E41/N41</f>
        <v>67.986720732294842</v>
      </c>
      <c r="R41" s="155">
        <f>T40*N41</f>
        <v>6220566.719896215</v>
      </c>
      <c r="S41" s="421">
        <f>R41/E41</f>
        <v>7.3467793601238345</v>
      </c>
      <c r="T41" s="2475"/>
      <c r="U41" s="422">
        <v>647</v>
      </c>
      <c r="V41" s="416">
        <v>468</v>
      </c>
      <c r="W41" s="417">
        <f>V41/U41</f>
        <v>0.72333848531684697</v>
      </c>
      <c r="X41" s="157">
        <f>E41/U41</f>
        <v>1308.6655641421946</v>
      </c>
      <c r="Y41" s="156">
        <f>E41/V41</f>
        <v>1809.2021794871794</v>
      </c>
      <c r="Z41" s="155">
        <f>AB41*V41</f>
        <v>334672.39246658562</v>
      </c>
      <c r="AA41" s="423">
        <f>Z41/E41</f>
        <v>0.39526370121753107</v>
      </c>
      <c r="AB41" s="656">
        <v>715.1119497149266</v>
      </c>
    </row>
    <row r="42" spans="2:28">
      <c r="B42" s="1140" t="s">
        <v>417</v>
      </c>
      <c r="C42" s="1141" t="s">
        <v>914</v>
      </c>
      <c r="D42" s="1142" t="s">
        <v>418</v>
      </c>
      <c r="E42" s="1157">
        <f>F42+G42</f>
        <v>668407.54</v>
      </c>
      <c r="F42" s="1144">
        <v>498697.53</v>
      </c>
      <c r="G42" s="1145">
        <f>14960+90750.01+64000</f>
        <v>169710.01</v>
      </c>
      <c r="H42" s="1146">
        <v>452855</v>
      </c>
      <c r="I42" s="415">
        <f>E42/H42</f>
        <v>1.4759857791125195</v>
      </c>
      <c r="J42" s="1147">
        <v>50208</v>
      </c>
      <c r="K42" s="417">
        <f>J42/H42</f>
        <v>0.11086992525201224</v>
      </c>
      <c r="L42" s="1148">
        <f>M42/J42</f>
        <v>0.18405433397068197</v>
      </c>
      <c r="M42" s="1149">
        <v>9241</v>
      </c>
      <c r="N42" s="1147">
        <v>7548</v>
      </c>
      <c r="O42" s="1150">
        <f>N42/M42</f>
        <v>0.81679471918623525</v>
      </c>
      <c r="P42" s="163">
        <f>E42/M42</f>
        <v>72.330650362514888</v>
      </c>
      <c r="Q42" s="159">
        <f>E42/N42</f>
        <v>88.554258081611025</v>
      </c>
      <c r="R42" s="1149">
        <f>T40*N42</f>
        <v>3770100.9797476018</v>
      </c>
      <c r="S42" s="421">
        <f>R42/E42</f>
        <v>5.6404225777399244</v>
      </c>
      <c r="T42" s="2475"/>
      <c r="U42" s="1151">
        <v>1244</v>
      </c>
      <c r="V42" s="1147">
        <v>1000</v>
      </c>
      <c r="W42" s="417">
        <f>V42/U42</f>
        <v>0.8038585209003215</v>
      </c>
      <c r="X42" s="157">
        <f>E42/U42</f>
        <v>537.30509646302255</v>
      </c>
      <c r="Y42" s="156">
        <f>E42/V42</f>
        <v>668.40754000000004</v>
      </c>
      <c r="Z42" s="155">
        <f>AB42*V42</f>
        <v>536959.14317715145</v>
      </c>
      <c r="AA42" s="423">
        <f>Z42/E42</f>
        <v>0.8033409425290915</v>
      </c>
      <c r="AB42" s="838">
        <v>536.95914317715142</v>
      </c>
    </row>
    <row r="43" spans="2:28">
      <c r="B43" s="1963"/>
      <c r="C43" s="424" t="s">
        <v>504</v>
      </c>
      <c r="D43" s="1932"/>
      <c r="E43" s="1933">
        <f>F43+G43</f>
        <v>2067704.9000000001</v>
      </c>
      <c r="F43" s="470">
        <f>SUM(F40:F42)</f>
        <v>1471341.8900000001</v>
      </c>
      <c r="G43" s="1934">
        <f>SUM(G40:G42)</f>
        <v>596363.01</v>
      </c>
      <c r="H43" s="1935">
        <f>SUM(H40:H42)</f>
        <v>1876972</v>
      </c>
      <c r="I43" s="430">
        <f>E43/H43</f>
        <v>1.1016173389906723</v>
      </c>
      <c r="J43" s="431">
        <f>SUM(J40:J42)</f>
        <v>193796</v>
      </c>
      <c r="K43" s="432">
        <f>J43/H43</f>
        <v>0.10324927596149543</v>
      </c>
      <c r="L43" s="432">
        <f>M43/J43</f>
        <v>0.18860038390885261</v>
      </c>
      <c r="M43" s="431">
        <f>SUM(M40:M42)</f>
        <v>36550</v>
      </c>
      <c r="N43" s="431">
        <f>SUM(N40:N42)</f>
        <v>28906</v>
      </c>
      <c r="O43" s="1936">
        <f>N43/M43</f>
        <v>0.7908618331053352</v>
      </c>
      <c r="P43" s="475">
        <f>E43/M43</f>
        <v>56.571953488372095</v>
      </c>
      <c r="Q43" s="475">
        <f>E43/N43</f>
        <v>71.532031412163576</v>
      </c>
      <c r="R43" s="431">
        <f>T40*N43</f>
        <v>14438068.219473261</v>
      </c>
      <c r="S43" s="434">
        <f>R43/E43</f>
        <v>6.9826541589533688</v>
      </c>
      <c r="T43" s="2475"/>
      <c r="U43" s="429">
        <f>SUM(U40:U42)</f>
        <v>2909</v>
      </c>
      <c r="V43" s="431">
        <f>SUM(V40:V42)</f>
        <v>2344</v>
      </c>
      <c r="W43" s="432">
        <f>V43/U43</f>
        <v>0.80577518047438978</v>
      </c>
      <c r="X43" s="477">
        <f>E43/U43</f>
        <v>710.79577174286703</v>
      </c>
      <c r="Y43" s="477">
        <f>E43/V43</f>
        <v>882.12666382252564</v>
      </c>
      <c r="Z43" s="431">
        <f>AB43*V43</f>
        <v>1170789.1754807073</v>
      </c>
      <c r="AA43" s="436">
        <f>Z43/E43</f>
        <v>0.56622643563919939</v>
      </c>
      <c r="AB43" s="476">
        <f>T40</f>
        <v>499.483436638527</v>
      </c>
    </row>
    <row r="44" spans="2:28">
      <c r="B44" s="1965"/>
      <c r="C44" s="1966" t="s">
        <v>480</v>
      </c>
      <c r="D44" s="1967"/>
      <c r="E44" s="1968">
        <f>E43</f>
        <v>2067704.9000000001</v>
      </c>
      <c r="F44" s="1969">
        <f>F43</f>
        <v>1471341.8900000001</v>
      </c>
      <c r="G44" s="1970">
        <f>G43</f>
        <v>596363.01</v>
      </c>
      <c r="H44" s="1941">
        <v>1809153</v>
      </c>
      <c r="I44" s="1942">
        <f>E44/H44</f>
        <v>1.1429132306665053</v>
      </c>
      <c r="J44" s="1943">
        <v>179626</v>
      </c>
      <c r="K44" s="1944">
        <f>J44/H44</f>
        <v>9.928734606746914E-2</v>
      </c>
      <c r="L44" s="1944">
        <f>M44/J44</f>
        <v>0.18058076225045372</v>
      </c>
      <c r="M44" s="1943">
        <v>32437</v>
      </c>
      <c r="N44" s="1943">
        <v>25697</v>
      </c>
      <c r="O44" s="1945">
        <f>N44/M44</f>
        <v>0.79221259672596112</v>
      </c>
      <c r="P44" s="1946">
        <f>E44/M44</f>
        <v>63.745256959644855</v>
      </c>
      <c r="Q44" s="1946">
        <f>E44/N44</f>
        <v>80.464836362221277</v>
      </c>
      <c r="R44" s="1943">
        <f>T40*N44</f>
        <v>12835225.871300228</v>
      </c>
      <c r="S44" s="1947">
        <f>R44/E44</f>
        <v>6.2074747084558473</v>
      </c>
      <c r="T44" s="2476"/>
      <c r="U44" s="1948">
        <v>2871</v>
      </c>
      <c r="V44" s="1943">
        <v>2297</v>
      </c>
      <c r="W44" s="1944">
        <f>V44/U44</f>
        <v>0.80006966213862762</v>
      </c>
      <c r="X44" s="1949">
        <f>E44/U44</f>
        <v>720.20372692441663</v>
      </c>
      <c r="Y44" s="1949">
        <f>E44/V44</f>
        <v>900.1762734000871</v>
      </c>
      <c r="Z44" s="1943">
        <f>AB44*V44</f>
        <v>1147313.4539586965</v>
      </c>
      <c r="AA44" s="1950">
        <f>Z44/E44</f>
        <v>0.55487291922493209</v>
      </c>
      <c r="AB44" s="1951">
        <f>T40</f>
        <v>499.483436638527</v>
      </c>
    </row>
    <row r="45" spans="2:28">
      <c r="B45" s="233"/>
      <c r="C45" s="232" t="s">
        <v>461</v>
      </c>
      <c r="D45" s="231" t="s">
        <v>462</v>
      </c>
      <c r="E45" s="1161" t="e">
        <f>F45+G45</f>
        <v>#VALUE!</v>
      </c>
      <c r="F45" s="231" t="s">
        <v>419</v>
      </c>
      <c r="G45" s="228">
        <f>SUM(G40:G41)+205710</f>
        <v>632363</v>
      </c>
      <c r="H45" s="452"/>
      <c r="I45" s="453"/>
      <c r="J45" s="639"/>
      <c r="K45" s="454"/>
      <c r="O45" s="455"/>
      <c r="P45" s="455"/>
      <c r="Q45" s="455"/>
      <c r="R45" s="455"/>
      <c r="S45" s="455"/>
      <c r="T45" s="456"/>
      <c r="U45" s="639"/>
    </row>
    <row r="46" spans="2:28">
      <c r="B46" s="227"/>
      <c r="C46" s="226" t="s">
        <v>463</v>
      </c>
      <c r="D46" s="225" t="s">
        <v>69</v>
      </c>
      <c r="E46" s="225" t="e">
        <f>E43/E45</f>
        <v>#VALUE!</v>
      </c>
      <c r="F46" s="608" t="e">
        <f>F43/F45</f>
        <v>#VALUE!</v>
      </c>
      <c r="G46" s="1162">
        <f>G43/G45</f>
        <v>0.94307068882904288</v>
      </c>
      <c r="K46" s="1163"/>
      <c r="L46" s="1163"/>
      <c r="P46" s="455"/>
      <c r="Q46" s="455"/>
      <c r="R46" s="455"/>
      <c r="S46" s="455"/>
      <c r="T46" s="456"/>
      <c r="U46" s="463"/>
      <c r="V46" s="455"/>
      <c r="W46" s="455"/>
      <c r="AB46" s="461"/>
    </row>
    <row r="47" spans="2:28" ht="16.5" customHeight="1">
      <c r="B47" s="1155"/>
      <c r="T47" s="1121"/>
      <c r="U47" s="644"/>
      <c r="V47" s="644"/>
      <c r="W47" s="644"/>
      <c r="X47" s="644"/>
    </row>
    <row r="48" spans="2:28" ht="16.5" customHeight="1">
      <c r="B48" s="66" t="s">
        <v>420</v>
      </c>
      <c r="T48" s="1121"/>
      <c r="U48" s="644"/>
      <c r="V48" s="644"/>
      <c r="W48" s="644"/>
      <c r="X48" s="644"/>
    </row>
    <row r="49" spans="1:29" ht="16.5" customHeight="1">
      <c r="B49" s="1155"/>
      <c r="T49" s="1121"/>
      <c r="U49" s="644"/>
      <c r="V49" s="644"/>
      <c r="W49" s="644"/>
      <c r="X49" s="644"/>
    </row>
    <row r="50" spans="1:29" s="348" customFormat="1" ht="50.25" customHeight="1">
      <c r="B50" s="2297" t="s">
        <v>467</v>
      </c>
      <c r="C50" s="2299" t="s">
        <v>674</v>
      </c>
      <c r="D50" s="2463" t="s">
        <v>150</v>
      </c>
      <c r="E50" s="2465" t="s">
        <v>470</v>
      </c>
      <c r="F50" s="2470"/>
      <c r="G50" s="2471"/>
      <c r="H50" s="2472" t="s">
        <v>28</v>
      </c>
      <c r="I50" s="2347"/>
      <c r="J50" s="2347"/>
      <c r="K50" s="2347"/>
      <c r="L50" s="2347"/>
      <c r="M50" s="2347"/>
      <c r="N50" s="2347"/>
      <c r="O50" s="2347"/>
      <c r="P50" s="2347"/>
      <c r="Q50" s="2347"/>
      <c r="R50" s="2347"/>
      <c r="S50" s="2347"/>
      <c r="T50" s="2348"/>
      <c r="U50" s="2349" t="s">
        <v>501</v>
      </c>
      <c r="V50" s="2350"/>
      <c r="W50" s="2350"/>
      <c r="X50" s="2350"/>
      <c r="Y50" s="2350"/>
      <c r="Z50" s="2350"/>
      <c r="AA50" s="2350"/>
      <c r="AB50" s="2351"/>
    </row>
    <row r="51" spans="1:29" ht="50.25" customHeight="1">
      <c r="B51" s="2468"/>
      <c r="C51" s="2301"/>
      <c r="D51" s="2469"/>
      <c r="E51" s="1913" t="s">
        <v>471</v>
      </c>
      <c r="F51" s="1914" t="s">
        <v>675</v>
      </c>
      <c r="G51" s="1915" t="s">
        <v>473</v>
      </c>
      <c r="H51" s="1916" t="s">
        <v>474</v>
      </c>
      <c r="I51" s="1188" t="s">
        <v>653</v>
      </c>
      <c r="J51" s="1189" t="s">
        <v>676</v>
      </c>
      <c r="K51" s="1188" t="s">
        <v>654</v>
      </c>
      <c r="L51" s="1188" t="s">
        <v>655</v>
      </c>
      <c r="M51" s="837" t="s">
        <v>656</v>
      </c>
      <c r="N51" s="1188" t="s">
        <v>657</v>
      </c>
      <c r="O51" s="63" t="s">
        <v>658</v>
      </c>
      <c r="P51" s="1189" t="s">
        <v>659</v>
      </c>
      <c r="Q51" s="1188" t="s">
        <v>660</v>
      </c>
      <c r="R51" s="1188" t="s">
        <v>661</v>
      </c>
      <c r="S51" s="1188" t="s">
        <v>662</v>
      </c>
      <c r="T51" s="1917" t="s">
        <v>663</v>
      </c>
      <c r="U51" s="1918" t="s">
        <v>664</v>
      </c>
      <c r="V51" s="1189" t="s">
        <v>677</v>
      </c>
      <c r="W51" s="1192" t="s">
        <v>666</v>
      </c>
      <c r="X51" s="1192" t="s">
        <v>7</v>
      </c>
      <c r="Y51" s="1192" t="s">
        <v>6</v>
      </c>
      <c r="Z51" s="1192" t="s">
        <v>667</v>
      </c>
      <c r="AA51" s="1192" t="s">
        <v>668</v>
      </c>
      <c r="AB51" s="1193" t="s">
        <v>3</v>
      </c>
    </row>
    <row r="52" spans="1:29">
      <c r="B52" s="1953" t="s">
        <v>679</v>
      </c>
      <c r="C52" s="1919" t="s">
        <v>915</v>
      </c>
      <c r="D52" s="1971" t="s">
        <v>462</v>
      </c>
      <c r="E52" s="1143">
        <f>F52+G52</f>
        <v>519838.47</v>
      </c>
      <c r="F52" s="1972">
        <v>436555.47</v>
      </c>
      <c r="G52" s="1973">
        <v>83283</v>
      </c>
      <c r="H52" s="1956">
        <v>880099</v>
      </c>
      <c r="I52" s="1957">
        <f t="shared" ref="I52:I55" si="0">E52/H52</f>
        <v>0.59065908494385289</v>
      </c>
      <c r="J52" s="1923">
        <v>70916</v>
      </c>
      <c r="K52" s="1924">
        <f>J52/H52</f>
        <v>8.0577298690260979E-2</v>
      </c>
      <c r="L52" s="1958">
        <f>M52/J52</f>
        <v>0.11515031868689718</v>
      </c>
      <c r="M52" s="1974">
        <v>8166</v>
      </c>
      <c r="N52" s="1959">
        <v>6546</v>
      </c>
      <c r="O52" s="1960">
        <f>N52/M52</f>
        <v>0.80161645848640706</v>
      </c>
      <c r="P52" s="1961">
        <f t="shared" ref="P52:P54" si="1">E52/M52</f>
        <v>63.658886847905947</v>
      </c>
      <c r="Q52" s="1959">
        <f t="shared" ref="Q52:Q56" si="2">E52/N52</f>
        <v>79.413148487626032</v>
      </c>
      <c r="R52" s="1927">
        <f>T52*N52</f>
        <v>3217415.2875590441</v>
      </c>
      <c r="S52" s="1962">
        <f t="shared" ref="S52:S54" si="3">R52/E52</f>
        <v>6.1892596897629453</v>
      </c>
      <c r="T52" s="2458">
        <v>491.50859877162299</v>
      </c>
      <c r="U52" s="1922">
        <v>756</v>
      </c>
      <c r="V52" s="1923">
        <v>637</v>
      </c>
      <c r="W52" s="1924">
        <f>V52/U52</f>
        <v>0.84259259259259256</v>
      </c>
      <c r="X52" s="1925">
        <f t="shared" ref="X52:X56" si="4">E52/U52</f>
        <v>687.61702380952374</v>
      </c>
      <c r="Y52" s="1926">
        <f t="shared" ref="Y52:Y55" si="5">E52/V52</f>
        <v>816.07295133437981</v>
      </c>
      <c r="Z52" s="1927">
        <f>AB52*V52</f>
        <v>293263.16444147413</v>
      </c>
      <c r="AA52" s="1928">
        <f>Z52/E52</f>
        <v>0.56414286622818455</v>
      </c>
      <c r="AB52" s="1929">
        <v>460.38173381707088</v>
      </c>
    </row>
    <row r="53" spans="1:29">
      <c r="B53" s="1140" t="s">
        <v>421</v>
      </c>
      <c r="C53" s="169" t="s">
        <v>916</v>
      </c>
      <c r="D53" s="1164" t="s">
        <v>462</v>
      </c>
      <c r="E53" s="1165">
        <f>F53+G53</f>
        <v>831021.61</v>
      </c>
      <c r="F53" s="1166">
        <v>487651.61</v>
      </c>
      <c r="G53" s="1167">
        <v>343370</v>
      </c>
      <c r="H53" s="1160">
        <v>337853</v>
      </c>
      <c r="I53" s="415">
        <f t="shared" si="0"/>
        <v>2.4597135736548141</v>
      </c>
      <c r="J53" s="416">
        <v>44149</v>
      </c>
      <c r="K53" s="417">
        <f>J53/H53</f>
        <v>0.13067517529813261</v>
      </c>
      <c r="L53" s="1148">
        <f>M53/J53</f>
        <v>0.29028970078597477</v>
      </c>
      <c r="M53" s="1168">
        <v>12816</v>
      </c>
      <c r="N53" s="416">
        <v>9749</v>
      </c>
      <c r="O53" s="1150">
        <f>N53/M53</f>
        <v>0.76068976279650435</v>
      </c>
      <c r="P53" s="1169">
        <f t="shared" si="1"/>
        <v>64.842510143570536</v>
      </c>
      <c r="Q53" s="159">
        <f t="shared" si="2"/>
        <v>85.241728382398193</v>
      </c>
      <c r="R53" s="1168">
        <f>T52*N53</f>
        <v>4791717.3294245526</v>
      </c>
      <c r="S53" s="421">
        <f t="shared" si="3"/>
        <v>5.7660562273760281</v>
      </c>
      <c r="T53" s="2459"/>
      <c r="U53" s="422">
        <v>473</v>
      </c>
      <c r="V53" s="416">
        <v>355</v>
      </c>
      <c r="W53" s="1170">
        <f>V53/U53</f>
        <v>0.7505285412262156</v>
      </c>
      <c r="X53" s="1171">
        <f t="shared" si="4"/>
        <v>1756.9167230443975</v>
      </c>
      <c r="Y53" s="1172">
        <f t="shared" si="5"/>
        <v>2340.9059436619718</v>
      </c>
      <c r="Z53" s="1168">
        <f>AB53*V53</f>
        <v>254368.36137186538</v>
      </c>
      <c r="AA53" s="1173">
        <f>Z53/E53</f>
        <v>0.3060911513141823</v>
      </c>
      <c r="AB53" s="656">
        <v>716.53059541370533</v>
      </c>
    </row>
    <row r="54" spans="1:29">
      <c r="B54" s="1140" t="s">
        <v>421</v>
      </c>
      <c r="C54" s="1141" t="s">
        <v>914</v>
      </c>
      <c r="D54" s="1174" t="s">
        <v>418</v>
      </c>
      <c r="E54" s="1165">
        <f>F54+G54</f>
        <v>610348.52</v>
      </c>
      <c r="F54" s="1175">
        <v>440638.51</v>
      </c>
      <c r="G54" s="1176">
        <f>14960+90750.01+64000</f>
        <v>169710.01</v>
      </c>
      <c r="H54" s="1146">
        <v>416335</v>
      </c>
      <c r="I54" s="415">
        <f t="shared" si="0"/>
        <v>1.46600338669581</v>
      </c>
      <c r="J54" s="1147">
        <v>38364</v>
      </c>
      <c r="K54" s="417">
        <f>J54/H54</f>
        <v>9.2146948971381218E-2</v>
      </c>
      <c r="L54" s="1148">
        <f>M54/J54</f>
        <v>0.16632780731936189</v>
      </c>
      <c r="M54" s="1177">
        <v>6381</v>
      </c>
      <c r="N54" s="1147">
        <v>5208</v>
      </c>
      <c r="O54" s="1150">
        <f>N54/M54</f>
        <v>0.81617301363422656</v>
      </c>
      <c r="P54" s="1169">
        <f t="shared" si="1"/>
        <v>95.65091991850808</v>
      </c>
      <c r="Q54" s="159">
        <f t="shared" si="2"/>
        <v>117.19441628264209</v>
      </c>
      <c r="R54" s="1177">
        <f>T52*N54</f>
        <v>2559776.7824026127</v>
      </c>
      <c r="S54" s="421">
        <f t="shared" si="3"/>
        <v>4.1939591864703996</v>
      </c>
      <c r="T54" s="2459"/>
      <c r="U54" s="1151">
        <v>793</v>
      </c>
      <c r="V54" s="1147">
        <v>637</v>
      </c>
      <c r="W54" s="1170">
        <f>V54/U54</f>
        <v>0.80327868852459017</v>
      </c>
      <c r="X54" s="1171">
        <f t="shared" si="4"/>
        <v>769.67026481715004</v>
      </c>
      <c r="Y54" s="1172">
        <f t="shared" si="5"/>
        <v>958.16094191522768</v>
      </c>
      <c r="Z54" s="1168">
        <f>AB54*V54</f>
        <v>338924.71339162451</v>
      </c>
      <c r="AA54" s="1173">
        <f t="shared" ref="AA54:AA56" si="6">Z54/E54</f>
        <v>0.5552970184831848</v>
      </c>
      <c r="AB54" s="838">
        <v>532.06391427256597</v>
      </c>
    </row>
    <row r="55" spans="1:29">
      <c r="B55" s="1963"/>
      <c r="C55" s="424" t="s">
        <v>504</v>
      </c>
      <c r="D55" s="1932"/>
      <c r="E55" s="1933">
        <f>F55+G55</f>
        <v>1961208.5999999999</v>
      </c>
      <c r="F55" s="470">
        <f>SUM(F52:F54)</f>
        <v>1364845.5899999999</v>
      </c>
      <c r="G55" s="1934">
        <f>SUM(G52:G54)</f>
        <v>596363.01</v>
      </c>
      <c r="H55" s="1935">
        <f>SUM(H52:H54)</f>
        <v>1634287</v>
      </c>
      <c r="I55" s="430">
        <f t="shared" si="0"/>
        <v>1.2000392831858786</v>
      </c>
      <c r="J55" s="431">
        <f>SUM(J52:J54)</f>
        <v>153429</v>
      </c>
      <c r="K55" s="1282">
        <f>J55/H55</f>
        <v>9.3881307261209329E-2</v>
      </c>
      <c r="L55" s="432">
        <f>M55/J55</f>
        <v>0.17834307725397416</v>
      </c>
      <c r="M55" s="431">
        <f>SUM(M52:M54)</f>
        <v>27363</v>
      </c>
      <c r="N55" s="431">
        <f>SUM(N52:N54)</f>
        <v>21503</v>
      </c>
      <c r="O55" s="1936">
        <f>N55/M55</f>
        <v>0.78584219566567992</v>
      </c>
      <c r="P55" s="475">
        <f>E55/M55</f>
        <v>71.673741914263786</v>
      </c>
      <c r="Q55" s="475">
        <f t="shared" si="2"/>
        <v>91.206278193740403</v>
      </c>
      <c r="R55" s="431">
        <f>T52*N55</f>
        <v>10568909.399386209</v>
      </c>
      <c r="S55" s="434">
        <f>R55/E55</f>
        <v>5.3889776943595953</v>
      </c>
      <c r="T55" s="2459"/>
      <c r="U55" s="429">
        <f>SUM(U52:U54)</f>
        <v>2022</v>
      </c>
      <c r="V55" s="431">
        <f>SUM(V52:V54)</f>
        <v>1629</v>
      </c>
      <c r="W55" s="432">
        <f>V55/U55</f>
        <v>0.8056379821958457</v>
      </c>
      <c r="X55" s="477">
        <f t="shared" si="4"/>
        <v>969.93501483679518</v>
      </c>
      <c r="Y55" s="477">
        <f t="shared" si="5"/>
        <v>1203.9340699815837</v>
      </c>
      <c r="Z55" s="431">
        <f>AB55*V55</f>
        <v>800667.5073989738</v>
      </c>
      <c r="AA55" s="436">
        <f t="shared" si="6"/>
        <v>0.40825208873700325</v>
      </c>
      <c r="AB55" s="476">
        <f>T52</f>
        <v>491.50859877162299</v>
      </c>
    </row>
    <row r="56" spans="1:29">
      <c r="A56" s="1178"/>
      <c r="B56" s="1975"/>
      <c r="C56" s="1976" t="s">
        <v>480</v>
      </c>
      <c r="D56" s="1977"/>
      <c r="E56" s="1978">
        <f>E55</f>
        <v>1961208.5999999999</v>
      </c>
      <c r="F56" s="1979">
        <f>F55</f>
        <v>1364845.5899999999</v>
      </c>
      <c r="G56" s="1980">
        <f>G55</f>
        <v>596363.01</v>
      </c>
      <c r="H56" s="1981">
        <v>1577046</v>
      </c>
      <c r="I56" s="1982">
        <f>E56/H56</f>
        <v>1.2435963186869627</v>
      </c>
      <c r="J56" s="1983">
        <v>142818</v>
      </c>
      <c r="K56" s="1984">
        <f>J56/H56</f>
        <v>9.0560452897379018E-2</v>
      </c>
      <c r="L56" s="1984">
        <f>M56/J56</f>
        <v>0.17203013625733451</v>
      </c>
      <c r="M56" s="1983">
        <v>24569</v>
      </c>
      <c r="N56" s="1983">
        <v>19317</v>
      </c>
      <c r="O56" s="1985">
        <f>N56/M56</f>
        <v>0.78623468598640567</v>
      </c>
      <c r="P56" s="1986">
        <f>E56/M56</f>
        <v>79.824518702429884</v>
      </c>
      <c r="Q56" s="1986">
        <f t="shared" si="2"/>
        <v>101.52759745302065</v>
      </c>
      <c r="R56" s="1983">
        <f>T52*N56</f>
        <v>9494471.602471441</v>
      </c>
      <c r="S56" s="1987">
        <f>R56/E56</f>
        <v>4.8411329638629166</v>
      </c>
      <c r="T56" s="2460"/>
      <c r="U56" s="1988">
        <v>2002</v>
      </c>
      <c r="V56" s="1983">
        <v>1602</v>
      </c>
      <c r="W56" s="1984">
        <f>V56/U56</f>
        <v>0.80019980019980019</v>
      </c>
      <c r="X56" s="1989">
        <f t="shared" si="4"/>
        <v>979.62467532467531</v>
      </c>
      <c r="Y56" s="1989">
        <f>E56/V56</f>
        <v>1224.2250936329588</v>
      </c>
      <c r="Z56" s="1983">
        <f>AB56*V56</f>
        <v>787396.77523213997</v>
      </c>
      <c r="AA56" s="1990">
        <f t="shared" si="6"/>
        <v>0.40148547953141756</v>
      </c>
      <c r="AB56" s="1991">
        <f>T52</f>
        <v>491.50859877162299</v>
      </c>
      <c r="AC56" s="1178"/>
    </row>
    <row r="57" spans="1:29">
      <c r="B57" s="233"/>
      <c r="C57" s="232" t="s">
        <v>461</v>
      </c>
      <c r="D57" s="231" t="s">
        <v>462</v>
      </c>
      <c r="E57" s="1161" t="e">
        <f>F57+G57</f>
        <v>#VALUE!</v>
      </c>
      <c r="F57" s="231" t="s">
        <v>419</v>
      </c>
      <c r="G57" s="228">
        <f>SUM(G52:G53)+205710</f>
        <v>632363</v>
      </c>
      <c r="H57" s="452"/>
      <c r="I57" s="453"/>
      <c r="J57" s="457"/>
      <c r="K57" s="454"/>
      <c r="O57" s="455"/>
      <c r="P57" s="455"/>
      <c r="Q57" s="455"/>
      <c r="R57" s="455"/>
      <c r="S57" s="455"/>
      <c r="T57" s="456"/>
      <c r="U57" s="457"/>
    </row>
    <row r="58" spans="1:29">
      <c r="B58" s="227"/>
      <c r="C58" s="226" t="s">
        <v>463</v>
      </c>
      <c r="D58" s="225" t="s">
        <v>69</v>
      </c>
      <c r="E58" s="225" t="e">
        <f>E55/E57</f>
        <v>#VALUE!</v>
      </c>
      <c r="F58" s="608" t="e">
        <f>F55/F57</f>
        <v>#VALUE!</v>
      </c>
      <c r="G58" s="1162">
        <f>G55/G57</f>
        <v>0.94307068882904288</v>
      </c>
      <c r="K58" s="1163"/>
      <c r="L58" s="1163"/>
      <c r="P58" s="455"/>
      <c r="Q58" s="455"/>
      <c r="R58" s="455"/>
      <c r="S58" s="455"/>
      <c r="T58" s="456"/>
      <c r="U58" s="463"/>
      <c r="V58" s="455"/>
      <c r="W58" s="455"/>
      <c r="AB58" s="461"/>
    </row>
    <row r="59" spans="1:29" ht="16.5" customHeight="1">
      <c r="B59" s="1155"/>
      <c r="T59" s="1121"/>
      <c r="U59" s="644"/>
      <c r="V59" s="644"/>
      <c r="W59" s="644"/>
      <c r="X59" s="644"/>
    </row>
    <row r="60" spans="1:29" ht="16.5" customHeight="1">
      <c r="B60" s="1155"/>
      <c r="T60" s="1121"/>
      <c r="U60" s="644"/>
      <c r="V60" s="644"/>
      <c r="W60" s="644"/>
      <c r="X60" s="644"/>
    </row>
    <row r="61" spans="1:29" ht="16.5" customHeight="1">
      <c r="B61" s="481" t="s">
        <v>422</v>
      </c>
      <c r="T61" s="1121"/>
      <c r="U61" s="644"/>
      <c r="V61" s="644"/>
      <c r="W61" s="644"/>
      <c r="X61" s="644"/>
    </row>
    <row r="62" spans="1:29" ht="16.5" customHeight="1">
      <c r="B62" s="1155"/>
      <c r="T62" s="1121"/>
      <c r="U62" s="644"/>
      <c r="V62" s="644"/>
      <c r="W62" s="644"/>
      <c r="X62" s="644"/>
    </row>
    <row r="63" spans="1:29" s="348" customFormat="1" ht="50.25" customHeight="1">
      <c r="B63" s="2297" t="s">
        <v>467</v>
      </c>
      <c r="C63" s="2299" t="s">
        <v>674</v>
      </c>
      <c r="D63" s="2463" t="s">
        <v>30</v>
      </c>
      <c r="E63" s="2465" t="s">
        <v>470</v>
      </c>
      <c r="F63" s="2466"/>
      <c r="G63" s="2467"/>
      <c r="H63" s="2347" t="s">
        <v>28</v>
      </c>
      <c r="I63" s="2346"/>
      <c r="J63" s="2346"/>
      <c r="K63" s="2346"/>
      <c r="L63" s="2346"/>
      <c r="M63" s="2346"/>
      <c r="N63" s="2346"/>
      <c r="O63" s="2346"/>
      <c r="P63" s="2346"/>
      <c r="Q63" s="2346"/>
      <c r="R63" s="2346"/>
      <c r="S63" s="2346"/>
      <c r="T63" s="2346"/>
      <c r="U63" s="2349" t="s">
        <v>501</v>
      </c>
      <c r="V63" s="2350"/>
      <c r="W63" s="2350"/>
      <c r="X63" s="2350"/>
      <c r="Y63" s="2350"/>
      <c r="Z63" s="2350"/>
      <c r="AA63" s="2350"/>
      <c r="AB63" s="2351"/>
    </row>
    <row r="64" spans="1:29" ht="50.25" customHeight="1">
      <c r="B64" s="2451"/>
      <c r="C64" s="2461"/>
      <c r="D64" s="2464"/>
      <c r="E64" s="1913" t="s">
        <v>471</v>
      </c>
      <c r="F64" s="1914" t="s">
        <v>675</v>
      </c>
      <c r="G64" s="1915" t="s">
        <v>473</v>
      </c>
      <c r="H64" s="1916" t="s">
        <v>474</v>
      </c>
      <c r="I64" s="1188" t="s">
        <v>653</v>
      </c>
      <c r="J64" s="1189" t="s">
        <v>676</v>
      </c>
      <c r="K64" s="1188" t="s">
        <v>654</v>
      </c>
      <c r="L64" s="1188" t="s">
        <v>655</v>
      </c>
      <c r="M64" s="837" t="s">
        <v>656</v>
      </c>
      <c r="N64" s="1188" t="s">
        <v>657</v>
      </c>
      <c r="O64" s="63" t="s">
        <v>658</v>
      </c>
      <c r="P64" s="1189" t="s">
        <v>659</v>
      </c>
      <c r="Q64" s="1188" t="s">
        <v>660</v>
      </c>
      <c r="R64" s="1188" t="s">
        <v>661</v>
      </c>
      <c r="S64" s="1188" t="s">
        <v>662</v>
      </c>
      <c r="T64" s="1917" t="s">
        <v>663</v>
      </c>
      <c r="U64" s="1918" t="s">
        <v>664</v>
      </c>
      <c r="V64" s="1189" t="s">
        <v>677</v>
      </c>
      <c r="W64" s="1192" t="s">
        <v>666</v>
      </c>
      <c r="X64" s="1192" t="s">
        <v>7</v>
      </c>
      <c r="Y64" s="1192" t="s">
        <v>6</v>
      </c>
      <c r="Z64" s="1192" t="s">
        <v>667</v>
      </c>
      <c r="AA64" s="1192" t="s">
        <v>668</v>
      </c>
      <c r="AB64" s="1193" t="s">
        <v>3</v>
      </c>
    </row>
    <row r="65" spans="1:29">
      <c r="B65" s="1953" t="s">
        <v>680</v>
      </c>
      <c r="C65" s="1919" t="s">
        <v>915</v>
      </c>
      <c r="D65" s="1971" t="s">
        <v>462</v>
      </c>
      <c r="E65" s="1143">
        <f>F65+G65</f>
        <v>490524.61000000098</v>
      </c>
      <c r="F65" s="1972">
        <v>407241.61000000098</v>
      </c>
      <c r="G65" s="1973">
        <v>83283</v>
      </c>
      <c r="H65" s="1956">
        <v>833320</v>
      </c>
      <c r="I65" s="1957">
        <f t="shared" ref="I65:I68" si="7">E65/H65</f>
        <v>0.58863895022320478</v>
      </c>
      <c r="J65" s="1923">
        <v>61283</v>
      </c>
      <c r="K65" s="1924">
        <f>J65/H65</f>
        <v>7.3540776652426434E-2</v>
      </c>
      <c r="L65" s="1958">
        <f>M65/J65</f>
        <v>0.10805606775125239</v>
      </c>
      <c r="M65" s="1974">
        <v>6622</v>
      </c>
      <c r="N65" s="1959">
        <v>5271</v>
      </c>
      <c r="O65" s="1960">
        <f>N65/M65</f>
        <v>0.79598308668076112</v>
      </c>
      <c r="P65" s="1961">
        <f t="shared" ref="P65:P67" si="8">E65/M65</f>
        <v>74.074993959528996</v>
      </c>
      <c r="Q65" s="1959">
        <f t="shared" ref="Q65:Q69" si="9">E65/N65</f>
        <v>93.061014987668557</v>
      </c>
      <c r="R65" s="1927">
        <f>T65*N65</f>
        <v>2504357.52</v>
      </c>
      <c r="S65" s="1962">
        <f t="shared" ref="S65:S67" si="10">R65/E65</f>
        <v>5.1054676339276739</v>
      </c>
      <c r="T65" s="2458">
        <v>475.12</v>
      </c>
      <c r="U65" s="1922">
        <v>604</v>
      </c>
      <c r="V65" s="1923">
        <v>515</v>
      </c>
      <c r="W65" s="1924">
        <f>V65/U65</f>
        <v>0.85264900662251653</v>
      </c>
      <c r="X65" s="1925">
        <f t="shared" ref="X65:X69" si="11">E65/U65</f>
        <v>812.12683774834602</v>
      </c>
      <c r="Y65" s="1926">
        <f t="shared" ref="Y65:Y68" si="12">E65/V65</f>
        <v>952.47497087378827</v>
      </c>
      <c r="Z65" s="1927">
        <f>AB65*V65</f>
        <v>237979.02117778885</v>
      </c>
      <c r="AA65" s="1928">
        <f>Z65/E65</f>
        <v>0.48515205216265983</v>
      </c>
      <c r="AB65" s="1929">
        <v>462.09518675298807</v>
      </c>
    </row>
    <row r="66" spans="1:29">
      <c r="B66" s="1140" t="s">
        <v>423</v>
      </c>
      <c r="C66" s="169" t="s">
        <v>916</v>
      </c>
      <c r="D66" s="1164" t="s">
        <v>462</v>
      </c>
      <c r="E66" s="1165">
        <f>F66+G66</f>
        <v>794013.25</v>
      </c>
      <c r="F66" s="1166">
        <v>450643.25</v>
      </c>
      <c r="G66" s="1167">
        <v>343370</v>
      </c>
      <c r="H66" s="1160">
        <v>320999</v>
      </c>
      <c r="I66" s="415">
        <f t="shared" si="7"/>
        <v>2.4735692323029044</v>
      </c>
      <c r="J66" s="416">
        <v>39315</v>
      </c>
      <c r="K66" s="417">
        <f>J66/H66</f>
        <v>0.12247701706235845</v>
      </c>
      <c r="L66" s="1148">
        <f>M66/J66</f>
        <v>0.28436983339692229</v>
      </c>
      <c r="M66" s="1168">
        <v>11180</v>
      </c>
      <c r="N66" s="416">
        <v>8489</v>
      </c>
      <c r="O66" s="1150">
        <f>N66/M66</f>
        <v>0.75930232558139532</v>
      </c>
      <c r="P66" s="1169">
        <f t="shared" si="8"/>
        <v>71.020863148479421</v>
      </c>
      <c r="Q66" s="159">
        <f t="shared" si="9"/>
        <v>93.534368005654372</v>
      </c>
      <c r="R66" s="1168">
        <f>T65*N66</f>
        <v>4033293.68</v>
      </c>
      <c r="S66" s="421">
        <f t="shared" si="10"/>
        <v>5.0796301950880549</v>
      </c>
      <c r="T66" s="2459"/>
      <c r="U66" s="422">
        <v>398</v>
      </c>
      <c r="V66" s="416">
        <v>286</v>
      </c>
      <c r="W66" s="1170">
        <f>V66/U66</f>
        <v>0.71859296482412061</v>
      </c>
      <c r="X66" s="1171">
        <f t="shared" si="11"/>
        <v>1995.0081658291458</v>
      </c>
      <c r="Y66" s="1172">
        <f t="shared" si="12"/>
        <v>2776.2701048951049</v>
      </c>
      <c r="Z66" s="1168">
        <f>AB66*V66</f>
        <v>205442.61670607826</v>
      </c>
      <c r="AA66" s="1173">
        <f>Z66/E66</f>
        <v>0.25873953199909228</v>
      </c>
      <c r="AB66" s="656">
        <v>718.3308276436303</v>
      </c>
    </row>
    <row r="67" spans="1:29">
      <c r="B67" s="1140" t="s">
        <v>423</v>
      </c>
      <c r="C67" s="1141" t="s">
        <v>914</v>
      </c>
      <c r="D67" s="1174" t="s">
        <v>418</v>
      </c>
      <c r="E67" s="1165">
        <f>F67+G67</f>
        <v>565842.75</v>
      </c>
      <c r="F67" s="1175">
        <v>396132.74</v>
      </c>
      <c r="G67" s="1176">
        <f>14960+90750.01+64000</f>
        <v>169710.01</v>
      </c>
      <c r="H67" s="1146">
        <v>383238</v>
      </c>
      <c r="I67" s="415">
        <f t="shared" si="7"/>
        <v>1.4764787155762216</v>
      </c>
      <c r="J67" s="1147">
        <v>30805</v>
      </c>
      <c r="K67" s="417">
        <f>J67/H67</f>
        <v>8.0380859935601373E-2</v>
      </c>
      <c r="L67" s="1148">
        <f>M67/J67</f>
        <v>0.14867716279824703</v>
      </c>
      <c r="M67" s="1177">
        <v>4580</v>
      </c>
      <c r="N67" s="1147">
        <v>3719</v>
      </c>
      <c r="O67" s="1150">
        <f>N67/M67</f>
        <v>0.81200873362445414</v>
      </c>
      <c r="P67" s="1169">
        <f t="shared" si="8"/>
        <v>123.5464519650655</v>
      </c>
      <c r="Q67" s="159">
        <f t="shared" si="9"/>
        <v>152.1491664425921</v>
      </c>
      <c r="R67" s="1177">
        <f>T65*N67</f>
        <v>1766971.28</v>
      </c>
      <c r="S67" s="421">
        <f t="shared" si="10"/>
        <v>3.1227249620146234</v>
      </c>
      <c r="T67" s="2459"/>
      <c r="U67" s="1151">
        <v>539</v>
      </c>
      <c r="V67" s="1147">
        <v>444</v>
      </c>
      <c r="W67" s="1170">
        <f>V67/U67</f>
        <v>0.82374768089053807</v>
      </c>
      <c r="X67" s="1171">
        <f t="shared" si="11"/>
        <v>1049.8010204081634</v>
      </c>
      <c r="Y67" s="1172">
        <f t="shared" si="12"/>
        <v>1274.4206081081081</v>
      </c>
      <c r="Z67" s="1168">
        <f>AB67*V67</f>
        <v>237225.47773493585</v>
      </c>
      <c r="AA67" s="1173">
        <f t="shared" ref="AA67:AA69" si="13">Z67/E67</f>
        <v>0.41924276264905019</v>
      </c>
      <c r="AB67" s="838">
        <v>534.29161652012579</v>
      </c>
    </row>
    <row r="68" spans="1:29">
      <c r="B68" s="1963"/>
      <c r="C68" s="424" t="s">
        <v>504</v>
      </c>
      <c r="D68" s="1932"/>
      <c r="E68" s="1933">
        <f>F68+G68</f>
        <v>1850380.610000001</v>
      </c>
      <c r="F68" s="470">
        <f>SUM(F65:F67)</f>
        <v>1254017.600000001</v>
      </c>
      <c r="G68" s="1934">
        <f>SUM(G65:G67)</f>
        <v>596363.01</v>
      </c>
      <c r="H68" s="1935">
        <f>SUM(H65:H67)</f>
        <v>1537557</v>
      </c>
      <c r="I68" s="430">
        <f t="shared" si="7"/>
        <v>1.203454967848347</v>
      </c>
      <c r="J68" s="431">
        <f>SUM(J65:J67)</f>
        <v>131403</v>
      </c>
      <c r="K68" s="1282">
        <f>J68/H68</f>
        <v>8.5462197499019552E-2</v>
      </c>
      <c r="L68" s="432">
        <f>M68/J68</f>
        <v>0.17033096656849539</v>
      </c>
      <c r="M68" s="431">
        <f>SUM(M65:M67)</f>
        <v>22382</v>
      </c>
      <c r="N68" s="431">
        <f>SUM(N65:N67)</f>
        <v>17479</v>
      </c>
      <c r="O68" s="1936">
        <f>N68/M68</f>
        <v>0.78094004110445892</v>
      </c>
      <c r="P68" s="475">
        <f>E68/M68</f>
        <v>82.672710660352109</v>
      </c>
      <c r="Q68" s="475">
        <f t="shared" si="9"/>
        <v>105.86307054179306</v>
      </c>
      <c r="R68" s="431">
        <f>T65*N68</f>
        <v>8304622.4800000004</v>
      </c>
      <c r="S68" s="434">
        <f>R68/E68</f>
        <v>4.4880617723290968</v>
      </c>
      <c r="T68" s="2459"/>
      <c r="U68" s="429">
        <f>SUM(U65:U67)</f>
        <v>1541</v>
      </c>
      <c r="V68" s="431">
        <f>SUM(V65:V67)</f>
        <v>1245</v>
      </c>
      <c r="W68" s="432">
        <f>V68/U68</f>
        <v>0.80791693705386114</v>
      </c>
      <c r="X68" s="477">
        <f t="shared" si="11"/>
        <v>1200.766132381571</v>
      </c>
      <c r="Y68" s="477">
        <f t="shared" si="12"/>
        <v>1486.2494859437759</v>
      </c>
      <c r="Z68" s="431">
        <f>AB68*V68</f>
        <v>591524.4</v>
      </c>
      <c r="AA68" s="436">
        <f t="shared" si="13"/>
        <v>0.3196771500972439</v>
      </c>
      <c r="AB68" s="476">
        <f>T65</f>
        <v>475.12</v>
      </c>
    </row>
    <row r="69" spans="1:29">
      <c r="A69" s="1178"/>
      <c r="B69" s="1975"/>
      <c r="C69" s="1976" t="s">
        <v>480</v>
      </c>
      <c r="D69" s="1977"/>
      <c r="E69" s="1978">
        <f>E68</f>
        <v>1850380.610000001</v>
      </c>
      <c r="F69" s="1979">
        <f>F68</f>
        <v>1254017.600000001</v>
      </c>
      <c r="G69" s="1980">
        <f>G68</f>
        <v>596363.01</v>
      </c>
      <c r="H69" s="1981">
        <v>1485736</v>
      </c>
      <c r="I69" s="1982">
        <f>E69/H69</f>
        <v>1.2454302850573729</v>
      </c>
      <c r="J69" s="1983">
        <v>122818</v>
      </c>
      <c r="K69" s="1984">
        <f>J69/H69</f>
        <v>8.2664753361297028E-2</v>
      </c>
      <c r="L69" s="1984">
        <f>M69/J69</f>
        <v>0.16513866045693629</v>
      </c>
      <c r="M69" s="1983">
        <v>20282</v>
      </c>
      <c r="N69" s="1983">
        <v>15853</v>
      </c>
      <c r="O69" s="1985">
        <f>N69/M69</f>
        <v>0.78162903066758704</v>
      </c>
      <c r="P69" s="1986">
        <f>E69/M69</f>
        <v>91.232650133123016</v>
      </c>
      <c r="Q69" s="1986">
        <f t="shared" si="9"/>
        <v>116.72116381757402</v>
      </c>
      <c r="R69" s="1983">
        <f>T65*N69</f>
        <v>7532077.3600000003</v>
      </c>
      <c r="S69" s="1987">
        <f>R69/E69</f>
        <v>4.0705557112382387</v>
      </c>
      <c r="T69" s="2460"/>
      <c r="U69" s="1988">
        <v>1540</v>
      </c>
      <c r="V69" s="1983">
        <v>1235</v>
      </c>
      <c r="W69" s="1984">
        <f>V69/U69</f>
        <v>0.80194805194805197</v>
      </c>
      <c r="X69" s="1989">
        <f t="shared" si="11"/>
        <v>1201.5458506493512</v>
      </c>
      <c r="Y69" s="1989">
        <f>E69/V69</f>
        <v>1498.283894736843</v>
      </c>
      <c r="Z69" s="1983">
        <f>AB69*V69</f>
        <v>586773.19999999995</v>
      </c>
      <c r="AA69" s="1990">
        <f t="shared" si="13"/>
        <v>0.31710946214465552</v>
      </c>
      <c r="AB69" s="1991">
        <f>T65</f>
        <v>475.12</v>
      </c>
      <c r="AC69" s="1178"/>
    </row>
    <row r="70" spans="1:29">
      <c r="B70" s="233"/>
      <c r="C70" s="232" t="s">
        <v>461</v>
      </c>
      <c r="D70" s="231" t="s">
        <v>462</v>
      </c>
      <c r="E70" s="1161" t="e">
        <f>F70+G70</f>
        <v>#VALUE!</v>
      </c>
      <c r="F70" s="231" t="s">
        <v>419</v>
      </c>
      <c r="G70" s="228">
        <f>SUM(G65:G66)+205710</f>
        <v>632363</v>
      </c>
      <c r="H70" s="452"/>
      <c r="I70" s="453"/>
      <c r="J70" s="457"/>
      <c r="K70" s="454"/>
      <c r="O70" s="455"/>
      <c r="P70" s="455"/>
      <c r="Q70" s="455"/>
      <c r="R70" s="455"/>
      <c r="S70" s="455"/>
      <c r="T70" s="456"/>
      <c r="U70" s="457"/>
    </row>
    <row r="71" spans="1:29">
      <c r="B71" s="227"/>
      <c r="C71" s="226" t="s">
        <v>463</v>
      </c>
      <c r="D71" s="225" t="s">
        <v>69</v>
      </c>
      <c r="E71" s="225" t="e">
        <f>E68/E70</f>
        <v>#VALUE!</v>
      </c>
      <c r="F71" s="608" t="e">
        <f>F68/F70</f>
        <v>#VALUE!</v>
      </c>
      <c r="G71" s="1162">
        <f>G68/G70</f>
        <v>0.94307068882904288</v>
      </c>
      <c r="K71" s="1163"/>
      <c r="L71" s="1163"/>
      <c r="P71" s="455"/>
      <c r="Q71" s="455"/>
      <c r="R71" s="455"/>
      <c r="S71" s="455"/>
      <c r="T71" s="456"/>
      <c r="U71" s="463"/>
      <c r="V71" s="455"/>
      <c r="W71" s="455"/>
      <c r="AB71" s="461"/>
    </row>
    <row r="72" spans="1:29" ht="16.5" customHeight="1">
      <c r="B72" s="1155"/>
      <c r="T72" s="1121"/>
      <c r="U72" s="644"/>
      <c r="V72" s="644"/>
      <c r="W72" s="644"/>
      <c r="X72" s="644"/>
    </row>
    <row r="73" spans="1:29" ht="16.5" customHeight="1">
      <c r="B73" s="1155"/>
      <c r="T73" s="1121"/>
      <c r="U73" s="644"/>
      <c r="V73" s="644"/>
      <c r="W73" s="644"/>
      <c r="X73" s="644"/>
    </row>
    <row r="74" spans="1:29" ht="16.5" customHeight="1">
      <c r="B74" s="481" t="s">
        <v>424</v>
      </c>
      <c r="T74" s="1121"/>
      <c r="U74" s="644"/>
      <c r="V74" s="644"/>
      <c r="W74" s="644"/>
      <c r="X74" s="644"/>
    </row>
    <row r="75" spans="1:29" ht="16.5" customHeight="1">
      <c r="B75" s="1155"/>
      <c r="T75" s="1121"/>
      <c r="U75" s="644"/>
      <c r="V75" s="644"/>
      <c r="W75" s="644"/>
      <c r="X75" s="644"/>
    </row>
    <row r="76" spans="1:29" ht="47.5" customHeight="1">
      <c r="B76" s="2297" t="s">
        <v>467</v>
      </c>
      <c r="C76" s="2299" t="s">
        <v>674</v>
      </c>
      <c r="D76" s="2463" t="s">
        <v>30</v>
      </c>
      <c r="E76" s="2465" t="s">
        <v>470</v>
      </c>
      <c r="F76" s="2466"/>
      <c r="G76" s="2467"/>
      <c r="H76" s="2347" t="s">
        <v>28</v>
      </c>
      <c r="I76" s="2346"/>
      <c r="J76" s="2346"/>
      <c r="K76" s="2346"/>
      <c r="L76" s="2346"/>
      <c r="M76" s="2346"/>
      <c r="N76" s="2346"/>
      <c r="O76" s="2346"/>
      <c r="P76" s="2346"/>
      <c r="Q76" s="2346"/>
      <c r="R76" s="2346"/>
      <c r="S76" s="2346"/>
      <c r="T76" s="2346"/>
      <c r="U76" s="2349" t="s">
        <v>501</v>
      </c>
      <c r="V76" s="2350"/>
      <c r="W76" s="2350"/>
      <c r="X76" s="2350"/>
      <c r="Y76" s="2350"/>
      <c r="Z76" s="2350"/>
      <c r="AA76" s="2350"/>
      <c r="AB76" s="2351"/>
    </row>
    <row r="77" spans="1:29" ht="47.5" customHeight="1">
      <c r="B77" s="2451"/>
      <c r="C77" s="2461"/>
      <c r="D77" s="2464"/>
      <c r="E77" s="1913" t="s">
        <v>471</v>
      </c>
      <c r="F77" s="1914" t="s">
        <v>675</v>
      </c>
      <c r="G77" s="1915" t="s">
        <v>473</v>
      </c>
      <c r="H77" s="1916" t="s">
        <v>474</v>
      </c>
      <c r="I77" s="1188" t="s">
        <v>653</v>
      </c>
      <c r="J77" s="1189" t="s">
        <v>676</v>
      </c>
      <c r="K77" s="1188" t="s">
        <v>654</v>
      </c>
      <c r="L77" s="1188" t="s">
        <v>655</v>
      </c>
      <c r="M77" s="837" t="s">
        <v>656</v>
      </c>
      <c r="N77" s="1188" t="s">
        <v>657</v>
      </c>
      <c r="O77" s="63" t="s">
        <v>658</v>
      </c>
      <c r="P77" s="1189" t="s">
        <v>659</v>
      </c>
      <c r="Q77" s="1188" t="s">
        <v>660</v>
      </c>
      <c r="R77" s="1188" t="s">
        <v>661</v>
      </c>
      <c r="S77" s="1188" t="s">
        <v>662</v>
      </c>
      <c r="T77" s="1917" t="s">
        <v>672</v>
      </c>
      <c r="U77" s="1918" t="s">
        <v>664</v>
      </c>
      <c r="V77" s="1189" t="s">
        <v>677</v>
      </c>
      <c r="W77" s="1192" t="s">
        <v>666</v>
      </c>
      <c r="X77" s="1192" t="s">
        <v>7</v>
      </c>
      <c r="Y77" s="1192" t="s">
        <v>6</v>
      </c>
      <c r="Z77" s="1192" t="s">
        <v>667</v>
      </c>
      <c r="AA77" s="1192" t="s">
        <v>668</v>
      </c>
      <c r="AB77" s="1193" t="s">
        <v>3</v>
      </c>
    </row>
    <row r="78" spans="1:29" ht="16.5" customHeight="1">
      <c r="B78" s="1953" t="s">
        <v>681</v>
      </c>
      <c r="C78" s="1919" t="s">
        <v>915</v>
      </c>
      <c r="D78" s="1971" t="s">
        <v>462</v>
      </c>
      <c r="E78" s="1143">
        <f>F78+G78</f>
        <v>391365.37</v>
      </c>
      <c r="F78" s="1972">
        <v>308082.37</v>
      </c>
      <c r="G78" s="1973">
        <v>83283</v>
      </c>
      <c r="H78" s="1956">
        <v>559368</v>
      </c>
      <c r="I78" s="1957">
        <f t="shared" ref="I78:I81" si="14">E78/H78</f>
        <v>0.69965634430285606</v>
      </c>
      <c r="J78" s="1923">
        <v>40422</v>
      </c>
      <c r="K78" s="1924">
        <f>J78/H78</f>
        <v>7.2263697601578927E-2</v>
      </c>
      <c r="L78" s="1958">
        <f>M78/J78</f>
        <v>6.4049280094997774E-2</v>
      </c>
      <c r="M78" s="1974">
        <v>2589</v>
      </c>
      <c r="N78" s="1959">
        <v>2139</v>
      </c>
      <c r="O78" s="1960">
        <f>N78/M78</f>
        <v>0.82618771726535345</v>
      </c>
      <c r="P78" s="1961">
        <f t="shared" ref="P78:P80" si="15">E78/M78</f>
        <v>151.1646852066435</v>
      </c>
      <c r="Q78" s="1959">
        <f t="shared" ref="Q78:Q82" si="16">E78/N78</f>
        <v>182.96651238896681</v>
      </c>
      <c r="R78" s="1927">
        <f>T78*N78</f>
        <v>413447.31</v>
      </c>
      <c r="S78" s="1962">
        <f t="shared" ref="S78:S80" si="17">R78/E78</f>
        <v>1.0564228255555672</v>
      </c>
      <c r="T78" s="2458">
        <v>193.29</v>
      </c>
      <c r="U78" s="1922">
        <v>371</v>
      </c>
      <c r="V78" s="1923">
        <v>331</v>
      </c>
      <c r="W78" s="1924">
        <f>V78/U78</f>
        <v>0.89218328840970351</v>
      </c>
      <c r="X78" s="1925">
        <f t="shared" ref="X78:X82" si="18">E78/U78</f>
        <v>1054.8931805929919</v>
      </c>
      <c r="Y78" s="1926">
        <f t="shared" ref="Y78:Y81" si="19">E78/V78</f>
        <v>1182.3727190332327</v>
      </c>
      <c r="Z78" s="1927">
        <f>AB78*V78</f>
        <v>149052.42181464177</v>
      </c>
      <c r="AA78" s="1928">
        <f>Z78/E78</f>
        <v>0.38085235240573728</v>
      </c>
      <c r="AB78" s="1929">
        <v>450.30943146417451</v>
      </c>
    </row>
    <row r="79" spans="1:29" ht="16.5" customHeight="1">
      <c r="B79" s="1140" t="s">
        <v>425</v>
      </c>
      <c r="C79" s="169" t="s">
        <v>916</v>
      </c>
      <c r="D79" s="1164" t="s">
        <v>462</v>
      </c>
      <c r="E79" s="1165">
        <f>F79+G79</f>
        <v>623973.98</v>
      </c>
      <c r="F79" s="1166">
        <v>280603.98</v>
      </c>
      <c r="G79" s="1167">
        <v>343370</v>
      </c>
      <c r="H79" s="1160">
        <v>206596</v>
      </c>
      <c r="I79" s="415">
        <f t="shared" si="14"/>
        <v>3.02026167011946</v>
      </c>
      <c r="J79" s="416">
        <v>24260</v>
      </c>
      <c r="K79" s="417">
        <f>J79/H79</f>
        <v>0.11742724931750857</v>
      </c>
      <c r="L79" s="1148">
        <f>M79/J79</f>
        <v>0.17724649629018963</v>
      </c>
      <c r="M79" s="1168">
        <v>4300</v>
      </c>
      <c r="N79" s="416">
        <v>3337</v>
      </c>
      <c r="O79" s="1150">
        <f>N79/M79</f>
        <v>0.77604651162790694</v>
      </c>
      <c r="P79" s="1169">
        <f t="shared" si="15"/>
        <v>145.11022790697675</v>
      </c>
      <c r="Q79" s="159">
        <f t="shared" si="16"/>
        <v>186.98650884027569</v>
      </c>
      <c r="R79" s="1168">
        <f>T78*N79</f>
        <v>645008.73</v>
      </c>
      <c r="S79" s="421">
        <f t="shared" si="17"/>
        <v>1.0337109409594292</v>
      </c>
      <c r="T79" s="2459"/>
      <c r="U79" s="422">
        <v>248</v>
      </c>
      <c r="V79" s="416">
        <v>174</v>
      </c>
      <c r="W79" s="1170">
        <f>V79/U79</f>
        <v>0.70161290322580649</v>
      </c>
      <c r="X79" s="1171">
        <f t="shared" si="18"/>
        <v>2516.0241129032256</v>
      </c>
      <c r="Y79" s="1172">
        <f t="shared" si="19"/>
        <v>3586.0573563218391</v>
      </c>
      <c r="Z79" s="1168">
        <f>AB79*V79</f>
        <v>122935.10672770077</v>
      </c>
      <c r="AA79" s="1173">
        <f>Z79/E79</f>
        <v>0.19701960445161634</v>
      </c>
      <c r="AB79" s="656">
        <v>706.52360188333773</v>
      </c>
    </row>
    <row r="80" spans="1:29" ht="16.5" customHeight="1">
      <c r="B80" s="1140" t="s">
        <v>425</v>
      </c>
      <c r="C80" s="1141" t="s">
        <v>914</v>
      </c>
      <c r="D80" s="1174" t="s">
        <v>418</v>
      </c>
      <c r="E80" s="1165">
        <f>F80+G80</f>
        <v>371955.44</v>
      </c>
      <c r="F80" s="1175">
        <v>202245.43</v>
      </c>
      <c r="G80" s="1176">
        <f>14960+90750.01+64000</f>
        <v>169710.01</v>
      </c>
      <c r="H80" s="1146">
        <v>262259</v>
      </c>
      <c r="I80" s="415">
        <f t="shared" si="14"/>
        <v>1.4182752164844676</v>
      </c>
      <c r="J80" s="1147">
        <v>17340</v>
      </c>
      <c r="K80" s="417">
        <f>J80/H80</f>
        <v>6.6117845336099046E-2</v>
      </c>
      <c r="L80" s="1148">
        <f>M80/J80</f>
        <v>7.9181084198385238E-2</v>
      </c>
      <c r="M80" s="1177">
        <v>1373</v>
      </c>
      <c r="N80" s="1147">
        <v>1162</v>
      </c>
      <c r="O80" s="1150">
        <f>N80/M80</f>
        <v>0.8463219227967953</v>
      </c>
      <c r="P80" s="1169">
        <f t="shared" si="15"/>
        <v>270.90709395484339</v>
      </c>
      <c r="Q80" s="159">
        <f t="shared" si="16"/>
        <v>320.09934595524959</v>
      </c>
      <c r="R80" s="1177">
        <f>T78*N80</f>
        <v>224602.97999999998</v>
      </c>
      <c r="S80" s="421">
        <f t="shared" si="17"/>
        <v>0.60384378300798602</v>
      </c>
      <c r="T80" s="2459"/>
      <c r="U80" s="1151">
        <v>231</v>
      </c>
      <c r="V80" s="1147">
        <v>179</v>
      </c>
      <c r="W80" s="1170">
        <f>V80/U80</f>
        <v>0.77489177489177485</v>
      </c>
      <c r="X80" s="1171">
        <f t="shared" si="18"/>
        <v>1610.19670995671</v>
      </c>
      <c r="Y80" s="1172">
        <f t="shared" si="19"/>
        <v>2077.9633519553072</v>
      </c>
      <c r="Z80" s="1168">
        <f>AB80*V80</f>
        <v>103762.53024252593</v>
      </c>
      <c r="AA80" s="1173">
        <f t="shared" ref="AA80:AA82" si="20">Z80/E80</f>
        <v>0.27896494871139921</v>
      </c>
      <c r="AB80" s="838">
        <v>579.67893990237951</v>
      </c>
    </row>
    <row r="81" spans="2:28" ht="16.5" customHeight="1">
      <c r="B81" s="1963"/>
      <c r="C81" s="424" t="s">
        <v>504</v>
      </c>
      <c r="D81" s="1932"/>
      <c r="E81" s="1933">
        <f>F81+G81</f>
        <v>1387294.79</v>
      </c>
      <c r="F81" s="470">
        <f>SUM(F78:F80)</f>
        <v>790931.78</v>
      </c>
      <c r="G81" s="1934">
        <f>SUM(G78:G80)</f>
        <v>596363.01</v>
      </c>
      <c r="H81" s="1935">
        <f>SUM(H78:H80)</f>
        <v>1028223</v>
      </c>
      <c r="I81" s="430">
        <f t="shared" si="14"/>
        <v>1.3492158704872388</v>
      </c>
      <c r="J81" s="431">
        <f>SUM(J78:J80)</f>
        <v>82022</v>
      </c>
      <c r="K81" s="1282">
        <f>J81/H81</f>
        <v>7.9770633413179831E-2</v>
      </c>
      <c r="L81" s="432">
        <f>M81/J81</f>
        <v>0.10072907268781546</v>
      </c>
      <c r="M81" s="431">
        <f>SUM(M78:M80)</f>
        <v>8262</v>
      </c>
      <c r="N81" s="431">
        <f>SUM(N78:N80)</f>
        <v>6638</v>
      </c>
      <c r="O81" s="1936">
        <f>N81/M81</f>
        <v>0.80343742435245702</v>
      </c>
      <c r="P81" s="475">
        <f>E81/M81</f>
        <v>167.91270757685791</v>
      </c>
      <c r="Q81" s="475">
        <f t="shared" si="16"/>
        <v>208.99288791804761</v>
      </c>
      <c r="R81" s="431">
        <f>T78*N81</f>
        <v>1283059.02</v>
      </c>
      <c r="S81" s="434">
        <f>R81/E81</f>
        <v>0.92486400817521985</v>
      </c>
      <c r="T81" s="2459"/>
      <c r="U81" s="429">
        <f>SUM(U78:U80)</f>
        <v>850</v>
      </c>
      <c r="V81" s="431">
        <f>SUM(V78:V80)</f>
        <v>684</v>
      </c>
      <c r="W81" s="432">
        <f>V81/U81</f>
        <v>0.80470588235294116</v>
      </c>
      <c r="X81" s="477">
        <f t="shared" si="18"/>
        <v>1632.1115176470589</v>
      </c>
      <c r="Y81" s="477">
        <f t="shared" si="19"/>
        <v>2028.2087573099416</v>
      </c>
      <c r="Z81" s="431">
        <f>AB81*V81</f>
        <v>132210.35999999999</v>
      </c>
      <c r="AA81" s="436">
        <f t="shared" si="20"/>
        <v>9.5300840854451688E-2</v>
      </c>
      <c r="AB81" s="476">
        <f>T78</f>
        <v>193.29</v>
      </c>
    </row>
    <row r="82" spans="2:28" ht="16.5" customHeight="1">
      <c r="B82" s="1975"/>
      <c r="C82" s="1976" t="s">
        <v>480</v>
      </c>
      <c r="D82" s="1977"/>
      <c r="E82" s="1978">
        <f>E81</f>
        <v>1387294.79</v>
      </c>
      <c r="F82" s="1979">
        <f>F81</f>
        <v>790931.78</v>
      </c>
      <c r="G82" s="1980">
        <f>G81</f>
        <v>596363.01</v>
      </c>
      <c r="H82" s="1981">
        <v>1002232</v>
      </c>
      <c r="I82" s="1982">
        <f>E82/H82</f>
        <v>1.3842052438956249</v>
      </c>
      <c r="J82" s="1983">
        <v>77436</v>
      </c>
      <c r="K82" s="1984">
        <f>J82/H82</f>
        <v>7.7263547761396559E-2</v>
      </c>
      <c r="L82" s="1984">
        <f>M82/J82</f>
        <v>9.8455498734438762E-2</v>
      </c>
      <c r="M82" s="1983">
        <v>7624</v>
      </c>
      <c r="N82" s="1983">
        <v>6142</v>
      </c>
      <c r="O82" s="1985">
        <f>N82/M82</f>
        <v>0.80561385099685201</v>
      </c>
      <c r="P82" s="1986">
        <f>E82/M82</f>
        <v>181.96416448058761</v>
      </c>
      <c r="Q82" s="1986">
        <f t="shared" si="16"/>
        <v>225.87020351676978</v>
      </c>
      <c r="R82" s="1983">
        <f>T78*N82</f>
        <v>1187187.18</v>
      </c>
      <c r="S82" s="1987">
        <f>R82/E82</f>
        <v>0.8557569656842724</v>
      </c>
      <c r="T82" s="2460"/>
      <c r="U82" s="1988">
        <v>1264</v>
      </c>
      <c r="V82" s="1983">
        <v>986</v>
      </c>
      <c r="W82" s="1984">
        <f>V82/U82</f>
        <v>0.78006329113924056</v>
      </c>
      <c r="X82" s="1989">
        <f t="shared" si="18"/>
        <v>1097.5433465189874</v>
      </c>
      <c r="Y82" s="1989">
        <f>E82/V82</f>
        <v>1406.9926876267748</v>
      </c>
      <c r="Z82" s="1983">
        <f>AB82*V82</f>
        <v>190583.94</v>
      </c>
      <c r="AA82" s="1990">
        <f t="shared" si="20"/>
        <v>0.13737811269369793</v>
      </c>
      <c r="AB82" s="1991">
        <f>T78</f>
        <v>193.29</v>
      </c>
    </row>
    <row r="83" spans="2:28" ht="16.5" customHeight="1">
      <c r="B83" s="233"/>
      <c r="C83" s="232" t="s">
        <v>461</v>
      </c>
      <c r="D83" s="231" t="s">
        <v>462</v>
      </c>
      <c r="E83" s="1161" t="e">
        <f>F83+G83</f>
        <v>#VALUE!</v>
      </c>
      <c r="F83" s="231" t="s">
        <v>419</v>
      </c>
      <c r="G83" s="228">
        <f>SUM(G78:G79)+205710</f>
        <v>632363</v>
      </c>
      <c r="H83" s="452"/>
      <c r="I83" s="453"/>
      <c r="J83" s="457"/>
      <c r="K83" s="454"/>
      <c r="O83" s="455"/>
      <c r="P83" s="455"/>
      <c r="Q83" s="455"/>
      <c r="R83" s="455"/>
      <c r="S83" s="455"/>
      <c r="T83" s="456"/>
      <c r="U83" s="457" t="s">
        <v>682</v>
      </c>
    </row>
    <row r="84" spans="2:28" ht="16.5" customHeight="1">
      <c r="B84" s="227"/>
      <c r="C84" s="226" t="s">
        <v>463</v>
      </c>
      <c r="D84" s="225" t="s">
        <v>69</v>
      </c>
      <c r="E84" s="225" t="e">
        <f>E81/E83</f>
        <v>#VALUE!</v>
      </c>
      <c r="F84" s="608" t="e">
        <f>F81/F83</f>
        <v>#VALUE!</v>
      </c>
      <c r="G84" s="1162">
        <f>G81/G83</f>
        <v>0.94307068882904288</v>
      </c>
      <c r="K84" s="1163"/>
      <c r="L84" s="1163"/>
      <c r="P84" s="455"/>
      <c r="Q84" s="455"/>
      <c r="R84" s="455"/>
      <c r="S84" s="455"/>
      <c r="T84" s="456" t="s">
        <v>426</v>
      </c>
      <c r="U84" s="463"/>
      <c r="W84" s="455"/>
      <c r="AB84" s="461"/>
    </row>
    <row r="85" spans="2:28" ht="16.5" customHeight="1">
      <c r="B85" s="1155"/>
      <c r="T85" s="1121"/>
      <c r="U85" s="644"/>
      <c r="V85" s="644"/>
      <c r="W85" s="644"/>
      <c r="X85" s="644"/>
    </row>
    <row r="86" spans="2:28" ht="16.5" customHeight="1">
      <c r="B86" s="1155"/>
      <c r="T86" s="1121"/>
      <c r="U86" s="644"/>
      <c r="V86" s="644"/>
      <c r="W86" s="644"/>
      <c r="X86" s="644"/>
    </row>
    <row r="87" spans="2:28" ht="16.5" customHeight="1">
      <c r="B87" s="481" t="s">
        <v>427</v>
      </c>
      <c r="T87" s="1121"/>
      <c r="U87" s="644"/>
      <c r="V87" s="644"/>
      <c r="W87" s="644"/>
      <c r="X87" s="644"/>
    </row>
    <row r="88" spans="2:28">
      <c r="T88" s="1121"/>
      <c r="U88" s="644"/>
      <c r="V88" s="644"/>
      <c r="W88" s="644"/>
      <c r="X88" s="644"/>
    </row>
    <row r="89" spans="2:28" ht="16.5" customHeight="1">
      <c r="B89" s="2297" t="s">
        <v>467</v>
      </c>
      <c r="C89" s="2299" t="s">
        <v>674</v>
      </c>
      <c r="D89" s="2463" t="s">
        <v>30</v>
      </c>
      <c r="E89" s="2465" t="s">
        <v>470</v>
      </c>
      <c r="F89" s="2466"/>
      <c r="G89" s="2467"/>
      <c r="H89" s="2347" t="s">
        <v>28</v>
      </c>
      <c r="I89" s="2346"/>
      <c r="J89" s="2346"/>
      <c r="K89" s="2346"/>
      <c r="L89" s="2346"/>
      <c r="M89" s="2346"/>
      <c r="N89" s="2346"/>
      <c r="O89" s="2346"/>
      <c r="P89" s="2346"/>
      <c r="Q89" s="2346"/>
      <c r="R89" s="2346"/>
      <c r="S89" s="2346"/>
      <c r="T89" s="2346"/>
      <c r="U89" s="2349" t="s">
        <v>501</v>
      </c>
      <c r="V89" s="2350"/>
      <c r="W89" s="2350"/>
      <c r="X89" s="2350"/>
      <c r="Y89" s="2350"/>
      <c r="Z89" s="2350"/>
      <c r="AA89" s="2350"/>
      <c r="AB89" s="2351"/>
    </row>
    <row r="90" spans="2:28" ht="49.5">
      <c r="B90" s="2451"/>
      <c r="C90" s="2461"/>
      <c r="D90" s="2464"/>
      <c r="E90" s="1913" t="s">
        <v>471</v>
      </c>
      <c r="F90" s="1914" t="s">
        <v>675</v>
      </c>
      <c r="G90" s="1915" t="s">
        <v>473</v>
      </c>
      <c r="H90" s="1916" t="s">
        <v>474</v>
      </c>
      <c r="I90" s="1188" t="s">
        <v>653</v>
      </c>
      <c r="J90" s="1189" t="s">
        <v>676</v>
      </c>
      <c r="K90" s="1188" t="s">
        <v>654</v>
      </c>
      <c r="L90" s="1188" t="s">
        <v>655</v>
      </c>
      <c r="M90" s="837" t="s">
        <v>656</v>
      </c>
      <c r="N90" s="1188" t="s">
        <v>657</v>
      </c>
      <c r="O90" s="63" t="s">
        <v>658</v>
      </c>
      <c r="P90" s="1189" t="s">
        <v>659</v>
      </c>
      <c r="Q90" s="1188" t="s">
        <v>660</v>
      </c>
      <c r="R90" s="1188" t="s">
        <v>661</v>
      </c>
      <c r="S90" s="1188" t="s">
        <v>662</v>
      </c>
      <c r="T90" s="1917" t="s">
        <v>672</v>
      </c>
      <c r="U90" s="1918" t="s">
        <v>664</v>
      </c>
      <c r="V90" s="1189" t="s">
        <v>677</v>
      </c>
      <c r="W90" s="1192" t="s">
        <v>666</v>
      </c>
      <c r="X90" s="1192" t="s">
        <v>7</v>
      </c>
      <c r="Y90" s="1192" t="s">
        <v>6</v>
      </c>
      <c r="Z90" s="1192" t="s">
        <v>667</v>
      </c>
      <c r="AA90" s="1192" t="s">
        <v>668</v>
      </c>
      <c r="AB90" s="1193" t="s">
        <v>3</v>
      </c>
    </row>
    <row r="91" spans="2:28">
      <c r="B91" s="1953" t="s">
        <v>683</v>
      </c>
      <c r="C91" s="1919" t="s">
        <v>915</v>
      </c>
      <c r="D91" s="1971" t="s">
        <v>462</v>
      </c>
      <c r="E91" s="1143">
        <f>F91+G91</f>
        <v>271746.06</v>
      </c>
      <c r="F91" s="1972">
        <v>188463.06</v>
      </c>
      <c r="G91" s="1973">
        <v>83283</v>
      </c>
      <c r="H91" s="1956">
        <v>400481</v>
      </c>
      <c r="I91" s="1957">
        <f t="shared" ref="I91:I93" si="21">E91/H91</f>
        <v>0.67854919459350127</v>
      </c>
      <c r="J91" s="1923">
        <v>23820</v>
      </c>
      <c r="K91" s="1924">
        <f>J91/H91</f>
        <v>5.9478477131249673E-2</v>
      </c>
      <c r="L91" s="1958">
        <f>M91/J91</f>
        <v>5.9739714525608729E-2</v>
      </c>
      <c r="M91" s="1974">
        <v>1423</v>
      </c>
      <c r="N91" s="1959">
        <v>1186</v>
      </c>
      <c r="O91" s="1960">
        <f>N91/M91</f>
        <v>0.83345045678144769</v>
      </c>
      <c r="P91" s="1961">
        <f t="shared" ref="P91:P93" si="22">E91/M91</f>
        <v>190.96701335207308</v>
      </c>
      <c r="Q91" s="1959">
        <f t="shared" ref="Q91:Q94" si="23">E91/N91</f>
        <v>229.12821247892074</v>
      </c>
      <c r="R91" s="1927">
        <f>T91*N91</f>
        <v>207004.44</v>
      </c>
      <c r="S91" s="1962">
        <f t="shared" ref="S91:S92" si="24">R91/E91</f>
        <v>0.76175691378929289</v>
      </c>
      <c r="T91" s="2458">
        <v>174.54</v>
      </c>
      <c r="U91" s="1922">
        <v>211</v>
      </c>
      <c r="V91" s="1923">
        <v>203</v>
      </c>
      <c r="W91" s="1924">
        <f>V91/U91</f>
        <v>0.96208530805687209</v>
      </c>
      <c r="X91" s="1925">
        <f t="shared" ref="X91:X94" si="25">E91/U91</f>
        <v>1287.8960189573459</v>
      </c>
      <c r="Y91" s="1926">
        <f t="shared" ref="Y91:Y93" si="26">E91/V91</f>
        <v>1338.6505418719212</v>
      </c>
      <c r="Z91" s="1927">
        <f>AB91*V91</f>
        <v>84703.74861402539</v>
      </c>
      <c r="AA91" s="1928">
        <f>Z91/E91</f>
        <v>0.31170184625317249</v>
      </c>
      <c r="AB91" s="1929">
        <v>417.25984538928765</v>
      </c>
    </row>
    <row r="92" spans="2:28">
      <c r="B92" s="1140" t="s">
        <v>428</v>
      </c>
      <c r="C92" s="169" t="s">
        <v>916</v>
      </c>
      <c r="D92" s="1164" t="s">
        <v>462</v>
      </c>
      <c r="E92" s="1165">
        <f>F92+G92</f>
        <v>500261.45</v>
      </c>
      <c r="F92" s="1166">
        <v>156891.45000000001</v>
      </c>
      <c r="G92" s="1167">
        <v>343370</v>
      </c>
      <c r="H92" s="1160">
        <v>144683</v>
      </c>
      <c r="I92" s="415">
        <f t="shared" si="21"/>
        <v>3.4576380777285514</v>
      </c>
      <c r="J92" s="416">
        <v>10512</v>
      </c>
      <c r="K92" s="417">
        <f>J92/H92</f>
        <v>7.265539144198005E-2</v>
      </c>
      <c r="L92" s="1148">
        <f>M92/J92</f>
        <v>0.17142313546423135</v>
      </c>
      <c r="M92" s="1168">
        <v>1802</v>
      </c>
      <c r="N92" s="416">
        <v>1408</v>
      </c>
      <c r="O92" s="1150">
        <f>N92/M92</f>
        <v>0.78135405105438405</v>
      </c>
      <c r="P92" s="1169">
        <f t="shared" si="22"/>
        <v>277.61456714761374</v>
      </c>
      <c r="Q92" s="159">
        <f t="shared" si="23"/>
        <v>355.29932528409091</v>
      </c>
      <c r="R92" s="1168">
        <f>T91*N92</f>
        <v>245752.31999999998</v>
      </c>
      <c r="S92" s="421">
        <f t="shared" si="24"/>
        <v>0.49124776654287466</v>
      </c>
      <c r="T92" s="2459"/>
      <c r="U92" s="422">
        <v>89</v>
      </c>
      <c r="V92" s="416">
        <v>86</v>
      </c>
      <c r="W92" s="1170">
        <f>V92/U92</f>
        <v>0.9662921348314607</v>
      </c>
      <c r="X92" s="1171">
        <f t="shared" si="25"/>
        <v>5620.9151685393263</v>
      </c>
      <c r="Y92" s="1172">
        <f t="shared" si="26"/>
        <v>5816.993604651163</v>
      </c>
      <c r="Z92" s="1168">
        <f>AB92*V92</f>
        <v>55812.659076676027</v>
      </c>
      <c r="AA92" s="1173">
        <f t="shared" ref="AA92:AA94" si="27">Z92/E92</f>
        <v>0.11156697977962529</v>
      </c>
      <c r="AB92" s="656">
        <v>648.98440786832589</v>
      </c>
    </row>
    <row r="93" spans="2:28">
      <c r="B93" s="1963"/>
      <c r="C93" s="424" t="s">
        <v>504</v>
      </c>
      <c r="D93" s="1932"/>
      <c r="E93" s="1933">
        <f>F93+G93</f>
        <v>772007.51</v>
      </c>
      <c r="F93" s="470">
        <f>SUM(F91:F92)</f>
        <v>345354.51</v>
      </c>
      <c r="G93" s="1934">
        <f>SUM(G91:G92)</f>
        <v>426653</v>
      </c>
      <c r="H93" s="1935">
        <f>SUM(H91:H92)</f>
        <v>545164</v>
      </c>
      <c r="I93" s="430">
        <f t="shared" si="21"/>
        <v>1.416101411685291</v>
      </c>
      <c r="J93" s="431">
        <f>SUM(J91:J92)</f>
        <v>34332</v>
      </c>
      <c r="K93" s="1282">
        <f>J93/H93</f>
        <v>6.2975544973622621E-2</v>
      </c>
      <c r="L93" s="432">
        <f>M93/J93</f>
        <v>9.393568682278923E-2</v>
      </c>
      <c r="M93" s="431">
        <f>SUM(M91:M92)</f>
        <v>3225</v>
      </c>
      <c r="N93" s="431">
        <f>SUM(N91:N92)</f>
        <v>2594</v>
      </c>
      <c r="O93" s="1936">
        <f>N93/M93</f>
        <v>0.80434108527131787</v>
      </c>
      <c r="P93" s="475">
        <f t="shared" si="22"/>
        <v>239.38217364341085</v>
      </c>
      <c r="Q93" s="475">
        <f t="shared" si="23"/>
        <v>297.61276407093294</v>
      </c>
      <c r="R93" s="431">
        <f>T91*N93</f>
        <v>452756.75999999995</v>
      </c>
      <c r="S93" s="434">
        <f>R93/E93</f>
        <v>0.5864667819099324</v>
      </c>
      <c r="T93" s="2459"/>
      <c r="U93" s="429">
        <f>SUM(U91:U92)</f>
        <v>300</v>
      </c>
      <c r="V93" s="431">
        <f>SUM(V91:V92)</f>
        <v>289</v>
      </c>
      <c r="W93" s="432">
        <f>V93/U93</f>
        <v>0.96333333333333337</v>
      </c>
      <c r="X93" s="477">
        <f t="shared" si="25"/>
        <v>2573.3583666666668</v>
      </c>
      <c r="Y93" s="477">
        <f t="shared" si="26"/>
        <v>2671.3062629757787</v>
      </c>
      <c r="Z93" s="431">
        <f>AB93*V93</f>
        <v>50442.06</v>
      </c>
      <c r="AA93" s="436">
        <f t="shared" si="27"/>
        <v>6.5338820343859086E-2</v>
      </c>
      <c r="AB93" s="476">
        <f>T91</f>
        <v>174.54</v>
      </c>
    </row>
    <row r="94" spans="2:28">
      <c r="B94" s="1975"/>
      <c r="C94" s="1976" t="s">
        <v>480</v>
      </c>
      <c r="D94" s="1977"/>
      <c r="E94" s="1978">
        <f>E93</f>
        <v>772007.51</v>
      </c>
      <c r="F94" s="1979">
        <f>F93</f>
        <v>345354.51</v>
      </c>
      <c r="G94" s="1980">
        <f>G93</f>
        <v>426653</v>
      </c>
      <c r="H94" s="1981">
        <v>541246</v>
      </c>
      <c r="I94" s="1982">
        <f>E94/H94</f>
        <v>1.4263523610336151</v>
      </c>
      <c r="J94" s="1983">
        <v>33501</v>
      </c>
      <c r="K94" s="1984">
        <f>J94/H94</f>
        <v>6.1896069439774153E-2</v>
      </c>
      <c r="L94" s="1984">
        <f>M94/J94</f>
        <v>9.2236052655144618E-2</v>
      </c>
      <c r="M94" s="1983">
        <v>3090</v>
      </c>
      <c r="N94" s="1983">
        <v>2487</v>
      </c>
      <c r="O94" s="1985">
        <f>N94/M94</f>
        <v>0.80485436893203888</v>
      </c>
      <c r="P94" s="1986">
        <f>E94/M94</f>
        <v>249.84061812297736</v>
      </c>
      <c r="Q94" s="1986">
        <f t="shared" si="23"/>
        <v>310.41717330116609</v>
      </c>
      <c r="R94" s="1983">
        <f>T91*N94</f>
        <v>434080.98</v>
      </c>
      <c r="S94" s="1987">
        <f>R94/E94</f>
        <v>0.56227559237085656</v>
      </c>
      <c r="T94" s="2460"/>
      <c r="U94" s="1988">
        <v>356</v>
      </c>
      <c r="V94" s="1983">
        <v>281</v>
      </c>
      <c r="W94" s="1984">
        <f>V94/U94</f>
        <v>0.7893258426966292</v>
      </c>
      <c r="X94" s="1989">
        <f t="shared" si="25"/>
        <v>2168.5604213483148</v>
      </c>
      <c r="Y94" s="1989">
        <f>E94/V94</f>
        <v>2747.3576868327405</v>
      </c>
      <c r="Z94" s="1983">
        <f>AB94*V94</f>
        <v>49045.74</v>
      </c>
      <c r="AA94" s="1990">
        <f t="shared" si="27"/>
        <v>6.3530133275516973E-2</v>
      </c>
      <c r="AB94" s="1991">
        <f>T91</f>
        <v>174.54</v>
      </c>
    </row>
    <row r="95" spans="2:28">
      <c r="B95" s="233"/>
      <c r="C95" s="232" t="s">
        <v>461</v>
      </c>
      <c r="D95" s="231" t="s">
        <v>462</v>
      </c>
      <c r="E95" s="1161" t="e">
        <f>F95+G95</f>
        <v>#VALUE!</v>
      </c>
      <c r="F95" s="231" t="s">
        <v>429</v>
      </c>
      <c r="G95" s="228">
        <f>SUM(G91:G92)</f>
        <v>426653</v>
      </c>
      <c r="H95" s="452"/>
      <c r="I95" s="453"/>
      <c r="J95" s="457"/>
      <c r="K95" s="454"/>
      <c r="O95" s="455"/>
      <c r="P95" s="455"/>
      <c r="Q95" s="455"/>
      <c r="R95" s="455"/>
      <c r="S95" s="455"/>
      <c r="T95" s="456"/>
      <c r="U95" s="457" t="s">
        <v>682</v>
      </c>
    </row>
    <row r="96" spans="2:28">
      <c r="B96" s="227"/>
      <c r="C96" s="226" t="s">
        <v>463</v>
      </c>
      <c r="D96" s="225" t="s">
        <v>69</v>
      </c>
      <c r="E96" s="225" t="e">
        <f t="shared" ref="E96:F96" si="28">E93/E95</f>
        <v>#VALUE!</v>
      </c>
      <c r="F96" s="608" t="e">
        <f t="shared" si="28"/>
        <v>#VALUE!</v>
      </c>
      <c r="G96" s="1162">
        <f>G93/G95</f>
        <v>1</v>
      </c>
      <c r="P96" s="455"/>
      <c r="Q96" s="455"/>
      <c r="R96" s="455"/>
      <c r="S96" s="455"/>
      <c r="T96" s="456" t="s">
        <v>684</v>
      </c>
      <c r="U96" s="463"/>
      <c r="W96" s="455"/>
      <c r="AB96" s="461"/>
    </row>
    <row r="97" spans="1:29">
      <c r="B97" s="1152"/>
      <c r="F97" s="1129"/>
      <c r="G97" s="1129"/>
      <c r="H97" s="453"/>
      <c r="I97" s="452"/>
      <c r="K97" s="1153"/>
      <c r="L97" s="1153"/>
      <c r="N97" s="455"/>
      <c r="O97" s="455"/>
      <c r="P97" s="455"/>
      <c r="Q97" s="455"/>
      <c r="R97" s="455"/>
      <c r="S97" s="455"/>
      <c r="T97" s="1154"/>
      <c r="U97" s="1154"/>
      <c r="V97" s="1154"/>
      <c r="W97" s="1154"/>
      <c r="X97" s="1154"/>
      <c r="AB97" s="455"/>
    </row>
    <row r="99" spans="1:29">
      <c r="A99" s="1178"/>
      <c r="B99" s="481" t="s">
        <v>685</v>
      </c>
      <c r="C99" s="1179"/>
      <c r="D99" s="1179"/>
      <c r="E99" s="1180"/>
      <c r="F99" s="1180"/>
      <c r="G99" s="1181"/>
      <c r="H99" s="1182"/>
      <c r="I99" s="1182"/>
      <c r="J99" s="1182"/>
      <c r="K99" s="1182"/>
      <c r="L99" s="1182"/>
      <c r="M99" s="1182"/>
      <c r="N99" s="1182"/>
      <c r="O99" s="1182"/>
      <c r="P99" s="1182"/>
      <c r="Q99" s="1178"/>
      <c r="R99" s="1178"/>
      <c r="S99" s="1178"/>
      <c r="T99" s="1178"/>
      <c r="U99" s="1183"/>
      <c r="V99" s="1183"/>
      <c r="W99" s="1183"/>
      <c r="X99" s="1183"/>
      <c r="Y99" s="1183"/>
      <c r="Z99" s="1183"/>
      <c r="AA99" s="1184"/>
      <c r="AB99" s="1183"/>
      <c r="AC99" s="1183"/>
    </row>
    <row r="100" spans="1:29" s="453" customFormat="1">
      <c r="A100" s="1183"/>
      <c r="B100" s="1155"/>
      <c r="C100" s="1179"/>
      <c r="D100" s="1179"/>
      <c r="E100" s="1179"/>
      <c r="F100" s="1179"/>
      <c r="G100" s="1185"/>
      <c r="H100" s="1186"/>
      <c r="I100" s="1186"/>
      <c r="J100" s="1186"/>
      <c r="K100" s="1186"/>
      <c r="L100" s="1186"/>
      <c r="M100" s="1186"/>
      <c r="N100" s="1186"/>
      <c r="O100" s="1186"/>
      <c r="P100" s="1186"/>
      <c r="Q100" s="1183"/>
      <c r="R100" s="1183"/>
      <c r="S100" s="1183"/>
      <c r="T100" s="1183"/>
      <c r="U100" s="1183"/>
      <c r="V100" s="1183"/>
      <c r="W100" s="1183"/>
      <c r="X100" s="1183"/>
      <c r="Y100" s="1183"/>
      <c r="Z100" s="1183"/>
      <c r="AA100" s="1184"/>
      <c r="AB100" s="1183"/>
      <c r="AC100" s="1183"/>
    </row>
    <row r="101" spans="1:29" s="348" customFormat="1" ht="50.25" customHeight="1">
      <c r="B101" s="2297" t="s">
        <v>467</v>
      </c>
      <c r="C101" s="2299" t="s">
        <v>674</v>
      </c>
      <c r="D101" s="2342" t="s">
        <v>30</v>
      </c>
      <c r="E101" s="2344" t="s">
        <v>470</v>
      </c>
      <c r="F101" s="2302"/>
      <c r="G101" s="2302"/>
      <c r="H101" s="2346" t="s">
        <v>28</v>
      </c>
      <c r="I101" s="2346"/>
      <c r="J101" s="2346"/>
      <c r="K101" s="2346"/>
      <c r="L101" s="2346"/>
      <c r="M101" s="2346"/>
      <c r="N101" s="2346"/>
      <c r="O101" s="2346"/>
      <c r="P101" s="2346"/>
      <c r="Q101" s="2346"/>
      <c r="R101" s="2346"/>
      <c r="S101" s="2346"/>
      <c r="T101" s="2346"/>
      <c r="U101" s="2350" t="s">
        <v>501</v>
      </c>
      <c r="V101" s="2350"/>
      <c r="W101" s="2350"/>
      <c r="X101" s="2350"/>
      <c r="Y101" s="2350"/>
      <c r="Z101" s="2350"/>
      <c r="AA101" s="2350"/>
      <c r="AB101" s="2351"/>
    </row>
    <row r="102" spans="1:29" ht="50.25" customHeight="1">
      <c r="B102" s="2451"/>
      <c r="C102" s="2461"/>
      <c r="D102" s="2462"/>
      <c r="E102" s="1992" t="s">
        <v>471</v>
      </c>
      <c r="F102" s="1914" t="s">
        <v>675</v>
      </c>
      <c r="G102" s="1992" t="s">
        <v>473</v>
      </c>
      <c r="H102" s="1187" t="s">
        <v>474</v>
      </c>
      <c r="I102" s="1188" t="s">
        <v>653</v>
      </c>
      <c r="J102" s="1189" t="s">
        <v>21</v>
      </c>
      <c r="K102" s="1188" t="s">
        <v>654</v>
      </c>
      <c r="L102" s="1188" t="s">
        <v>655</v>
      </c>
      <c r="M102" s="837" t="s">
        <v>656</v>
      </c>
      <c r="N102" s="1188" t="s">
        <v>657</v>
      </c>
      <c r="O102" s="63" t="s">
        <v>658</v>
      </c>
      <c r="P102" s="1189" t="s">
        <v>659</v>
      </c>
      <c r="Q102" s="1188" t="s">
        <v>660</v>
      </c>
      <c r="R102" s="1188" t="s">
        <v>661</v>
      </c>
      <c r="S102" s="1188" t="s">
        <v>662</v>
      </c>
      <c r="T102" s="1190" t="s">
        <v>663</v>
      </c>
      <c r="U102" s="1191" t="s">
        <v>10</v>
      </c>
      <c r="V102" s="1189" t="s">
        <v>665</v>
      </c>
      <c r="W102" s="1192" t="s">
        <v>666</v>
      </c>
      <c r="X102" s="1192" t="s">
        <v>7</v>
      </c>
      <c r="Y102" s="1192" t="s">
        <v>6</v>
      </c>
      <c r="Z102" s="1192" t="s">
        <v>667</v>
      </c>
      <c r="AA102" s="1192" t="s">
        <v>668</v>
      </c>
      <c r="AB102" s="1193" t="s">
        <v>3</v>
      </c>
    </row>
    <row r="103" spans="1:29">
      <c r="B103" s="1953" t="s">
        <v>686</v>
      </c>
      <c r="C103" s="1919" t="s">
        <v>915</v>
      </c>
      <c r="D103" s="1993" t="s">
        <v>687</v>
      </c>
      <c r="E103" s="1994">
        <f>F103+G103</f>
        <v>1867932.4</v>
      </c>
      <c r="F103" s="1972">
        <v>716600.4</v>
      </c>
      <c r="G103" s="1995">
        <v>1151332</v>
      </c>
      <c r="H103" s="1996">
        <v>2836172</v>
      </c>
      <c r="I103" s="1957">
        <f t="shared" ref="I103:I105" si="29">E103/H103</f>
        <v>0.65861040867761189</v>
      </c>
      <c r="J103" s="1923">
        <v>139118</v>
      </c>
      <c r="K103" s="1924">
        <f>J103/H103</f>
        <v>4.9051326929396386E-2</v>
      </c>
      <c r="L103" s="1958">
        <f>M103/J103</f>
        <v>5.0870484049511923E-2</v>
      </c>
      <c r="M103" s="1974">
        <v>7077</v>
      </c>
      <c r="N103" s="1959">
        <v>5532</v>
      </c>
      <c r="O103" s="1960">
        <f>N103/M103</f>
        <v>0.78168715557439594</v>
      </c>
      <c r="P103" s="1961">
        <f t="shared" ref="P103:P105" si="30">E103/M103</f>
        <v>263.94410060760208</v>
      </c>
      <c r="Q103" s="1959">
        <f t="shared" ref="Q103:Q106" si="31">E103/N103</f>
        <v>337.65950831525669</v>
      </c>
      <c r="R103" s="1927">
        <f>T103*N103</f>
        <v>2185140</v>
      </c>
      <c r="S103" s="1962">
        <f t="shared" ref="S103:S104" si="32">R103/E103</f>
        <v>1.169817494466074</v>
      </c>
      <c r="T103" s="2449">
        <v>395</v>
      </c>
      <c r="U103" s="1997">
        <v>1029</v>
      </c>
      <c r="V103" s="1923">
        <v>830</v>
      </c>
      <c r="W103" s="1924">
        <f>V103/U103</f>
        <v>0.80660835762876582</v>
      </c>
      <c r="X103" s="1925">
        <f t="shared" ref="X103:X106" si="33">E103/U103</f>
        <v>1815.2890184645287</v>
      </c>
      <c r="Y103" s="1926">
        <f t="shared" ref="Y103:Y105" si="34">E103/V103</f>
        <v>2250.5209638554215</v>
      </c>
      <c r="Z103" s="1927">
        <f>AB103*V103</f>
        <v>383460</v>
      </c>
      <c r="AA103" s="1928">
        <f>Z103/E103</f>
        <v>0.20528580156326856</v>
      </c>
      <c r="AB103" s="1929">
        <v>462</v>
      </c>
    </row>
    <row r="104" spans="1:29">
      <c r="B104" s="1140" t="s">
        <v>688</v>
      </c>
      <c r="C104" s="169" t="s">
        <v>916</v>
      </c>
      <c r="D104" s="1998" t="s">
        <v>462</v>
      </c>
      <c r="E104" s="1999">
        <f>F104+G104</f>
        <v>401041.56</v>
      </c>
      <c r="F104" s="1175">
        <v>57671.56</v>
      </c>
      <c r="G104" s="1197">
        <v>343370</v>
      </c>
      <c r="H104" s="1198">
        <v>39892</v>
      </c>
      <c r="I104" s="415">
        <f t="shared" si="29"/>
        <v>10.053182593001102</v>
      </c>
      <c r="J104" s="1147">
        <v>814</v>
      </c>
      <c r="K104" s="417">
        <f>J104/H104</f>
        <v>2.0405093753133461E-2</v>
      </c>
      <c r="L104" s="1148">
        <f>M104/J104</f>
        <v>5.6511056511056514E-2</v>
      </c>
      <c r="M104" s="1177">
        <v>46</v>
      </c>
      <c r="N104" s="1147">
        <v>39</v>
      </c>
      <c r="O104" s="1150">
        <f>N104/M104</f>
        <v>0.84782608695652173</v>
      </c>
      <c r="P104" s="1169">
        <f t="shared" si="30"/>
        <v>8718.2947826086947</v>
      </c>
      <c r="Q104" s="159">
        <f t="shared" si="31"/>
        <v>10283.116923076923</v>
      </c>
      <c r="R104" s="1168">
        <f>T103*N104</f>
        <v>15405</v>
      </c>
      <c r="S104" s="421">
        <f t="shared" si="32"/>
        <v>3.8412477749188885E-2</v>
      </c>
      <c r="T104" s="2447"/>
      <c r="U104" s="1199">
        <v>27</v>
      </c>
      <c r="V104" s="1147">
        <v>27</v>
      </c>
      <c r="W104" s="1170">
        <f>V104/U104</f>
        <v>1</v>
      </c>
      <c r="X104" s="1171">
        <f t="shared" si="33"/>
        <v>14853.39111111111</v>
      </c>
      <c r="Y104" s="1172">
        <f t="shared" si="34"/>
        <v>14853.39111111111</v>
      </c>
      <c r="Z104" s="1168">
        <f>AB104*V104</f>
        <v>19052.826987060998</v>
      </c>
      <c r="AA104" s="1173">
        <f t="shared" ref="AA104:AA106" si="35">Z104/E104</f>
        <v>4.7508360447882259E-2</v>
      </c>
      <c r="AB104" s="838">
        <v>705.660258780037</v>
      </c>
    </row>
    <row r="105" spans="1:29">
      <c r="B105" s="1963"/>
      <c r="C105" s="424" t="s">
        <v>504</v>
      </c>
      <c r="D105" s="425"/>
      <c r="E105" s="2000">
        <f>F105+G105</f>
        <v>2268973.96</v>
      </c>
      <c r="F105" s="470">
        <f>SUM(F103:F104)</f>
        <v>774271.96</v>
      </c>
      <c r="G105" s="2001">
        <f>SUM(G103:G104)</f>
        <v>1494702</v>
      </c>
      <c r="H105" s="429">
        <f>SUM(H103:H104)</f>
        <v>2876064</v>
      </c>
      <c r="I105" s="430">
        <f t="shared" si="29"/>
        <v>0.78891636625610551</v>
      </c>
      <c r="J105" s="431">
        <f>SUM(J103:J104)</f>
        <v>139932</v>
      </c>
      <c r="K105" s="1282">
        <f>J105/H105</f>
        <v>4.8653993791515068E-2</v>
      </c>
      <c r="L105" s="432">
        <f>M105/J105</f>
        <v>5.0903295886573476E-2</v>
      </c>
      <c r="M105" s="431">
        <f>SUM(M103:M104)</f>
        <v>7123</v>
      </c>
      <c r="N105" s="431">
        <f>SUM(N103:N104)</f>
        <v>5571</v>
      </c>
      <c r="O105" s="1936">
        <f>N105/M105</f>
        <v>0.78211427769198372</v>
      </c>
      <c r="P105" s="475">
        <f t="shared" si="30"/>
        <v>318.54190088445881</v>
      </c>
      <c r="Q105" s="475">
        <f t="shared" si="31"/>
        <v>407.28306587686234</v>
      </c>
      <c r="R105" s="431">
        <f>T103*N105</f>
        <v>2200545</v>
      </c>
      <c r="S105" s="434">
        <f>R105/E105</f>
        <v>0.9698414520367612</v>
      </c>
      <c r="T105" s="2447"/>
      <c r="U105" s="429">
        <f>SUM(U103:U104)</f>
        <v>1056</v>
      </c>
      <c r="V105" s="431">
        <f>SUM(V103:V104)</f>
        <v>857</v>
      </c>
      <c r="W105" s="432">
        <f>V105/U105</f>
        <v>0.81155303030303028</v>
      </c>
      <c r="X105" s="477">
        <f t="shared" si="33"/>
        <v>2148.6495833333333</v>
      </c>
      <c r="Y105" s="477">
        <f t="shared" si="34"/>
        <v>2647.5775495915987</v>
      </c>
      <c r="Z105" s="431">
        <f>AB105*V105</f>
        <v>338515</v>
      </c>
      <c r="AA105" s="436">
        <f t="shared" si="35"/>
        <v>0.14919298589041541</v>
      </c>
      <c r="AB105" s="476">
        <f>T103</f>
        <v>395</v>
      </c>
    </row>
    <row r="106" spans="1:29">
      <c r="A106" s="1178"/>
      <c r="B106" s="2002"/>
      <c r="C106" s="2003" t="s">
        <v>480</v>
      </c>
      <c r="D106" s="2004"/>
      <c r="E106" s="2005">
        <f>E105</f>
        <v>2268973.96</v>
      </c>
      <c r="F106" s="2006">
        <f>F105</f>
        <v>774271.96</v>
      </c>
      <c r="G106" s="2006">
        <f>G105</f>
        <v>1494702</v>
      </c>
      <c r="H106" s="2007">
        <v>2867258</v>
      </c>
      <c r="I106" s="2008">
        <f>E106/H106</f>
        <v>0.79133930744983538</v>
      </c>
      <c r="J106" s="2007">
        <v>133299</v>
      </c>
      <c r="K106" s="2009">
        <f>J106/H106</f>
        <v>4.6490061236205464E-2</v>
      </c>
      <c r="L106" s="2009">
        <f>M106/J106</f>
        <v>5.3466267563897704E-2</v>
      </c>
      <c r="M106" s="2007">
        <v>7127</v>
      </c>
      <c r="N106" s="2007">
        <v>5559</v>
      </c>
      <c r="O106" s="2010">
        <f>N106/M106</f>
        <v>0.77999158131050939</v>
      </c>
      <c r="P106" s="2011">
        <f>E106/M106</f>
        <v>318.3631205275712</v>
      </c>
      <c r="Q106" s="2011">
        <f t="shared" si="31"/>
        <v>408.16225220363373</v>
      </c>
      <c r="R106" s="2007">
        <f>T103*N106</f>
        <v>2195805</v>
      </c>
      <c r="S106" s="2012">
        <f>R106/E106</f>
        <v>0.96775240205929913</v>
      </c>
      <c r="T106" s="2448"/>
      <c r="U106" s="2007">
        <v>1067</v>
      </c>
      <c r="V106" s="2007">
        <v>845</v>
      </c>
      <c r="W106" s="2009">
        <f>V106/U106</f>
        <v>0.79194001874414244</v>
      </c>
      <c r="X106" s="2013">
        <f t="shared" si="33"/>
        <v>2126.4985567010308</v>
      </c>
      <c r="Y106" s="2013">
        <f>E106/V106</f>
        <v>2685.1762840236688</v>
      </c>
      <c r="Z106" s="2007">
        <f>AB106*V106</f>
        <v>333775</v>
      </c>
      <c r="AA106" s="2014">
        <f t="shared" si="35"/>
        <v>0.14710393591295337</v>
      </c>
      <c r="AB106" s="2015">
        <f>T103</f>
        <v>395</v>
      </c>
      <c r="AC106" s="1178"/>
    </row>
    <row r="107" spans="1:29" s="453" customFormat="1">
      <c r="A107" s="1183"/>
      <c r="B107" s="1200"/>
      <c r="C107" s="1201"/>
      <c r="D107" s="1201"/>
      <c r="E107" s="1202"/>
      <c r="F107" s="1203"/>
      <c r="G107" s="1203"/>
      <c r="H107" s="1204"/>
      <c r="I107" s="1205"/>
      <c r="J107" s="1204"/>
      <c r="K107" s="1206"/>
      <c r="L107" s="1206"/>
      <c r="M107" s="1204"/>
      <c r="N107" s="1204"/>
      <c r="O107" s="1207"/>
      <c r="P107" s="1208"/>
      <c r="Q107" s="1208"/>
      <c r="R107" s="1204"/>
      <c r="S107" s="1209"/>
      <c r="T107" s="1210"/>
      <c r="U107" s="1204"/>
      <c r="V107" s="1204"/>
      <c r="W107" s="1206"/>
      <c r="X107" s="1211"/>
      <c r="Y107" s="1211"/>
      <c r="Z107" s="1204"/>
      <c r="AA107" s="1212"/>
      <c r="AB107" s="1204"/>
      <c r="AC107" s="1183"/>
    </row>
    <row r="108" spans="1:29" s="453" customFormat="1">
      <c r="A108" s="1183"/>
      <c r="B108" s="1200"/>
      <c r="C108" s="1201"/>
      <c r="D108" s="1201"/>
      <c r="E108" s="1202"/>
      <c r="F108" s="1203"/>
      <c r="G108" s="1203"/>
      <c r="H108" s="1204"/>
      <c r="I108" s="1205"/>
      <c r="J108" s="1204"/>
      <c r="K108" s="1206"/>
      <c r="L108" s="1206"/>
      <c r="M108" s="1204"/>
      <c r="N108" s="1204"/>
      <c r="O108" s="1207"/>
      <c r="P108" s="1208"/>
      <c r="Q108" s="1208"/>
      <c r="R108" s="1204"/>
      <c r="S108" s="1209"/>
      <c r="T108" s="1210"/>
      <c r="U108" s="1204"/>
      <c r="V108" s="1204"/>
      <c r="W108" s="1206"/>
      <c r="X108" s="1211"/>
      <c r="Y108" s="1211"/>
      <c r="Z108" s="1204"/>
      <c r="AA108" s="1212"/>
      <c r="AB108" s="1204"/>
      <c r="AC108" s="1183"/>
    </row>
    <row r="109" spans="1:29">
      <c r="A109" s="1178"/>
      <c r="B109" s="481" t="s">
        <v>689</v>
      </c>
      <c r="C109" s="1179"/>
      <c r="D109" s="1179"/>
      <c r="E109" s="1180"/>
      <c r="F109" s="1180"/>
      <c r="G109" s="1181"/>
      <c r="H109" s="1182"/>
      <c r="I109" s="1182"/>
      <c r="J109" s="1182"/>
      <c r="K109" s="1182"/>
      <c r="L109" s="1182"/>
      <c r="M109" s="1182"/>
      <c r="N109" s="1182"/>
      <c r="O109" s="1182"/>
      <c r="P109" s="1182"/>
      <c r="Q109" s="1178"/>
      <c r="R109" s="1178"/>
      <c r="S109" s="1178"/>
      <c r="T109" s="1178"/>
      <c r="U109" s="1183"/>
      <c r="V109" s="1183"/>
      <c r="W109" s="1183"/>
      <c r="X109" s="1183"/>
      <c r="Y109" s="1183"/>
      <c r="Z109" s="1183"/>
      <c r="AA109" s="1184"/>
      <c r="AB109" s="1183"/>
      <c r="AC109" s="1183"/>
    </row>
    <row r="110" spans="1:29" s="453" customFormat="1">
      <c r="A110" s="1183"/>
      <c r="B110" s="1155"/>
      <c r="C110" s="1179"/>
      <c r="D110" s="1179"/>
      <c r="E110" s="1179"/>
      <c r="F110" s="1179"/>
      <c r="G110" s="1185"/>
      <c r="H110" s="1186"/>
      <c r="I110" s="1186"/>
      <c r="J110" s="1186"/>
      <c r="K110" s="1186"/>
      <c r="L110" s="1186"/>
      <c r="M110" s="1186"/>
      <c r="N110" s="1186"/>
      <c r="O110" s="1186"/>
      <c r="P110" s="1186"/>
      <c r="Q110" s="1183"/>
      <c r="R110" s="1183"/>
      <c r="S110" s="1183"/>
      <c r="T110" s="1183"/>
      <c r="U110" s="1183"/>
      <c r="V110" s="1183"/>
      <c r="W110" s="1183"/>
      <c r="X110" s="1183"/>
      <c r="Y110" s="1183"/>
      <c r="Z110" s="1183"/>
      <c r="AA110" s="1184"/>
      <c r="AB110" s="1183"/>
      <c r="AC110" s="1183"/>
    </row>
    <row r="111" spans="1:29" s="1213" customFormat="1">
      <c r="B111" s="2297" t="s">
        <v>467</v>
      </c>
      <c r="C111" s="2452" t="s">
        <v>674</v>
      </c>
      <c r="D111" s="2444" t="s">
        <v>30</v>
      </c>
      <c r="E111" s="2455" t="s">
        <v>470</v>
      </c>
      <c r="F111" s="2439"/>
      <c r="G111" s="2439"/>
      <c r="H111" s="2446" t="s">
        <v>28</v>
      </c>
      <c r="I111" s="2446"/>
      <c r="J111" s="2446"/>
      <c r="K111" s="2446"/>
      <c r="L111" s="2446"/>
      <c r="M111" s="2446"/>
      <c r="N111" s="2446"/>
      <c r="O111" s="2446"/>
      <c r="P111" s="2446"/>
      <c r="Q111" s="2446"/>
      <c r="R111" s="2446"/>
      <c r="S111" s="2446"/>
      <c r="T111" s="2456"/>
      <c r="U111" s="2457" t="s">
        <v>501</v>
      </c>
      <c r="V111" s="2442"/>
      <c r="W111" s="2442"/>
      <c r="X111" s="2442"/>
      <c r="Y111" s="2442"/>
      <c r="Z111" s="2442"/>
      <c r="AA111" s="2442"/>
      <c r="AB111" s="2443"/>
    </row>
    <row r="112" spans="1:29" ht="49.5">
      <c r="A112" s="1178"/>
      <c r="B112" s="2451"/>
      <c r="C112" s="2453"/>
      <c r="D112" s="2454"/>
      <c r="E112" s="2016" t="s">
        <v>471</v>
      </c>
      <c r="F112" s="2017" t="s">
        <v>675</v>
      </c>
      <c r="G112" s="2016" t="s">
        <v>473</v>
      </c>
      <c r="H112" s="1216" t="s">
        <v>474</v>
      </c>
      <c r="I112" s="1217" t="s">
        <v>653</v>
      </c>
      <c r="J112" s="1218" t="s">
        <v>21</v>
      </c>
      <c r="K112" s="1217" t="s">
        <v>654</v>
      </c>
      <c r="L112" s="1217" t="s">
        <v>655</v>
      </c>
      <c r="M112" s="1219" t="s">
        <v>656</v>
      </c>
      <c r="N112" s="1217" t="s">
        <v>657</v>
      </c>
      <c r="O112" s="1220" t="s">
        <v>658</v>
      </c>
      <c r="P112" s="1218" t="s">
        <v>659</v>
      </c>
      <c r="Q112" s="1217" t="s">
        <v>660</v>
      </c>
      <c r="R112" s="1217" t="s">
        <v>661</v>
      </c>
      <c r="S112" s="1217" t="s">
        <v>662</v>
      </c>
      <c r="T112" s="1221" t="s">
        <v>663</v>
      </c>
      <c r="U112" s="1222" t="s">
        <v>10</v>
      </c>
      <c r="V112" s="1218" t="s">
        <v>665</v>
      </c>
      <c r="W112" s="1223" t="s">
        <v>666</v>
      </c>
      <c r="X112" s="1223" t="s">
        <v>7</v>
      </c>
      <c r="Y112" s="1223" t="s">
        <v>6</v>
      </c>
      <c r="Z112" s="1223" t="s">
        <v>667</v>
      </c>
      <c r="AA112" s="1223" t="s">
        <v>668</v>
      </c>
      <c r="AB112" s="1224" t="s">
        <v>3</v>
      </c>
      <c r="AC112" s="1178"/>
    </row>
    <row r="113" spans="1:29">
      <c r="A113" s="1178"/>
      <c r="B113" s="1953" t="s">
        <v>690</v>
      </c>
      <c r="C113" s="2018" t="s">
        <v>917</v>
      </c>
      <c r="D113" s="1993" t="s">
        <v>691</v>
      </c>
      <c r="E113" s="2019">
        <f>F113+G113</f>
        <v>1122515.54</v>
      </c>
      <c r="F113" s="2020">
        <v>622515.54</v>
      </c>
      <c r="G113" s="2021">
        <f>250000*2</f>
        <v>500000</v>
      </c>
      <c r="H113" s="2022">
        <v>1160399</v>
      </c>
      <c r="I113" s="2023">
        <f>E113/H113</f>
        <v>0.96735307424429018</v>
      </c>
      <c r="J113" s="2024">
        <v>46904</v>
      </c>
      <c r="K113" s="2025">
        <f>J113/H113</f>
        <v>4.0420579473095034E-2</v>
      </c>
      <c r="L113" s="2026">
        <f>M113/J113</f>
        <v>8.4214565921882992E-2</v>
      </c>
      <c r="M113" s="1974">
        <v>3950</v>
      </c>
      <c r="N113" s="2027">
        <v>3020</v>
      </c>
      <c r="O113" s="2028">
        <f>N113/M113</f>
        <v>0.76455696202531642</v>
      </c>
      <c r="P113" s="2029">
        <f>E113/M113</f>
        <v>284.18114936708861</v>
      </c>
      <c r="Q113" s="2027">
        <f>E113/N113</f>
        <v>371.69388741721855</v>
      </c>
      <c r="R113" s="1974">
        <f>T113*N113</f>
        <v>1026800</v>
      </c>
      <c r="S113" s="2030">
        <f>R113/E113</f>
        <v>0.91473121164986271</v>
      </c>
      <c r="T113" s="2449">
        <v>340</v>
      </c>
      <c r="U113" s="2031">
        <v>482</v>
      </c>
      <c r="V113" s="2024">
        <v>352</v>
      </c>
      <c r="W113" s="2025">
        <f>V113/U113</f>
        <v>0.73029045643153523</v>
      </c>
      <c r="X113" s="2032">
        <f>E113/U113</f>
        <v>2328.8704149377595</v>
      </c>
      <c r="Y113" s="2033">
        <f>E113/V113</f>
        <v>3188.9646022727275</v>
      </c>
      <c r="Z113" s="1974">
        <f>AB113*V113</f>
        <v>172238.69232685963</v>
      </c>
      <c r="AA113" s="2034">
        <f>Z113/E113</f>
        <v>0.15343991792475284</v>
      </c>
      <c r="AB113" s="2035">
        <v>489.31446683766944</v>
      </c>
      <c r="AC113" s="1178"/>
    </row>
    <row r="114" spans="1:29">
      <c r="A114" s="1178"/>
      <c r="B114" s="1140" t="s">
        <v>689</v>
      </c>
      <c r="C114" s="1225" t="s">
        <v>913</v>
      </c>
      <c r="D114" s="2036" t="s">
        <v>692</v>
      </c>
      <c r="E114" s="1999">
        <f>F114+G114</f>
        <v>1743535.79</v>
      </c>
      <c r="F114" s="1235">
        <v>946535.79</v>
      </c>
      <c r="G114" s="1236">
        <f>615000+160000+22000</f>
        <v>797000</v>
      </c>
      <c r="H114" s="1237">
        <v>2249931</v>
      </c>
      <c r="I114" s="1228">
        <f>E114/H114</f>
        <v>0.77492856003139654</v>
      </c>
      <c r="J114" s="1238">
        <v>145248</v>
      </c>
      <c r="K114" s="1170">
        <f>J114/H114</f>
        <v>6.4556646403823054E-2</v>
      </c>
      <c r="L114" s="1230">
        <f>M114/J114</f>
        <v>7.624201365939634E-2</v>
      </c>
      <c r="M114" s="1177">
        <v>11074</v>
      </c>
      <c r="N114" s="1238">
        <v>9065</v>
      </c>
      <c r="O114" s="1232">
        <f>N114/M114</f>
        <v>0.81858407079646023</v>
      </c>
      <c r="P114" s="1169">
        <f>E114/M114</f>
        <v>157.44408434170128</v>
      </c>
      <c r="Q114" s="1231">
        <f>E114/N114</f>
        <v>192.33709762824049</v>
      </c>
      <c r="R114" s="1168">
        <f>T113*N114</f>
        <v>3082100</v>
      </c>
      <c r="S114" s="1233">
        <f>R114/E114</f>
        <v>1.7677297005758625</v>
      </c>
      <c r="T114" s="2449"/>
      <c r="U114" s="1239">
        <v>1603</v>
      </c>
      <c r="V114" s="1238">
        <v>1349</v>
      </c>
      <c r="W114" s="1170">
        <f>V114/U114</f>
        <v>0.8415470991890206</v>
      </c>
      <c r="X114" s="1171">
        <f>E114/U114</f>
        <v>1087.6704865876482</v>
      </c>
      <c r="Y114" s="1172">
        <f>E114/V114</f>
        <v>1292.4653743513713</v>
      </c>
      <c r="Z114" s="1168">
        <f>AB114*V114</f>
        <v>611097</v>
      </c>
      <c r="AA114" s="1173">
        <f>Z114/E114</f>
        <v>0.35049294858466884</v>
      </c>
      <c r="AB114" s="1240">
        <v>453</v>
      </c>
      <c r="AC114" s="1178"/>
    </row>
    <row r="115" spans="1:29">
      <c r="A115" s="1178"/>
      <c r="B115" s="1963"/>
      <c r="C115" s="2037" t="s">
        <v>504</v>
      </c>
      <c r="D115" s="1275"/>
      <c r="E115" s="2038">
        <f>F115+G115</f>
        <v>2866051.33</v>
      </c>
      <c r="F115" s="1277">
        <f>SUM(F113:F114)</f>
        <v>1569051.33</v>
      </c>
      <c r="G115" s="2039">
        <f>SUM(G113:G114)</f>
        <v>1297000</v>
      </c>
      <c r="H115" s="1279">
        <f>SUM(H113:H114)</f>
        <v>3410330</v>
      </c>
      <c r="I115" s="1280">
        <f>E115/H115</f>
        <v>0.84040293168109836</v>
      </c>
      <c r="J115" s="1281">
        <f>SUM(J113:J114)</f>
        <v>192152</v>
      </c>
      <c r="K115" s="1282">
        <f>J115/H115</f>
        <v>5.634410746174124E-2</v>
      </c>
      <c r="L115" s="1282">
        <f>M115/J115</f>
        <v>7.8188101086639747E-2</v>
      </c>
      <c r="M115" s="1281">
        <f>SUM(M113:M114)</f>
        <v>15024</v>
      </c>
      <c r="N115" s="1281">
        <f>SUM(N113:N114)</f>
        <v>12085</v>
      </c>
      <c r="O115" s="1283">
        <f>N115/M115</f>
        <v>0.80437965921192756</v>
      </c>
      <c r="P115" s="1284">
        <f>E115/M115</f>
        <v>190.76486488285411</v>
      </c>
      <c r="Q115" s="1284">
        <f>E115/N115</f>
        <v>237.15774348365744</v>
      </c>
      <c r="R115" s="1281">
        <f>T113*N115</f>
        <v>4108900</v>
      </c>
      <c r="S115" s="1285">
        <f>R115/E115</f>
        <v>1.4336449445237256</v>
      </c>
      <c r="T115" s="2449"/>
      <c r="U115" s="1279">
        <f>SUM(U113:U114)</f>
        <v>2085</v>
      </c>
      <c r="V115" s="1281">
        <f>SUM(V113:V114)</f>
        <v>1701</v>
      </c>
      <c r="W115" s="1282">
        <f>V115/U115</f>
        <v>0.81582733812949637</v>
      </c>
      <c r="X115" s="1287">
        <f>E115/U115</f>
        <v>1374.604954436451</v>
      </c>
      <c r="Y115" s="1287">
        <f>E115/V115</f>
        <v>1684.9214168136391</v>
      </c>
      <c r="Z115" s="1281">
        <f>AB115*V115</f>
        <v>578340</v>
      </c>
      <c r="AA115" s="1288">
        <f>Z115/E115</f>
        <v>0.20178982628339737</v>
      </c>
      <c r="AB115" s="1286">
        <f>T113</f>
        <v>340</v>
      </c>
      <c r="AC115" s="1178"/>
    </row>
    <row r="116" spans="1:29">
      <c r="A116" s="1178"/>
      <c r="B116" s="2002"/>
      <c r="C116" s="2003" t="s">
        <v>480</v>
      </c>
      <c r="D116" s="2004"/>
      <c r="E116" s="2005">
        <f>E115</f>
        <v>2866051.33</v>
      </c>
      <c r="F116" s="2006">
        <f>F115</f>
        <v>1569051.33</v>
      </c>
      <c r="G116" s="2006">
        <f>G115</f>
        <v>1297000</v>
      </c>
      <c r="H116" s="2007">
        <v>3298943</v>
      </c>
      <c r="I116" s="2008">
        <f>E116/H116</f>
        <v>0.86877867547271959</v>
      </c>
      <c r="J116" s="2007">
        <v>200532</v>
      </c>
      <c r="K116" s="2009">
        <f>J116/H116</f>
        <v>6.0786742905227523E-2</v>
      </c>
      <c r="L116" s="2009">
        <f>M116/J116</f>
        <v>7.9024794047832761E-2</v>
      </c>
      <c r="M116" s="2007">
        <v>15847</v>
      </c>
      <c r="N116" s="2007">
        <v>12876</v>
      </c>
      <c r="O116" s="2010">
        <f>N116/M116</f>
        <v>0.8125197198207863</v>
      </c>
      <c r="P116" s="2011">
        <f>E116/M116</f>
        <v>180.85765949391052</v>
      </c>
      <c r="Q116" s="2011">
        <f>E116/N116</f>
        <v>222.58864010562286</v>
      </c>
      <c r="R116" s="2007">
        <f>T113*N116</f>
        <v>4377840</v>
      </c>
      <c r="S116" s="2012">
        <f>R116/E116</f>
        <v>1.5274813657995441</v>
      </c>
      <c r="T116" s="2450"/>
      <c r="U116" s="2007">
        <v>2468</v>
      </c>
      <c r="V116" s="2007">
        <v>1976</v>
      </c>
      <c r="W116" s="2009">
        <f>V116/U116</f>
        <v>0.80064829821717987</v>
      </c>
      <c r="X116" s="2013">
        <f>E116/U116</f>
        <v>1161.2849797406807</v>
      </c>
      <c r="Y116" s="2013">
        <f>E116/V116</f>
        <v>1450.430835020243</v>
      </c>
      <c r="Z116" s="2007">
        <f>AB116*V116</f>
        <v>671840</v>
      </c>
      <c r="AA116" s="2014">
        <f>Z116/E116</f>
        <v>0.2344131080164569</v>
      </c>
      <c r="AB116" s="2015">
        <f>T113</f>
        <v>340</v>
      </c>
      <c r="AC116" s="1178"/>
    </row>
    <row r="117" spans="1:29" s="453" customFormat="1">
      <c r="A117" s="1183"/>
      <c r="B117" s="1155"/>
      <c r="C117" s="1179"/>
      <c r="D117" s="1179"/>
      <c r="E117" s="1179"/>
      <c r="F117" s="1179"/>
      <c r="G117" s="1185"/>
      <c r="H117" s="1186"/>
      <c r="I117" s="1186"/>
      <c r="J117" s="457" t="s">
        <v>682</v>
      </c>
      <c r="K117" s="1186"/>
      <c r="L117" s="1186"/>
      <c r="M117" s="1186"/>
      <c r="N117" s="1186"/>
      <c r="O117" s="1186"/>
      <c r="P117" s="1186"/>
      <c r="Q117" s="1183"/>
      <c r="R117" s="1183"/>
      <c r="S117" s="1183"/>
      <c r="T117" s="1183"/>
      <c r="U117" s="457" t="s">
        <v>682</v>
      </c>
      <c r="V117" s="1183"/>
      <c r="W117" s="1183"/>
      <c r="X117" s="1183"/>
      <c r="Y117" s="1183"/>
      <c r="Z117" s="1183"/>
      <c r="AA117" s="1184"/>
      <c r="AB117" s="1183"/>
      <c r="AC117" s="1183"/>
    </row>
    <row r="118" spans="1:29" s="453" customFormat="1">
      <c r="A118" s="1183"/>
      <c r="B118" s="1155"/>
      <c r="C118" s="1179"/>
      <c r="D118" s="1179"/>
      <c r="E118" s="1179"/>
      <c r="F118" s="1179"/>
      <c r="G118" s="1185"/>
      <c r="H118" s="1186"/>
      <c r="I118" s="1186"/>
      <c r="J118" s="1186"/>
      <c r="K118" s="1186"/>
      <c r="L118" s="1186"/>
      <c r="M118" s="1186"/>
      <c r="N118" s="1186"/>
      <c r="O118" s="1186"/>
      <c r="P118" s="1186"/>
      <c r="Q118" s="1183"/>
      <c r="R118" s="1183"/>
      <c r="S118" s="1183"/>
      <c r="T118" s="1183"/>
      <c r="U118" s="1183"/>
      <c r="V118" s="1183"/>
      <c r="W118" s="1183"/>
      <c r="X118" s="1183"/>
      <c r="Y118" s="1183"/>
      <c r="Z118" s="1183"/>
      <c r="AA118" s="1184"/>
      <c r="AB118" s="1183"/>
      <c r="AC118" s="1183"/>
    </row>
    <row r="119" spans="1:29" s="453" customFormat="1">
      <c r="A119" s="1183"/>
      <c r="B119" s="481" t="s">
        <v>693</v>
      </c>
      <c r="C119" s="1179"/>
      <c r="D119" s="1179"/>
      <c r="E119" s="1179"/>
      <c r="F119" s="1179"/>
      <c r="G119" s="1185"/>
      <c r="H119" s="1186"/>
      <c r="I119" s="1186"/>
      <c r="J119" s="1186"/>
      <c r="K119" s="1186"/>
      <c r="L119" s="1186"/>
      <c r="M119" s="1186"/>
      <c r="N119" s="1186"/>
      <c r="O119" s="1186"/>
      <c r="P119" s="1186"/>
      <c r="Q119" s="1183"/>
      <c r="R119" s="1183"/>
      <c r="S119" s="1183"/>
      <c r="T119" s="1183"/>
      <c r="U119" s="1183"/>
      <c r="V119" s="1183"/>
      <c r="W119" s="1183"/>
      <c r="X119" s="1183"/>
      <c r="Y119" s="1183"/>
      <c r="Z119" s="1183"/>
      <c r="AA119" s="1184"/>
      <c r="AB119" s="1183"/>
      <c r="AC119" s="1183"/>
    </row>
    <row r="120" spans="1:29" s="1241" customFormat="1" ht="14"/>
    <row r="121" spans="1:29" s="453" customFormat="1">
      <c r="A121" s="1183"/>
      <c r="B121" s="2297" t="s">
        <v>467</v>
      </c>
      <c r="C121" s="2299" t="s">
        <v>674</v>
      </c>
      <c r="D121" s="2342" t="s">
        <v>30</v>
      </c>
      <c r="E121" s="2344" t="s">
        <v>470</v>
      </c>
      <c r="F121" s="2302"/>
      <c r="G121" s="2302"/>
      <c r="H121" s="2346" t="s">
        <v>28</v>
      </c>
      <c r="I121" s="2346"/>
      <c r="J121" s="2346"/>
      <c r="K121" s="2346"/>
      <c r="L121" s="2346"/>
      <c r="M121" s="2346"/>
      <c r="N121" s="2346"/>
      <c r="O121" s="2346"/>
      <c r="P121" s="2346"/>
      <c r="Q121" s="2346"/>
      <c r="R121" s="2346"/>
      <c r="S121" s="2346"/>
      <c r="T121" s="2346"/>
      <c r="U121" s="2350" t="s">
        <v>501</v>
      </c>
      <c r="V121" s="2350"/>
      <c r="W121" s="2350"/>
      <c r="X121" s="2350"/>
      <c r="Y121" s="2350"/>
      <c r="Z121" s="2350"/>
      <c r="AA121" s="2350"/>
      <c r="AB121" s="2350"/>
      <c r="AC121" s="1183"/>
    </row>
    <row r="122" spans="1:29" s="1213" customFormat="1" ht="49.5">
      <c r="B122" s="2297"/>
      <c r="C122" s="2299"/>
      <c r="D122" s="2342"/>
      <c r="E122" s="602" t="s">
        <v>471</v>
      </c>
      <c r="F122" s="178" t="s">
        <v>675</v>
      </c>
      <c r="G122" s="602" t="s">
        <v>473</v>
      </c>
      <c r="H122" s="1187" t="s">
        <v>474</v>
      </c>
      <c r="I122" s="1188" t="s">
        <v>653</v>
      </c>
      <c r="J122" s="1189" t="s">
        <v>21</v>
      </c>
      <c r="K122" s="1188" t="s">
        <v>654</v>
      </c>
      <c r="L122" s="1188" t="s">
        <v>655</v>
      </c>
      <c r="M122" s="837" t="s">
        <v>656</v>
      </c>
      <c r="N122" s="1188" t="s">
        <v>657</v>
      </c>
      <c r="O122" s="63" t="s">
        <v>658</v>
      </c>
      <c r="P122" s="1189" t="s">
        <v>659</v>
      </c>
      <c r="Q122" s="1188" t="s">
        <v>660</v>
      </c>
      <c r="R122" s="1188" t="s">
        <v>661</v>
      </c>
      <c r="S122" s="1188" t="s">
        <v>662</v>
      </c>
      <c r="T122" s="1190" t="s">
        <v>663</v>
      </c>
      <c r="U122" s="1191" t="s">
        <v>10</v>
      </c>
      <c r="V122" s="1189" t="s">
        <v>665</v>
      </c>
      <c r="W122" s="1192" t="s">
        <v>666</v>
      </c>
      <c r="X122" s="1192" t="s">
        <v>7</v>
      </c>
      <c r="Y122" s="1192" t="s">
        <v>6</v>
      </c>
      <c r="Z122" s="1192" t="s">
        <v>667</v>
      </c>
      <c r="AA122" s="1192" t="s">
        <v>668</v>
      </c>
      <c r="AB122" s="1193" t="s">
        <v>3</v>
      </c>
    </row>
    <row r="123" spans="1:29">
      <c r="A123" s="1178"/>
      <c r="B123" s="1140" t="s">
        <v>694</v>
      </c>
      <c r="C123" s="169" t="s">
        <v>917</v>
      </c>
      <c r="D123" s="1998" t="s">
        <v>691</v>
      </c>
      <c r="E123" s="2040">
        <f>F123+G123</f>
        <v>497896.83</v>
      </c>
      <c r="F123" s="465">
        <v>97896.83</v>
      </c>
      <c r="G123" s="183">
        <v>400000</v>
      </c>
      <c r="H123" s="1194">
        <v>1076458</v>
      </c>
      <c r="I123" s="415">
        <f>E123/H123</f>
        <v>0.46253251868628409</v>
      </c>
      <c r="J123" s="416">
        <v>47301</v>
      </c>
      <c r="K123" s="417">
        <f>J123/H123</f>
        <v>4.3941333521605119E-2</v>
      </c>
      <c r="L123" s="1148">
        <f>M123/J123</f>
        <v>8.8158812710090698E-2</v>
      </c>
      <c r="M123" s="1168">
        <v>4170</v>
      </c>
      <c r="N123" s="159">
        <v>3236</v>
      </c>
      <c r="O123" s="1150">
        <f>N123/M123</f>
        <v>0.77601918465227815</v>
      </c>
      <c r="P123" s="163">
        <f>E123/M123</f>
        <v>119.39971942446043</v>
      </c>
      <c r="Q123" s="159">
        <f>E123/N123</f>
        <v>153.86181396786156</v>
      </c>
      <c r="R123" s="155">
        <f>N123*T123</f>
        <v>1040778.5</v>
      </c>
      <c r="S123" s="421">
        <f>R123/E123</f>
        <v>2.0903497216481575</v>
      </c>
      <c r="T123" s="2447">
        <v>321.625</v>
      </c>
      <c r="U123" s="1195">
        <v>442</v>
      </c>
      <c r="V123" s="416">
        <v>322</v>
      </c>
      <c r="W123" s="417">
        <f>V123/U123</f>
        <v>0.72850678733031671</v>
      </c>
      <c r="X123" s="157">
        <f>E123/U123</f>
        <v>1126.4634162895927</v>
      </c>
      <c r="Y123" s="156">
        <f>E123/V123</f>
        <v>1546.263447204969</v>
      </c>
      <c r="Z123" s="155">
        <f>V123*AB123</f>
        <v>156529.25704430163</v>
      </c>
      <c r="AA123" s="423">
        <f>Z123/E123</f>
        <v>0.31438090707326177</v>
      </c>
      <c r="AB123" s="656">
        <v>486.11570510652683</v>
      </c>
      <c r="AC123" s="1178"/>
    </row>
    <row r="124" spans="1:29">
      <c r="A124" s="1178"/>
      <c r="B124" s="1140" t="s">
        <v>695</v>
      </c>
      <c r="C124" s="169" t="s">
        <v>913</v>
      </c>
      <c r="D124" s="2036" t="s">
        <v>692</v>
      </c>
      <c r="E124" s="1999">
        <f>F124+G124</f>
        <v>1199924.3700000001</v>
      </c>
      <c r="F124" s="1242">
        <v>424924.37</v>
      </c>
      <c r="G124" s="1197">
        <v>775000</v>
      </c>
      <c r="H124" s="1198">
        <v>2210389</v>
      </c>
      <c r="I124" s="415">
        <f>E124/H124</f>
        <v>0.5428566510238696</v>
      </c>
      <c r="J124" s="1147">
        <v>139050</v>
      </c>
      <c r="K124" s="417">
        <f>J124/H124</f>
        <v>6.2907479181266282E-2</v>
      </c>
      <c r="L124" s="1148">
        <f>M124/J124</f>
        <v>7.5203164329377917E-2</v>
      </c>
      <c r="M124" s="1177">
        <v>10457</v>
      </c>
      <c r="N124" s="1147">
        <v>8619</v>
      </c>
      <c r="O124" s="1150">
        <f>N124/M124</f>
        <v>0.82423257148321694</v>
      </c>
      <c r="P124" s="1169">
        <f>E124/M124</f>
        <v>114.74843358515828</v>
      </c>
      <c r="Q124" s="159">
        <f>E124/N124</f>
        <v>139.21851374869476</v>
      </c>
      <c r="R124" s="155">
        <f>N124*T123</f>
        <v>2772085.875</v>
      </c>
      <c r="S124" s="421">
        <f>R124/E124</f>
        <v>2.3102171639367568</v>
      </c>
      <c r="T124" s="2447"/>
      <c r="U124" s="1199">
        <v>1478</v>
      </c>
      <c r="V124" s="1147">
        <v>1254</v>
      </c>
      <c r="W124" s="1243">
        <f>V124/U124</f>
        <v>0.84844384303112319</v>
      </c>
      <c r="X124" s="1171">
        <f>E124/U124</f>
        <v>811.85681326116378</v>
      </c>
      <c r="Y124" s="1172">
        <f>E124/V124</f>
        <v>956.87748803827765</v>
      </c>
      <c r="Z124" s="1168">
        <f>V124*AB124</f>
        <v>566196.84664251201</v>
      </c>
      <c r="AA124" s="1173">
        <f>Z124/E124</f>
        <v>0.47186044453994375</v>
      </c>
      <c r="AB124" s="838">
        <v>451.51263687600641</v>
      </c>
      <c r="AC124" s="1178"/>
    </row>
    <row r="125" spans="1:29">
      <c r="A125" s="1178"/>
      <c r="B125" s="1963"/>
      <c r="C125" s="424" t="s">
        <v>504</v>
      </c>
      <c r="D125" s="425"/>
      <c r="E125" s="2000">
        <f>F125+G125</f>
        <v>1697821.2</v>
      </c>
      <c r="F125" s="470">
        <f>SUM(F123:F124)</f>
        <v>522821.2</v>
      </c>
      <c r="G125" s="2001">
        <f>SUM(G123:G124)</f>
        <v>1175000</v>
      </c>
      <c r="H125" s="429">
        <f>SUM(H123:H124)</f>
        <v>3286847</v>
      </c>
      <c r="I125" s="430">
        <f>E125/H125</f>
        <v>0.5165501162664401</v>
      </c>
      <c r="J125" s="431">
        <f>SUM(J123:J124)</f>
        <v>186351</v>
      </c>
      <c r="K125" s="432">
        <f>J125/H125</f>
        <v>5.669597641752111E-2</v>
      </c>
      <c r="L125" s="432">
        <f>M125/J125</f>
        <v>7.8491663581091595E-2</v>
      </c>
      <c r="M125" s="431">
        <f>SUM(M123:M124)</f>
        <v>14627</v>
      </c>
      <c r="N125" s="431">
        <f>SUM(N123:N124)</f>
        <v>11855</v>
      </c>
      <c r="O125" s="1936">
        <f>N125/M125</f>
        <v>0.81048745470704864</v>
      </c>
      <c r="P125" s="475">
        <f>E125/M125</f>
        <v>116.07446503042318</v>
      </c>
      <c r="Q125" s="475">
        <f>E125/N125</f>
        <v>143.21562210037959</v>
      </c>
      <c r="R125" s="431">
        <f>N125*T123</f>
        <v>3812864.375</v>
      </c>
      <c r="S125" s="434">
        <f>R125/E125</f>
        <v>2.2457396426667309</v>
      </c>
      <c r="T125" s="2447"/>
      <c r="U125" s="429">
        <f>SUM(U123:U124)</f>
        <v>1920</v>
      </c>
      <c r="V125" s="431">
        <f>SUM(V123:V124)</f>
        <v>1576</v>
      </c>
      <c r="W125" s="432">
        <f>V125/U125</f>
        <v>0.8208333333333333</v>
      </c>
      <c r="X125" s="477">
        <f>E125/U125</f>
        <v>884.28187500000001</v>
      </c>
      <c r="Y125" s="477">
        <f>E125/V125</f>
        <v>1077.2977157360406</v>
      </c>
      <c r="Z125" s="431">
        <f>V125*AB125</f>
        <v>506881</v>
      </c>
      <c r="AA125" s="436">
        <f>Z125/E125</f>
        <v>0.29854792719044859</v>
      </c>
      <c r="AB125" s="476">
        <f>T123</f>
        <v>321.625</v>
      </c>
      <c r="AC125" s="1178"/>
    </row>
    <row r="126" spans="1:29" s="453" customFormat="1">
      <c r="A126" s="1183"/>
      <c r="B126" s="2002"/>
      <c r="C126" s="2003" t="s">
        <v>480</v>
      </c>
      <c r="D126" s="2004"/>
      <c r="E126" s="2005">
        <f>E125</f>
        <v>1697821.2</v>
      </c>
      <c r="F126" s="2006">
        <f>F125</f>
        <v>522821.2</v>
      </c>
      <c r="G126" s="2006">
        <f>G125</f>
        <v>1175000</v>
      </c>
      <c r="H126" s="2007">
        <v>3183342</v>
      </c>
      <c r="I126" s="2008">
        <f>E126/H126</f>
        <v>0.53334552178182548</v>
      </c>
      <c r="J126" s="2007">
        <v>187971</v>
      </c>
      <c r="K126" s="2009">
        <f>J126/H126</f>
        <v>5.9048320915566097E-2</v>
      </c>
      <c r="L126" s="2009">
        <f>M126/J126</f>
        <v>7.9203706954796213E-2</v>
      </c>
      <c r="M126" s="2007">
        <v>14888</v>
      </c>
      <c r="N126" s="2007">
        <v>12158</v>
      </c>
      <c r="O126" s="2010">
        <f>N126/M126</f>
        <v>0.81663084363245564</v>
      </c>
      <c r="P126" s="2011">
        <f>E126/M126</f>
        <v>114.03957549704459</v>
      </c>
      <c r="Q126" s="2011">
        <f>E126/N126</f>
        <v>139.64642210889949</v>
      </c>
      <c r="R126" s="2007">
        <f>N126*T123</f>
        <v>3910316.75</v>
      </c>
      <c r="S126" s="2012">
        <f>R126/E126</f>
        <v>2.3031381337445898</v>
      </c>
      <c r="T126" s="2448"/>
      <c r="U126" s="2007">
        <v>2213</v>
      </c>
      <c r="V126" s="2007">
        <v>1781</v>
      </c>
      <c r="W126" s="2009">
        <f>V126/U126</f>
        <v>0.80478987799367374</v>
      </c>
      <c r="X126" s="2013">
        <f>E126/U126</f>
        <v>767.20343425214639</v>
      </c>
      <c r="Y126" s="2013">
        <f>E126/V126</f>
        <v>953.29657495788877</v>
      </c>
      <c r="Z126" s="2007">
        <f>V126*AB126</f>
        <v>572814.125</v>
      </c>
      <c r="AA126" s="2014">
        <f>Z126/E126</f>
        <v>0.3373818898008813</v>
      </c>
      <c r="AB126" s="2015">
        <f>AB125</f>
        <v>321.625</v>
      </c>
      <c r="AC126" s="1183"/>
    </row>
    <row r="127" spans="1:29" s="1241" customFormat="1" ht="14.5">
      <c r="J127" s="457" t="s">
        <v>682</v>
      </c>
      <c r="U127" s="457" t="s">
        <v>682</v>
      </c>
    </row>
    <row r="128" spans="1:29" s="1241" customFormat="1" ht="14"/>
    <row r="129" spans="1:29" s="1241" customFormat="1" ht="14.5">
      <c r="B129" s="481" t="s">
        <v>696</v>
      </c>
    </row>
    <row r="130" spans="1:29" s="453" customFormat="1">
      <c r="A130" s="1183"/>
      <c r="B130" s="1155"/>
      <c r="C130" s="1179"/>
      <c r="D130" s="1179"/>
      <c r="E130" s="1179"/>
      <c r="F130" s="1179"/>
      <c r="G130" s="1185"/>
      <c r="H130" s="1186"/>
      <c r="I130" s="1186"/>
      <c r="J130" s="1186"/>
      <c r="K130" s="1186"/>
      <c r="L130" s="1186"/>
      <c r="M130" s="1186"/>
      <c r="N130" s="1186"/>
      <c r="O130" s="1186"/>
      <c r="P130" s="1186"/>
      <c r="Q130" s="1183"/>
      <c r="R130" s="1183"/>
      <c r="S130" s="1183"/>
      <c r="T130" s="1183"/>
      <c r="U130" s="1183"/>
      <c r="V130" s="1183"/>
      <c r="W130" s="1183"/>
      <c r="X130" s="1183"/>
      <c r="Y130" s="1183"/>
      <c r="Z130" s="1183"/>
      <c r="AA130" s="1184"/>
      <c r="AB130" s="1183"/>
      <c r="AC130" s="1183"/>
    </row>
    <row r="131" spans="1:29">
      <c r="A131" s="1178"/>
      <c r="B131" s="2435" t="s">
        <v>467</v>
      </c>
      <c r="C131" s="2436" t="s">
        <v>674</v>
      </c>
      <c r="D131" s="2444" t="s">
        <v>30</v>
      </c>
      <c r="E131" s="2438" t="s">
        <v>470</v>
      </c>
      <c r="F131" s="2439"/>
      <c r="G131" s="2440"/>
      <c r="H131" s="2446" t="s">
        <v>28</v>
      </c>
      <c r="I131" s="2446"/>
      <c r="J131" s="2446"/>
      <c r="K131" s="2446"/>
      <c r="L131" s="2446"/>
      <c r="M131" s="2446"/>
      <c r="N131" s="2446"/>
      <c r="O131" s="2446"/>
      <c r="P131" s="2446"/>
      <c r="Q131" s="2446"/>
      <c r="R131" s="2446"/>
      <c r="S131" s="2446"/>
      <c r="T131" s="2446"/>
      <c r="U131" s="2442" t="s">
        <v>501</v>
      </c>
      <c r="V131" s="2442"/>
      <c r="W131" s="2442"/>
      <c r="X131" s="2442"/>
      <c r="Y131" s="2442"/>
      <c r="Z131" s="2442"/>
      <c r="AA131" s="2442"/>
      <c r="AB131" s="2443"/>
      <c r="AC131" s="1183"/>
    </row>
    <row r="132" spans="1:29" s="1183" customFormat="1" ht="49.5">
      <c r="B132" s="2435"/>
      <c r="C132" s="2437"/>
      <c r="D132" s="2445"/>
      <c r="E132" s="1214" t="s">
        <v>471</v>
      </c>
      <c r="F132" s="1215" t="s">
        <v>675</v>
      </c>
      <c r="G132" s="1244" t="s">
        <v>473</v>
      </c>
      <c r="H132" s="1216" t="s">
        <v>474</v>
      </c>
      <c r="I132" s="1217" t="s">
        <v>653</v>
      </c>
      <c r="J132" s="1218" t="s">
        <v>21</v>
      </c>
      <c r="K132" s="1217" t="s">
        <v>654</v>
      </c>
      <c r="L132" s="1217" t="s">
        <v>655</v>
      </c>
      <c r="M132" s="1219" t="s">
        <v>656</v>
      </c>
      <c r="N132" s="1217" t="s">
        <v>657</v>
      </c>
      <c r="O132" s="1220" t="s">
        <v>658</v>
      </c>
      <c r="P132" s="1218" t="s">
        <v>659</v>
      </c>
      <c r="Q132" s="1217" t="s">
        <v>660</v>
      </c>
      <c r="R132" s="1217" t="s">
        <v>661</v>
      </c>
      <c r="S132" s="1217" t="s">
        <v>662</v>
      </c>
      <c r="T132" s="1221" t="s">
        <v>663</v>
      </c>
      <c r="U132" s="1245" t="s">
        <v>10</v>
      </c>
      <c r="V132" s="1218" t="s">
        <v>665</v>
      </c>
      <c r="W132" s="1223" t="s">
        <v>666</v>
      </c>
      <c r="X132" s="1223" t="s">
        <v>7</v>
      </c>
      <c r="Y132" s="1223" t="s">
        <v>6</v>
      </c>
      <c r="Z132" s="1223" t="s">
        <v>667</v>
      </c>
      <c r="AA132" s="1223" t="s">
        <v>668</v>
      </c>
      <c r="AB132" s="1224" t="s">
        <v>3</v>
      </c>
    </row>
    <row r="133" spans="1:29" s="1213" customFormat="1">
      <c r="B133" s="1246" t="s">
        <v>430</v>
      </c>
      <c r="C133" s="1247" t="s">
        <v>913</v>
      </c>
      <c r="D133" s="1248" t="s">
        <v>431</v>
      </c>
      <c r="E133" s="1196">
        <v>950051.98</v>
      </c>
      <c r="F133" s="1226">
        <v>265765.98</v>
      </c>
      <c r="G133" s="1249">
        <v>684286</v>
      </c>
      <c r="H133" s="1227">
        <v>1780281</v>
      </c>
      <c r="I133" s="1228">
        <v>0.53365282222300858</v>
      </c>
      <c r="J133" s="1229">
        <v>55888</v>
      </c>
      <c r="K133" s="1170">
        <v>3.1392796979802629E-2</v>
      </c>
      <c r="L133" s="1230">
        <v>5.8098339536215286E-2</v>
      </c>
      <c r="M133" s="1168">
        <v>3247</v>
      </c>
      <c r="N133" s="1231">
        <v>2671</v>
      </c>
      <c r="O133" s="1232">
        <v>0.82260548198336925</v>
      </c>
      <c r="P133" s="1169">
        <v>292.59377271327378</v>
      </c>
      <c r="Q133" s="1231">
        <v>355.69149382253835</v>
      </c>
      <c r="R133" s="1168">
        <v>873897.78</v>
      </c>
      <c r="S133" s="1233">
        <v>0.91984207011494257</v>
      </c>
      <c r="T133" s="1250">
        <v>327.18</v>
      </c>
      <c r="U133" s="1251">
        <v>551</v>
      </c>
      <c r="V133" s="1229">
        <v>493</v>
      </c>
      <c r="W133" s="1170">
        <v>0.89473684210526316</v>
      </c>
      <c r="X133" s="1171">
        <v>1724.2322686025409</v>
      </c>
      <c r="Y133" s="1172">
        <v>1927.0831237322516</v>
      </c>
      <c r="Z133" s="1168">
        <v>215526.58107650807</v>
      </c>
      <c r="AA133" s="1173">
        <v>0.22685767264703566</v>
      </c>
      <c r="AB133" s="1234">
        <v>437.17359244727805</v>
      </c>
    </row>
    <row r="134" spans="1:29">
      <c r="A134" s="1178"/>
      <c r="B134" s="1252"/>
      <c r="C134" s="1253" t="s">
        <v>0</v>
      </c>
      <c r="D134" s="1254"/>
      <c r="E134" s="1255">
        <v>950051.98</v>
      </c>
      <c r="F134" s="1256">
        <v>265765.98</v>
      </c>
      <c r="G134" s="1257">
        <v>684286</v>
      </c>
      <c r="H134" s="1258">
        <v>1780281</v>
      </c>
      <c r="I134" s="1259">
        <v>0.53365282222300858</v>
      </c>
      <c r="J134" s="1260">
        <v>55888</v>
      </c>
      <c r="K134" s="1261">
        <v>3.1392796979802629E-2</v>
      </c>
      <c r="L134" s="1261">
        <v>5.8098339536215286E-2</v>
      </c>
      <c r="M134" s="1260">
        <v>3247</v>
      </c>
      <c r="N134" s="1260">
        <v>2671</v>
      </c>
      <c r="O134" s="1262">
        <v>0.82260548198336925</v>
      </c>
      <c r="P134" s="1263">
        <v>292.59377271327378</v>
      </c>
      <c r="Q134" s="1263">
        <v>355.69149382253835</v>
      </c>
      <c r="R134" s="1260">
        <v>873897.78</v>
      </c>
      <c r="S134" s="1264">
        <v>0.91984207011494257</v>
      </c>
      <c r="T134" s="1265">
        <v>327.18</v>
      </c>
      <c r="U134" s="1258">
        <v>551</v>
      </c>
      <c r="V134" s="1260">
        <v>493</v>
      </c>
      <c r="W134" s="1261">
        <v>0.89473684210526316</v>
      </c>
      <c r="X134" s="1266">
        <v>1724.2322686025409</v>
      </c>
      <c r="Y134" s="1266">
        <v>1927.0831237322516</v>
      </c>
      <c r="Z134" s="1260">
        <v>215526.58107650807</v>
      </c>
      <c r="AA134" s="1267">
        <v>0.22685767264703566</v>
      </c>
      <c r="AB134" s="1265">
        <v>437.17359244727805</v>
      </c>
      <c r="AC134" s="1178"/>
    </row>
    <row r="135" spans="1:29">
      <c r="A135" s="1178"/>
      <c r="B135" s="1200"/>
      <c r="C135" s="1201"/>
      <c r="D135" s="1201"/>
      <c r="E135" s="1202"/>
      <c r="F135" s="1203"/>
      <c r="G135" s="1203"/>
      <c r="H135" s="1204"/>
      <c r="I135" s="1205"/>
      <c r="J135" s="1204"/>
      <c r="K135" s="1206"/>
      <c r="L135" s="1206"/>
      <c r="M135" s="1204"/>
      <c r="N135" s="1204"/>
      <c r="O135" s="1207"/>
      <c r="P135" s="1208"/>
      <c r="Q135" s="1208"/>
      <c r="R135" s="1204"/>
      <c r="S135" s="1209"/>
      <c r="T135" s="1204"/>
      <c r="U135" s="1204"/>
      <c r="V135" s="1204"/>
      <c r="W135" s="1206"/>
      <c r="X135" s="1211"/>
      <c r="Y135" s="1211"/>
      <c r="Z135" s="1204"/>
      <c r="AA135" s="1212"/>
      <c r="AB135" s="1204"/>
      <c r="AC135" s="1178"/>
    </row>
    <row r="136" spans="1:29">
      <c r="A136" s="1178"/>
      <c r="B136" s="1200"/>
      <c r="C136" s="1201"/>
      <c r="D136" s="1201"/>
      <c r="E136" s="1202"/>
      <c r="F136" s="1203"/>
      <c r="G136" s="1203"/>
      <c r="H136" s="1204"/>
      <c r="I136" s="1205"/>
      <c r="J136" s="1204"/>
      <c r="K136" s="1206"/>
      <c r="L136" s="1206"/>
      <c r="M136" s="1204"/>
      <c r="N136" s="1204"/>
      <c r="O136" s="1207"/>
      <c r="P136" s="1208"/>
      <c r="Q136" s="1208"/>
      <c r="R136" s="1204"/>
      <c r="S136" s="1209"/>
      <c r="T136" s="1204"/>
      <c r="U136" s="1204"/>
      <c r="V136" s="1204"/>
      <c r="W136" s="1206"/>
      <c r="X136" s="1211"/>
      <c r="Y136" s="1211"/>
      <c r="Z136" s="1204"/>
      <c r="AA136" s="1212"/>
      <c r="AB136" s="1204"/>
      <c r="AC136" s="1178"/>
    </row>
    <row r="137" spans="1:29">
      <c r="A137" s="1178"/>
      <c r="B137" s="481" t="s">
        <v>510</v>
      </c>
      <c r="C137" s="1179"/>
      <c r="D137" s="1179"/>
      <c r="E137" s="1180"/>
      <c r="F137" s="1180"/>
      <c r="G137" s="1181"/>
      <c r="H137" s="1182"/>
      <c r="I137" s="1182"/>
      <c r="J137" s="1182"/>
      <c r="K137" s="1182"/>
      <c r="L137" s="1182"/>
      <c r="M137" s="1182"/>
      <c r="N137" s="1182"/>
      <c r="O137" s="1182"/>
      <c r="P137" s="1182"/>
      <c r="Q137" s="1178"/>
      <c r="R137" s="1178"/>
      <c r="S137" s="1178"/>
      <c r="T137" s="1178"/>
      <c r="U137" s="1183"/>
      <c r="V137" s="1183"/>
      <c r="W137" s="1183"/>
      <c r="X137" s="1183"/>
      <c r="Y137" s="1183"/>
      <c r="Z137" s="1183"/>
      <c r="AA137" s="1184"/>
      <c r="AB137" s="1268"/>
      <c r="AC137" s="1178"/>
    </row>
    <row r="138" spans="1:29">
      <c r="A138" s="1178"/>
      <c r="B138" s="1155"/>
      <c r="C138" s="1179"/>
      <c r="D138" s="1179"/>
      <c r="E138" s="1179"/>
      <c r="F138" s="1179"/>
      <c r="G138" s="1185"/>
      <c r="H138" s="1186"/>
      <c r="I138" s="1186"/>
      <c r="J138" s="1186"/>
      <c r="K138" s="1186"/>
      <c r="L138" s="1186"/>
      <c r="M138" s="1186"/>
      <c r="N138" s="1186"/>
      <c r="O138" s="1186"/>
      <c r="P138" s="1186"/>
      <c r="Q138" s="1183"/>
      <c r="R138" s="1183"/>
      <c r="S138" s="1183"/>
      <c r="T138" s="1183"/>
      <c r="U138" s="1183"/>
      <c r="V138" s="1183"/>
      <c r="W138" s="1183"/>
      <c r="X138" s="1183"/>
      <c r="Y138" s="1183"/>
      <c r="Z138" s="1183"/>
      <c r="AA138" s="1184"/>
      <c r="AB138" s="1268"/>
      <c r="AC138" s="1178"/>
    </row>
    <row r="139" spans="1:29" s="1213" customFormat="1">
      <c r="B139" s="2435" t="s">
        <v>467</v>
      </c>
      <c r="C139" s="2436" t="s">
        <v>674</v>
      </c>
      <c r="D139" s="2444" t="s">
        <v>30</v>
      </c>
      <c r="E139" s="2438" t="s">
        <v>470</v>
      </c>
      <c r="F139" s="2439"/>
      <c r="G139" s="2440"/>
      <c r="H139" s="2446" t="s">
        <v>28</v>
      </c>
      <c r="I139" s="2446"/>
      <c r="J139" s="2446"/>
      <c r="K139" s="2446"/>
      <c r="L139" s="2446"/>
      <c r="M139" s="2446"/>
      <c r="N139" s="2446"/>
      <c r="O139" s="2446"/>
      <c r="P139" s="2446"/>
      <c r="Q139" s="2446"/>
      <c r="R139" s="2446"/>
      <c r="S139" s="2446"/>
      <c r="T139" s="2446"/>
      <c r="U139" s="2442" t="s">
        <v>501</v>
      </c>
      <c r="V139" s="2442"/>
      <c r="W139" s="2442"/>
      <c r="X139" s="2442"/>
      <c r="Y139" s="2442"/>
      <c r="Z139" s="2442"/>
      <c r="AA139" s="2442"/>
      <c r="AB139" s="2443"/>
    </row>
    <row r="140" spans="1:29" ht="49.5">
      <c r="A140" s="1178"/>
      <c r="B140" s="2435"/>
      <c r="C140" s="2437"/>
      <c r="D140" s="2445"/>
      <c r="E140" s="1214" t="s">
        <v>471</v>
      </c>
      <c r="F140" s="1215" t="s">
        <v>675</v>
      </c>
      <c r="G140" s="1244" t="s">
        <v>473</v>
      </c>
      <c r="H140" s="1216" t="s">
        <v>474</v>
      </c>
      <c r="I140" s="1217" t="s">
        <v>653</v>
      </c>
      <c r="J140" s="1218" t="s">
        <v>21</v>
      </c>
      <c r="K140" s="1217" t="s">
        <v>654</v>
      </c>
      <c r="L140" s="1217" t="s">
        <v>655</v>
      </c>
      <c r="M140" s="1219" t="s">
        <v>656</v>
      </c>
      <c r="N140" s="1217" t="s">
        <v>657</v>
      </c>
      <c r="O140" s="1220" t="s">
        <v>658</v>
      </c>
      <c r="P140" s="1218" t="s">
        <v>659</v>
      </c>
      <c r="Q140" s="1217" t="s">
        <v>660</v>
      </c>
      <c r="R140" s="1217" t="s">
        <v>661</v>
      </c>
      <c r="S140" s="1217" t="s">
        <v>662</v>
      </c>
      <c r="T140" s="1221" t="s">
        <v>663</v>
      </c>
      <c r="U140" s="1245" t="s">
        <v>10</v>
      </c>
      <c r="V140" s="1218" t="s">
        <v>665</v>
      </c>
      <c r="W140" s="1223" t="s">
        <v>666</v>
      </c>
      <c r="X140" s="1223" t="s">
        <v>7</v>
      </c>
      <c r="Y140" s="1223" t="s">
        <v>6</v>
      </c>
      <c r="Z140" s="1223" t="s">
        <v>667</v>
      </c>
      <c r="AA140" s="1223" t="s">
        <v>668</v>
      </c>
      <c r="AB140" s="1224" t="s">
        <v>3</v>
      </c>
      <c r="AC140" s="1178"/>
    </row>
    <row r="141" spans="1:29" s="1183" customFormat="1">
      <c r="B141" s="1246" t="s">
        <v>172</v>
      </c>
      <c r="C141" s="1247" t="s">
        <v>913</v>
      </c>
      <c r="D141" s="1269" t="s">
        <v>172</v>
      </c>
      <c r="E141" s="1196">
        <v>1269589</v>
      </c>
      <c r="F141" s="1226">
        <v>125881</v>
      </c>
      <c r="G141" s="1270">
        <v>1143708</v>
      </c>
      <c r="H141" s="1271">
        <v>992507</v>
      </c>
      <c r="I141" s="1228">
        <v>1.28</v>
      </c>
      <c r="J141" s="1229">
        <v>68105</v>
      </c>
      <c r="K141" s="1170">
        <v>6.9000000000000006E-2</v>
      </c>
      <c r="L141" s="1230">
        <v>9.6000000000000002E-2</v>
      </c>
      <c r="M141" s="1168">
        <v>6551</v>
      </c>
      <c r="N141" s="1231">
        <v>5271</v>
      </c>
      <c r="O141" s="1232">
        <v>0.8</v>
      </c>
      <c r="P141" s="1169">
        <v>194</v>
      </c>
      <c r="Q141" s="1231">
        <v>241</v>
      </c>
      <c r="R141" s="1168">
        <v>3262749</v>
      </c>
      <c r="S141" s="1233">
        <v>2.6</v>
      </c>
      <c r="T141" s="2434">
        <v>619</v>
      </c>
      <c r="U141" s="1251">
        <v>894</v>
      </c>
      <c r="V141" s="1229">
        <v>765</v>
      </c>
      <c r="W141" s="1170">
        <v>0.85599999999999998</v>
      </c>
      <c r="X141" s="1171">
        <v>1420</v>
      </c>
      <c r="Y141" s="1172">
        <v>1660</v>
      </c>
      <c r="Z141" s="1168">
        <v>481185</v>
      </c>
      <c r="AA141" s="1173">
        <v>0.4</v>
      </c>
      <c r="AB141" s="1234">
        <v>629</v>
      </c>
    </row>
    <row r="142" spans="1:29">
      <c r="A142" s="1178"/>
      <c r="B142" s="1272" t="s">
        <v>172</v>
      </c>
      <c r="C142" s="1247" t="s">
        <v>914</v>
      </c>
      <c r="D142" s="1269" t="s">
        <v>172</v>
      </c>
      <c r="E142" s="1196">
        <v>774998</v>
      </c>
      <c r="F142" s="1226">
        <v>634629</v>
      </c>
      <c r="G142" s="1249">
        <v>140369</v>
      </c>
      <c r="H142" s="1271">
        <v>1053668</v>
      </c>
      <c r="I142" s="1228">
        <v>0.74</v>
      </c>
      <c r="J142" s="1229">
        <v>113337</v>
      </c>
      <c r="K142" s="1170">
        <v>0.108</v>
      </c>
      <c r="L142" s="1230">
        <v>0.16200000000000001</v>
      </c>
      <c r="M142" s="1168">
        <v>18342</v>
      </c>
      <c r="N142" s="1231">
        <v>15347</v>
      </c>
      <c r="O142" s="1232">
        <v>0.84</v>
      </c>
      <c r="P142" s="1169">
        <v>42</v>
      </c>
      <c r="Q142" s="1231">
        <v>50</v>
      </c>
      <c r="R142" s="1168">
        <v>9499793</v>
      </c>
      <c r="S142" s="1233">
        <v>12.3</v>
      </c>
      <c r="T142" s="2434"/>
      <c r="U142" s="1251">
        <v>2340</v>
      </c>
      <c r="V142" s="1229">
        <v>1929</v>
      </c>
      <c r="W142" s="1170">
        <v>0.82399999999999995</v>
      </c>
      <c r="X142" s="1171">
        <v>331</v>
      </c>
      <c r="Y142" s="1172">
        <v>402</v>
      </c>
      <c r="Z142" s="1168">
        <v>1101901</v>
      </c>
      <c r="AA142" s="1173">
        <v>1.4</v>
      </c>
      <c r="AB142" s="1234">
        <v>571</v>
      </c>
      <c r="AC142" s="1178"/>
    </row>
    <row r="143" spans="1:29">
      <c r="A143" s="1178"/>
      <c r="B143" s="1272" t="s">
        <v>172</v>
      </c>
      <c r="C143" s="1247" t="s">
        <v>918</v>
      </c>
      <c r="D143" s="1269" t="s">
        <v>172</v>
      </c>
      <c r="E143" s="1196">
        <v>1132700</v>
      </c>
      <c r="F143" s="1226">
        <v>756702</v>
      </c>
      <c r="G143" s="1249">
        <v>375998</v>
      </c>
      <c r="H143" s="1271">
        <v>1395178</v>
      </c>
      <c r="I143" s="1228">
        <v>0.81</v>
      </c>
      <c r="J143" s="1229">
        <v>144554</v>
      </c>
      <c r="K143" s="1170">
        <v>0.104</v>
      </c>
      <c r="L143" s="1230">
        <v>0.105</v>
      </c>
      <c r="M143" s="1168">
        <v>15149</v>
      </c>
      <c r="N143" s="1231">
        <v>11895</v>
      </c>
      <c r="O143" s="1232">
        <v>0.79</v>
      </c>
      <c r="P143" s="1169">
        <v>75</v>
      </c>
      <c r="Q143" s="1231">
        <v>95</v>
      </c>
      <c r="R143" s="1168">
        <v>7363005</v>
      </c>
      <c r="S143" s="1233">
        <v>6.5</v>
      </c>
      <c r="T143" s="2434"/>
      <c r="U143" s="1251">
        <v>970</v>
      </c>
      <c r="V143" s="1229">
        <v>740</v>
      </c>
      <c r="W143" s="1170">
        <v>0.76300000000000001</v>
      </c>
      <c r="X143" s="1171">
        <v>1168</v>
      </c>
      <c r="Y143" s="1172">
        <v>1531</v>
      </c>
      <c r="Z143" s="1168">
        <v>371480</v>
      </c>
      <c r="AA143" s="1173">
        <v>0.3</v>
      </c>
      <c r="AB143" s="1234">
        <v>502</v>
      </c>
      <c r="AC143" s="1183"/>
    </row>
    <row r="144" spans="1:29" s="1183" customFormat="1">
      <c r="B144" s="1273"/>
      <c r="C144" s="1274" t="s">
        <v>145</v>
      </c>
      <c r="D144" s="1275"/>
      <c r="E144" s="1276">
        <v>3177287</v>
      </c>
      <c r="F144" s="1277">
        <v>1517212</v>
      </c>
      <c r="G144" s="1278">
        <v>1660075</v>
      </c>
      <c r="H144" s="1279">
        <v>3441353</v>
      </c>
      <c r="I144" s="1280">
        <v>0.92</v>
      </c>
      <c r="J144" s="1281">
        <v>325996</v>
      </c>
      <c r="K144" s="1282">
        <v>9.5000000000000001E-2</v>
      </c>
      <c r="L144" s="1282">
        <v>0.123</v>
      </c>
      <c r="M144" s="1281">
        <v>40042</v>
      </c>
      <c r="N144" s="1281">
        <v>32513</v>
      </c>
      <c r="O144" s="1283">
        <v>0.81</v>
      </c>
      <c r="P144" s="1284">
        <v>79</v>
      </c>
      <c r="Q144" s="1284">
        <v>98</v>
      </c>
      <c r="R144" s="1281">
        <v>20125547</v>
      </c>
      <c r="S144" s="1285">
        <v>6.3</v>
      </c>
      <c r="T144" s="1286">
        <f>T141</f>
        <v>619</v>
      </c>
      <c r="U144" s="1279">
        <v>4204</v>
      </c>
      <c r="V144" s="1281">
        <v>3434</v>
      </c>
      <c r="W144" s="1282">
        <v>0.81699999999999995</v>
      </c>
      <c r="X144" s="1287">
        <v>756</v>
      </c>
      <c r="Y144" s="1287">
        <v>925</v>
      </c>
      <c r="Z144" s="1281">
        <v>2125646</v>
      </c>
      <c r="AA144" s="1288">
        <v>0.7</v>
      </c>
      <c r="AB144" s="1286">
        <v>619</v>
      </c>
    </row>
    <row r="145" spans="1:29" s="1213" customFormat="1">
      <c r="B145" s="1289"/>
      <c r="C145" s="1253" t="s">
        <v>146</v>
      </c>
      <c r="D145" s="1254"/>
      <c r="E145" s="1255">
        <v>3177287</v>
      </c>
      <c r="F145" s="1256">
        <v>1517212</v>
      </c>
      <c r="G145" s="1257">
        <v>1660075</v>
      </c>
      <c r="H145" s="1258">
        <v>3273156</v>
      </c>
      <c r="I145" s="1259">
        <v>0.97</v>
      </c>
      <c r="J145" s="1290">
        <v>297184</v>
      </c>
      <c r="K145" s="1261">
        <v>9.0999999999999998E-2</v>
      </c>
      <c r="L145" s="1291">
        <v>0.11799999999999999</v>
      </c>
      <c r="M145" s="1260">
        <v>34954</v>
      </c>
      <c r="N145" s="1260">
        <v>28485</v>
      </c>
      <c r="O145" s="1292">
        <v>0.81</v>
      </c>
      <c r="P145" s="1263">
        <v>91</v>
      </c>
      <c r="Q145" s="1260">
        <v>112</v>
      </c>
      <c r="R145" s="1260">
        <v>17632215</v>
      </c>
      <c r="S145" s="1264">
        <v>5.5</v>
      </c>
      <c r="T145" s="1265">
        <f>T141</f>
        <v>619</v>
      </c>
      <c r="U145" s="1293">
        <v>5929</v>
      </c>
      <c r="V145" s="1290">
        <v>4826</v>
      </c>
      <c r="W145" s="1261">
        <v>0.81399999999999995</v>
      </c>
      <c r="X145" s="1294">
        <v>536</v>
      </c>
      <c r="Y145" s="1294">
        <v>658</v>
      </c>
      <c r="Z145" s="1260">
        <v>2987294</v>
      </c>
      <c r="AA145" s="1295">
        <v>0.9</v>
      </c>
      <c r="AB145" s="1265">
        <v>619</v>
      </c>
    </row>
    <row r="146" spans="1:29" ht="60">
      <c r="A146" s="1178"/>
      <c r="B146" s="1178"/>
      <c r="C146" s="1180"/>
      <c r="D146" s="1180"/>
      <c r="E146" s="1180"/>
      <c r="F146" s="1180"/>
      <c r="G146" s="1296" t="s">
        <v>432</v>
      </c>
      <c r="H146" s="1178"/>
      <c r="I146" s="1178"/>
      <c r="J146" s="1178"/>
      <c r="K146" s="1178"/>
      <c r="L146" s="1178"/>
      <c r="M146" s="1178"/>
      <c r="N146" s="1178"/>
      <c r="O146" s="1178"/>
      <c r="P146" s="1178"/>
      <c r="Q146" s="1178"/>
      <c r="R146" s="1178"/>
      <c r="S146" s="1178"/>
      <c r="T146" s="1178"/>
      <c r="U146" s="1178" t="s">
        <v>682</v>
      </c>
      <c r="V146" s="1178"/>
      <c r="W146" s="1178"/>
      <c r="X146" s="1178"/>
      <c r="Y146" s="1178"/>
      <c r="Z146" s="1178"/>
      <c r="AA146" s="1178"/>
      <c r="AB146" s="1178"/>
      <c r="AC146" s="1178"/>
    </row>
    <row r="147" spans="1:29">
      <c r="A147" s="1178"/>
      <c r="B147" s="1183"/>
      <c r="C147" s="1179"/>
      <c r="D147" s="1179"/>
      <c r="E147" s="1179"/>
      <c r="F147" s="1179"/>
      <c r="G147" s="1297"/>
      <c r="H147" s="1183"/>
      <c r="I147" s="1183"/>
      <c r="J147" s="1183"/>
      <c r="K147" s="1183"/>
      <c r="L147" s="1183"/>
      <c r="M147" s="1183"/>
      <c r="N147" s="1183"/>
      <c r="O147" s="1183"/>
      <c r="P147" s="1183"/>
      <c r="Q147" s="1183"/>
      <c r="R147" s="1183"/>
      <c r="S147" s="1183"/>
      <c r="T147" s="1183"/>
      <c r="U147" s="1183"/>
      <c r="V147" s="1183"/>
      <c r="W147" s="1183"/>
      <c r="X147" s="1183"/>
      <c r="Y147" s="1183"/>
      <c r="Z147" s="1183"/>
      <c r="AA147" s="1183"/>
      <c r="AB147" s="1183"/>
      <c r="AC147" s="1178"/>
    </row>
    <row r="148" spans="1:29">
      <c r="A148" s="1178"/>
      <c r="B148" s="1178"/>
      <c r="C148" s="1180"/>
      <c r="D148" s="1180"/>
      <c r="E148" s="1180"/>
      <c r="F148" s="1180"/>
      <c r="G148" s="1180"/>
      <c r="H148" s="1178"/>
      <c r="I148" s="1178"/>
      <c r="J148" s="1178"/>
      <c r="K148" s="1178"/>
      <c r="L148" s="1178"/>
      <c r="M148" s="1178"/>
      <c r="N148" s="1178"/>
      <c r="O148" s="1178"/>
      <c r="P148" s="1178"/>
      <c r="Q148" s="1178"/>
      <c r="R148" s="1178"/>
      <c r="S148" s="1178"/>
      <c r="T148" s="1178"/>
      <c r="U148" s="1178"/>
      <c r="V148" s="1178"/>
      <c r="W148" s="1178"/>
      <c r="X148" s="1178"/>
      <c r="Y148" s="1178"/>
      <c r="Z148" s="1178"/>
      <c r="AA148" s="1178"/>
      <c r="AB148" s="1178"/>
      <c r="AC148" s="1178"/>
    </row>
    <row r="149" spans="1:29">
      <c r="A149" s="1178"/>
      <c r="B149" s="481" t="s">
        <v>697</v>
      </c>
      <c r="C149" s="1179"/>
      <c r="D149" s="1179"/>
      <c r="E149" s="1180"/>
      <c r="F149" s="1180"/>
      <c r="G149" s="1181"/>
      <c r="H149" s="1182"/>
      <c r="I149" s="1182"/>
      <c r="J149" s="1182"/>
      <c r="K149" s="1182"/>
      <c r="L149" s="1182"/>
      <c r="M149" s="1182"/>
      <c r="N149" s="1182"/>
      <c r="O149" s="1182"/>
      <c r="P149" s="1182"/>
      <c r="Q149" s="1178"/>
      <c r="R149" s="1178"/>
      <c r="S149" s="1178"/>
      <c r="T149" s="1178"/>
      <c r="U149" s="1183"/>
      <c r="V149" s="1183"/>
      <c r="W149" s="1183"/>
      <c r="X149" s="1183"/>
      <c r="Y149" s="1183"/>
      <c r="Z149" s="1183"/>
      <c r="AA149" s="1184"/>
      <c r="AB149" s="1268"/>
      <c r="AC149" s="1178"/>
    </row>
    <row r="150" spans="1:29">
      <c r="A150" s="1178"/>
      <c r="B150" s="1155"/>
      <c r="C150" s="1179"/>
      <c r="D150" s="1179"/>
      <c r="E150" s="1179"/>
      <c r="F150" s="1179"/>
      <c r="G150" s="1185"/>
      <c r="H150" s="1186"/>
      <c r="I150" s="1186"/>
      <c r="J150" s="1186"/>
      <c r="K150" s="1186"/>
      <c r="L150" s="1186"/>
      <c r="M150" s="1186"/>
      <c r="N150" s="1186"/>
      <c r="O150" s="1186"/>
      <c r="P150" s="1186"/>
      <c r="Q150" s="1183"/>
      <c r="R150" s="1183"/>
      <c r="S150" s="1183"/>
      <c r="T150" s="1183"/>
      <c r="U150" s="1183"/>
      <c r="V150" s="1183"/>
      <c r="W150" s="1183"/>
      <c r="X150" s="1183"/>
      <c r="Y150" s="1183"/>
      <c r="Z150" s="1183"/>
      <c r="AA150" s="1184"/>
      <c r="AB150" s="1268"/>
      <c r="AC150" s="1178"/>
    </row>
    <row r="151" spans="1:29" s="1213" customFormat="1">
      <c r="B151" s="2435" t="s">
        <v>467</v>
      </c>
      <c r="C151" s="2436" t="s">
        <v>674</v>
      </c>
      <c r="D151" s="2444" t="s">
        <v>30</v>
      </c>
      <c r="E151" s="2438" t="s">
        <v>470</v>
      </c>
      <c r="F151" s="2439"/>
      <c r="G151" s="2440"/>
      <c r="H151" s="2446" t="s">
        <v>28</v>
      </c>
      <c r="I151" s="2446"/>
      <c r="J151" s="2446"/>
      <c r="K151" s="2446"/>
      <c r="L151" s="2446"/>
      <c r="M151" s="2446"/>
      <c r="N151" s="2446"/>
      <c r="O151" s="2446"/>
      <c r="P151" s="2446"/>
      <c r="Q151" s="2446"/>
      <c r="R151" s="2446"/>
      <c r="S151" s="2446"/>
      <c r="T151" s="2446"/>
      <c r="U151" s="2442" t="s">
        <v>501</v>
      </c>
      <c r="V151" s="2442"/>
      <c r="W151" s="2442"/>
      <c r="X151" s="2442"/>
      <c r="Y151" s="2442"/>
      <c r="Z151" s="2442"/>
      <c r="AA151" s="2442"/>
      <c r="AB151" s="2443"/>
    </row>
    <row r="152" spans="1:29" ht="49.5">
      <c r="A152" s="1178"/>
      <c r="B152" s="2435"/>
      <c r="C152" s="2437"/>
      <c r="D152" s="2445"/>
      <c r="E152" s="1214" t="s">
        <v>471</v>
      </c>
      <c r="F152" s="1215" t="s">
        <v>675</v>
      </c>
      <c r="G152" s="1244" t="s">
        <v>473</v>
      </c>
      <c r="H152" s="1216" t="s">
        <v>474</v>
      </c>
      <c r="I152" s="1217" t="s">
        <v>653</v>
      </c>
      <c r="J152" s="1218" t="s">
        <v>21</v>
      </c>
      <c r="K152" s="1217" t="s">
        <v>654</v>
      </c>
      <c r="L152" s="1217" t="s">
        <v>655</v>
      </c>
      <c r="M152" s="1219" t="s">
        <v>656</v>
      </c>
      <c r="N152" s="1217" t="s">
        <v>657</v>
      </c>
      <c r="O152" s="1220" t="s">
        <v>658</v>
      </c>
      <c r="P152" s="1218" t="s">
        <v>659</v>
      </c>
      <c r="Q152" s="1217" t="s">
        <v>660</v>
      </c>
      <c r="R152" s="1217" t="s">
        <v>661</v>
      </c>
      <c r="S152" s="1217" t="s">
        <v>662</v>
      </c>
      <c r="T152" s="1221" t="s">
        <v>663</v>
      </c>
      <c r="U152" s="1245" t="s">
        <v>10</v>
      </c>
      <c r="V152" s="1218" t="s">
        <v>665</v>
      </c>
      <c r="W152" s="1223" t="s">
        <v>666</v>
      </c>
      <c r="X152" s="1223" t="s">
        <v>7</v>
      </c>
      <c r="Y152" s="1223" t="s">
        <v>6</v>
      </c>
      <c r="Z152" s="1223" t="s">
        <v>667</v>
      </c>
      <c r="AA152" s="1223" t="s">
        <v>668</v>
      </c>
      <c r="AB152" s="1224" t="s">
        <v>3</v>
      </c>
      <c r="AC152" s="1178"/>
    </row>
    <row r="153" spans="1:29">
      <c r="A153" s="1178"/>
      <c r="B153" s="1246" t="s">
        <v>174</v>
      </c>
      <c r="C153" s="1247" t="s">
        <v>913</v>
      </c>
      <c r="D153" s="1269" t="s">
        <v>172</v>
      </c>
      <c r="E153" s="1196">
        <v>1269588.78</v>
      </c>
      <c r="F153" s="1226">
        <v>125880.78</v>
      </c>
      <c r="G153" s="1270">
        <v>1143708</v>
      </c>
      <c r="H153" s="1271">
        <v>922997</v>
      </c>
      <c r="I153" s="1228">
        <v>1.3755069409759728</v>
      </c>
      <c r="J153" s="1229">
        <v>54307</v>
      </c>
      <c r="K153" s="1170">
        <v>5.883767769559381E-2</v>
      </c>
      <c r="L153" s="1230">
        <v>8.9288673651647124E-2</v>
      </c>
      <c r="M153" s="1168">
        <v>4849</v>
      </c>
      <c r="N153" s="1231">
        <v>3852</v>
      </c>
      <c r="O153" s="1232">
        <v>0.79439059599917505</v>
      </c>
      <c r="P153" s="1169">
        <v>261.82486698288307</v>
      </c>
      <c r="Q153" s="1231">
        <v>329.59210280373833</v>
      </c>
      <c r="R153" s="1168">
        <v>2402184.2400000002</v>
      </c>
      <c r="S153" s="1233">
        <v>1.8920963053879543</v>
      </c>
      <c r="T153" s="2434">
        <v>623.62</v>
      </c>
      <c r="U153" s="1251">
        <v>595</v>
      </c>
      <c r="V153" s="1229">
        <v>505</v>
      </c>
      <c r="W153" s="1170">
        <v>0.84873949579831931</v>
      </c>
      <c r="X153" s="1171">
        <v>2133.7626554621847</v>
      </c>
      <c r="Y153" s="1172">
        <v>2514.0371881188121</v>
      </c>
      <c r="Z153" s="1168">
        <v>245090.18235932873</v>
      </c>
      <c r="AA153" s="1173">
        <v>0.19304690323376103</v>
      </c>
      <c r="AB153" s="1234">
        <v>485.32709378084894</v>
      </c>
      <c r="AC153" s="1178"/>
    </row>
    <row r="154" spans="1:29">
      <c r="A154" s="1178"/>
      <c r="B154" s="1272" t="s">
        <v>174</v>
      </c>
      <c r="C154" s="1247" t="s">
        <v>914</v>
      </c>
      <c r="D154" s="1269" t="s">
        <v>172</v>
      </c>
      <c r="E154" s="1196">
        <v>626932.59000000008</v>
      </c>
      <c r="F154" s="1226">
        <v>486563.59</v>
      </c>
      <c r="G154" s="1249">
        <v>140369</v>
      </c>
      <c r="H154" s="1271">
        <v>837907</v>
      </c>
      <c r="I154" s="1228">
        <v>0.7482126178680929</v>
      </c>
      <c r="J154" s="1229">
        <v>80946</v>
      </c>
      <c r="K154" s="1170">
        <v>9.6604993155564992E-2</v>
      </c>
      <c r="L154" s="1230">
        <v>0.16871741654930447</v>
      </c>
      <c r="M154" s="1168">
        <v>13657</v>
      </c>
      <c r="N154" s="1231">
        <v>11369</v>
      </c>
      <c r="O154" s="1232">
        <v>0.83246686680823023</v>
      </c>
      <c r="P154" s="1169">
        <v>45.90558614629861</v>
      </c>
      <c r="Q154" s="1231">
        <v>55.144039933151561</v>
      </c>
      <c r="R154" s="1168">
        <v>7089935.7800000003</v>
      </c>
      <c r="S154" s="1233">
        <v>11.308928412861739</v>
      </c>
      <c r="T154" s="2434">
        <v>1000</v>
      </c>
      <c r="U154" s="1251">
        <v>1442</v>
      </c>
      <c r="V154" s="1229">
        <v>1165</v>
      </c>
      <c r="W154" s="1170">
        <v>0.80790568654646322</v>
      </c>
      <c r="X154" s="1171">
        <v>434.76601248266303</v>
      </c>
      <c r="Y154" s="1172">
        <v>538.13956223175978</v>
      </c>
      <c r="Z154" s="1168">
        <v>716299.26527958387</v>
      </c>
      <c r="AA154" s="1173">
        <v>1.1425459079732698</v>
      </c>
      <c r="AB154" s="1234">
        <v>614.84915474642389</v>
      </c>
      <c r="AC154" s="1178"/>
    </row>
    <row r="155" spans="1:29">
      <c r="A155" s="1178"/>
      <c r="B155" s="1272" t="s">
        <v>174</v>
      </c>
      <c r="C155" s="1247" t="s">
        <v>918</v>
      </c>
      <c r="D155" s="1269" t="s">
        <v>172</v>
      </c>
      <c r="E155" s="1196">
        <v>861238.33000000007</v>
      </c>
      <c r="F155" s="1226">
        <v>485240.33</v>
      </c>
      <c r="G155" s="1249">
        <v>375998</v>
      </c>
      <c r="H155" s="1271">
        <v>685759</v>
      </c>
      <c r="I155" s="1228">
        <v>1.2558906700458909</v>
      </c>
      <c r="J155" s="1229">
        <v>42174</v>
      </c>
      <c r="K155" s="1170">
        <v>6.1499739704473436E-2</v>
      </c>
      <c r="L155" s="1230">
        <v>0.11469151609996681</v>
      </c>
      <c r="M155" s="1168">
        <v>4837</v>
      </c>
      <c r="N155" s="1231">
        <v>3717</v>
      </c>
      <c r="O155" s="1232">
        <v>0.76845151953690305</v>
      </c>
      <c r="P155" s="1169">
        <v>178.05216663221006</v>
      </c>
      <c r="Q155" s="1231">
        <v>231.70253699219802</v>
      </c>
      <c r="R155" s="1168">
        <v>2317995.54</v>
      </c>
      <c r="S155" s="1233">
        <v>2.691468156091009</v>
      </c>
      <c r="T155" s="2434">
        <v>1000</v>
      </c>
      <c r="U155" s="1251">
        <v>436</v>
      </c>
      <c r="V155" s="1229">
        <v>318</v>
      </c>
      <c r="W155" s="1170">
        <v>0.72935779816513757</v>
      </c>
      <c r="X155" s="1171">
        <v>1975.3172706422019</v>
      </c>
      <c r="Y155" s="1172">
        <v>2708.2966352201261</v>
      </c>
      <c r="Z155" s="1168">
        <v>173618.3434592179</v>
      </c>
      <c r="AA155" s="1173">
        <v>0.20159151934078209</v>
      </c>
      <c r="AB155" s="1234">
        <v>545.9696335195531</v>
      </c>
      <c r="AC155" s="1183"/>
    </row>
    <row r="156" spans="1:29">
      <c r="A156" s="1178"/>
      <c r="B156" s="1273"/>
      <c r="C156" s="1274" t="s">
        <v>479</v>
      </c>
      <c r="D156" s="1275"/>
      <c r="E156" s="1276">
        <v>2757759.7</v>
      </c>
      <c r="F156" s="1277">
        <v>1097684.7</v>
      </c>
      <c r="G156" s="1278">
        <v>1660075</v>
      </c>
      <c r="H156" s="1279">
        <v>2446663</v>
      </c>
      <c r="I156" s="1280">
        <v>1.1271514303359311</v>
      </c>
      <c r="J156" s="1281">
        <v>177427</v>
      </c>
      <c r="K156" s="1282">
        <v>7.2517956089579977E-2</v>
      </c>
      <c r="L156" s="1282">
        <v>0.13156396715268814</v>
      </c>
      <c r="M156" s="1281">
        <v>23343</v>
      </c>
      <c r="N156" s="1281">
        <v>18938</v>
      </c>
      <c r="O156" s="1283">
        <v>0.81129246455040049</v>
      </c>
      <c r="P156" s="1284">
        <v>118.14075740050551</v>
      </c>
      <c r="Q156" s="1284">
        <v>145.62042982363502</v>
      </c>
      <c r="R156" s="1281">
        <v>11810115.560000001</v>
      </c>
      <c r="S156" s="1285">
        <v>4.2825034973134173</v>
      </c>
      <c r="T156" s="1286"/>
      <c r="U156" s="1279">
        <v>2473</v>
      </c>
      <c r="V156" s="1281">
        <v>1988</v>
      </c>
      <c r="W156" s="1282">
        <v>0.80388192478770726</v>
      </c>
      <c r="X156" s="1287">
        <v>1115.1474727052164</v>
      </c>
      <c r="Y156" s="1287">
        <v>1387.2030684104629</v>
      </c>
      <c r="Z156" s="1281">
        <v>1239756.56</v>
      </c>
      <c r="AA156" s="1288">
        <v>0.44955206213217197</v>
      </c>
      <c r="AB156" s="1286">
        <v>623.62</v>
      </c>
      <c r="AC156" s="1183"/>
    </row>
    <row r="157" spans="1:29" ht="16.5" customHeight="1">
      <c r="A157" s="1178"/>
      <c r="B157" s="1289"/>
      <c r="C157" s="1253" t="s">
        <v>480</v>
      </c>
      <c r="D157" s="1254"/>
      <c r="E157" s="1255">
        <v>2757759.7</v>
      </c>
      <c r="F157" s="1256">
        <v>1097684.7</v>
      </c>
      <c r="G157" s="1257">
        <v>1660075</v>
      </c>
      <c r="H157" s="1258">
        <v>2348584</v>
      </c>
      <c r="I157" s="1259">
        <v>1.1742222973502332</v>
      </c>
      <c r="J157" s="1290">
        <v>163496</v>
      </c>
      <c r="K157" s="1261">
        <v>6.961471252465315E-2</v>
      </c>
      <c r="L157" s="1291">
        <v>0.13114082301707686</v>
      </c>
      <c r="M157" s="1260">
        <v>21441</v>
      </c>
      <c r="N157" s="1260">
        <v>17461</v>
      </c>
      <c r="O157" s="1292">
        <v>0.81437432955552447</v>
      </c>
      <c r="P157" s="1263">
        <v>128.62085257217481</v>
      </c>
      <c r="Q157" s="1260">
        <v>157.93824523223185</v>
      </c>
      <c r="R157" s="1260">
        <v>10889028.82</v>
      </c>
      <c r="S157" s="1264">
        <v>3.9485053103067682</v>
      </c>
      <c r="T157" s="1265"/>
      <c r="U157" s="1293">
        <v>3157</v>
      </c>
      <c r="V157" s="1290">
        <v>2531</v>
      </c>
      <c r="W157" s="1261">
        <v>0.80171048463731387</v>
      </c>
      <c r="X157" s="1294">
        <v>873.53807412100105</v>
      </c>
      <c r="Y157" s="1294">
        <v>1089.5929276965628</v>
      </c>
      <c r="Z157" s="1260">
        <v>1578382.22</v>
      </c>
      <c r="AA157" s="1295">
        <v>0.5723421877547924</v>
      </c>
      <c r="AB157" s="1265">
        <v>623.62</v>
      </c>
      <c r="AC157" s="1213"/>
    </row>
    <row r="158" spans="1:29" ht="60">
      <c r="A158" s="1178"/>
      <c r="B158" s="1178"/>
      <c r="C158" s="1180"/>
      <c r="D158" s="1180"/>
      <c r="E158" s="1180"/>
      <c r="F158" s="1180"/>
      <c r="G158" s="1296" t="s">
        <v>432</v>
      </c>
      <c r="H158" s="1178"/>
      <c r="I158" s="1178"/>
      <c r="J158" s="1178"/>
      <c r="K158" s="1178"/>
      <c r="L158" s="1178"/>
      <c r="M158" s="1178"/>
      <c r="N158" s="1178"/>
      <c r="O158" s="1178"/>
      <c r="P158" s="1178"/>
      <c r="Q158" s="1178"/>
      <c r="R158" s="1178"/>
      <c r="S158" s="1178"/>
      <c r="T158" s="1178"/>
      <c r="U158" s="1178" t="s">
        <v>433</v>
      </c>
      <c r="V158" s="1178"/>
      <c r="W158" s="1178"/>
      <c r="X158" s="1178"/>
      <c r="Y158" s="1178"/>
      <c r="Z158" s="1178"/>
      <c r="AA158" s="1178"/>
      <c r="AB158" s="1178"/>
      <c r="AC158" s="1241"/>
    </row>
    <row r="159" spans="1:29">
      <c r="A159" s="1178"/>
      <c r="B159" s="1178"/>
      <c r="C159" s="1180"/>
      <c r="D159" s="1180"/>
      <c r="E159" s="1180"/>
      <c r="F159" s="1180"/>
      <c r="G159" s="1180"/>
      <c r="H159" s="1178"/>
      <c r="I159" s="1178"/>
      <c r="J159" s="1178"/>
      <c r="K159" s="1178"/>
      <c r="L159" s="1178"/>
      <c r="M159" s="1178"/>
      <c r="N159" s="1178"/>
      <c r="O159" s="1178"/>
      <c r="P159" s="1178"/>
      <c r="Q159" s="1178"/>
      <c r="R159" s="1178"/>
      <c r="S159" s="1178"/>
      <c r="T159" s="1178"/>
      <c r="U159" s="1178"/>
      <c r="V159" s="1178"/>
      <c r="W159" s="1178"/>
      <c r="X159" s="1178"/>
      <c r="Y159" s="1178"/>
      <c r="Z159" s="1178"/>
      <c r="AA159" s="1178"/>
      <c r="AB159" s="1178"/>
      <c r="AC159" s="1241"/>
    </row>
    <row r="160" spans="1:29">
      <c r="A160" s="1178"/>
      <c r="B160" s="1178"/>
      <c r="C160" s="1180"/>
      <c r="D160" s="1180"/>
      <c r="E160" s="1180"/>
      <c r="F160" s="1180"/>
      <c r="G160" s="1180"/>
      <c r="H160" s="1178"/>
      <c r="I160" s="1178"/>
      <c r="J160" s="1178"/>
      <c r="K160" s="1178"/>
      <c r="L160" s="1178"/>
      <c r="M160" s="1178"/>
      <c r="N160" s="1178"/>
      <c r="O160" s="1178"/>
      <c r="P160" s="1178"/>
      <c r="Q160" s="1178"/>
      <c r="R160" s="1178"/>
      <c r="S160" s="1178"/>
      <c r="T160" s="1178"/>
      <c r="U160" s="1178"/>
      <c r="V160" s="1178"/>
      <c r="W160" s="1178"/>
      <c r="X160" s="1178"/>
      <c r="Y160" s="1178"/>
      <c r="Z160" s="1178"/>
      <c r="AA160" s="1178"/>
      <c r="AB160" s="1178"/>
      <c r="AC160" s="1241"/>
    </row>
    <row r="161" spans="1:29">
      <c r="A161" s="1178"/>
      <c r="B161" s="481" t="s">
        <v>175</v>
      </c>
      <c r="C161" s="1179"/>
      <c r="D161" s="1179"/>
      <c r="E161" s="1241"/>
      <c r="F161" s="1241"/>
      <c r="G161" s="1181"/>
      <c r="H161" s="1182"/>
      <c r="I161" s="1182"/>
      <c r="J161" s="1182"/>
      <c r="K161" s="1182"/>
      <c r="L161" s="1182"/>
      <c r="M161" s="1182"/>
      <c r="N161" s="1182"/>
      <c r="O161" s="1182"/>
      <c r="P161" s="1182"/>
      <c r="Q161" s="1241"/>
      <c r="R161" s="1241"/>
      <c r="S161" s="1241"/>
      <c r="T161" s="1241"/>
      <c r="U161" s="1183"/>
      <c r="V161" s="1183"/>
      <c r="W161" s="1183"/>
      <c r="X161" s="1183"/>
      <c r="Y161" s="1183"/>
      <c r="Z161" s="1183"/>
      <c r="AA161" s="1184"/>
      <c r="AB161" s="1268"/>
      <c r="AC161" s="1241"/>
    </row>
    <row r="162" spans="1:29">
      <c r="A162" s="1178"/>
      <c r="B162" s="1155"/>
      <c r="C162" s="1179"/>
      <c r="D162" s="1179"/>
      <c r="E162" s="1179"/>
      <c r="F162" s="1179"/>
      <c r="G162" s="1185"/>
      <c r="H162" s="1186"/>
      <c r="I162" s="1186"/>
      <c r="J162" s="1186"/>
      <c r="K162" s="1186"/>
      <c r="L162" s="1186"/>
      <c r="M162" s="1186"/>
      <c r="N162" s="1186"/>
      <c r="O162" s="1186"/>
      <c r="P162" s="1186"/>
      <c r="Q162" s="1183"/>
      <c r="R162" s="1183"/>
      <c r="S162" s="1183"/>
      <c r="T162" s="1183"/>
      <c r="U162" s="1183"/>
      <c r="V162" s="1183"/>
      <c r="W162" s="1183"/>
      <c r="X162" s="1183"/>
      <c r="Y162" s="1183"/>
      <c r="Z162" s="1183"/>
      <c r="AA162" s="1184"/>
      <c r="AB162" s="1268"/>
      <c r="AC162" s="1241"/>
    </row>
    <row r="163" spans="1:29">
      <c r="A163" s="1178"/>
      <c r="B163" s="2435" t="s">
        <v>32</v>
      </c>
      <c r="C163" s="2436" t="s">
        <v>31</v>
      </c>
      <c r="D163" s="2444" t="s">
        <v>30</v>
      </c>
      <c r="E163" s="2438" t="s">
        <v>29</v>
      </c>
      <c r="F163" s="2439"/>
      <c r="G163" s="2440"/>
      <c r="H163" s="2446" t="s">
        <v>28</v>
      </c>
      <c r="I163" s="2446"/>
      <c r="J163" s="2446"/>
      <c r="K163" s="2446"/>
      <c r="L163" s="2446"/>
      <c r="M163" s="2446"/>
      <c r="N163" s="2446"/>
      <c r="O163" s="2446"/>
      <c r="P163" s="2446"/>
      <c r="Q163" s="2446"/>
      <c r="R163" s="2446"/>
      <c r="S163" s="2446"/>
      <c r="T163" s="2446"/>
      <c r="U163" s="2442" t="s">
        <v>27</v>
      </c>
      <c r="V163" s="2442"/>
      <c r="W163" s="2442"/>
      <c r="X163" s="2442"/>
      <c r="Y163" s="2442"/>
      <c r="Z163" s="2442"/>
      <c r="AA163" s="2442"/>
      <c r="AB163" s="2443"/>
      <c r="AC163" s="1213"/>
    </row>
    <row r="164" spans="1:29" ht="49.5">
      <c r="A164" s="1178"/>
      <c r="B164" s="2435"/>
      <c r="C164" s="2437"/>
      <c r="D164" s="2445"/>
      <c r="E164" s="1214" t="s">
        <v>26</v>
      </c>
      <c r="F164" s="1215" t="s">
        <v>25</v>
      </c>
      <c r="G164" s="1244" t="s">
        <v>24</v>
      </c>
      <c r="H164" s="1216" t="s">
        <v>23</v>
      </c>
      <c r="I164" s="1217" t="s">
        <v>403</v>
      </c>
      <c r="J164" s="1218" t="s">
        <v>21</v>
      </c>
      <c r="K164" s="1217" t="s">
        <v>20</v>
      </c>
      <c r="L164" s="1217" t="s">
        <v>19</v>
      </c>
      <c r="M164" s="1219" t="s">
        <v>18</v>
      </c>
      <c r="N164" s="1217" t="s">
        <v>17</v>
      </c>
      <c r="O164" s="1220" t="s">
        <v>16</v>
      </c>
      <c r="P164" s="1218" t="s">
        <v>15</v>
      </c>
      <c r="Q164" s="1217" t="s">
        <v>14</v>
      </c>
      <c r="R164" s="1217" t="s">
        <v>13</v>
      </c>
      <c r="S164" s="1217" t="s">
        <v>12</v>
      </c>
      <c r="T164" s="1221" t="s">
        <v>11</v>
      </c>
      <c r="U164" s="1245" t="s">
        <v>10</v>
      </c>
      <c r="V164" s="1218" t="s">
        <v>9</v>
      </c>
      <c r="W164" s="1223" t="s">
        <v>8</v>
      </c>
      <c r="X164" s="1223" t="s">
        <v>7</v>
      </c>
      <c r="Y164" s="1223" t="s">
        <v>6</v>
      </c>
      <c r="Z164" s="1223" t="s">
        <v>5</v>
      </c>
      <c r="AA164" s="1223" t="s">
        <v>4</v>
      </c>
      <c r="AB164" s="1224" t="s">
        <v>3</v>
      </c>
      <c r="AC164" s="1178"/>
    </row>
    <row r="165" spans="1:29">
      <c r="A165" s="1178"/>
      <c r="B165" s="1246" t="s">
        <v>175</v>
      </c>
      <c r="C165" s="1247" t="s">
        <v>913</v>
      </c>
      <c r="D165" s="1269" t="s">
        <v>172</v>
      </c>
      <c r="E165" s="1196">
        <v>650580.34000000008</v>
      </c>
      <c r="F165" s="1226">
        <v>125880.78</v>
      </c>
      <c r="G165" s="1270">
        <v>524699.56000000006</v>
      </c>
      <c r="H165" s="1271">
        <v>860123</v>
      </c>
      <c r="I165" s="1228">
        <v>0.75638058742761216</v>
      </c>
      <c r="J165" s="1229">
        <v>46134</v>
      </c>
      <c r="K165" s="1170">
        <v>5.3636514777537635E-2</v>
      </c>
      <c r="L165" s="1230">
        <v>8.8914900073698358E-2</v>
      </c>
      <c r="M165" s="1168">
        <v>4102</v>
      </c>
      <c r="N165" s="1231">
        <v>3260</v>
      </c>
      <c r="O165" s="1232">
        <v>0.79473427596294488</v>
      </c>
      <c r="P165" s="1169">
        <v>158.60076548025356</v>
      </c>
      <c r="Q165" s="1231">
        <v>199.56452147239267</v>
      </c>
      <c r="R165" s="1168">
        <v>1824817.6</v>
      </c>
      <c r="S165" s="1233">
        <v>2.8049073846897983</v>
      </c>
      <c r="T165" s="2434">
        <v>559.76</v>
      </c>
      <c r="U165" s="1251">
        <v>516</v>
      </c>
      <c r="V165" s="1229">
        <v>428</v>
      </c>
      <c r="W165" s="1170">
        <v>0.8294573643410853</v>
      </c>
      <c r="X165" s="1171">
        <v>1260.8146124031009</v>
      </c>
      <c r="Y165" s="1172">
        <v>1520.0475233644861</v>
      </c>
      <c r="Z165" s="1168">
        <v>192585.8254722222</v>
      </c>
      <c r="AA165" s="1173">
        <v>0.29602158815961482</v>
      </c>
      <c r="AB165" s="1234">
        <v>449.96688194444442</v>
      </c>
      <c r="AC165" s="1178"/>
    </row>
    <row r="166" spans="1:29">
      <c r="A166" s="1241"/>
      <c r="B166" s="1272" t="s">
        <v>175</v>
      </c>
      <c r="C166" s="1247" t="s">
        <v>914</v>
      </c>
      <c r="D166" s="1269" t="s">
        <v>172</v>
      </c>
      <c r="E166" s="1196">
        <v>530200.74</v>
      </c>
      <c r="F166" s="1226">
        <v>389831.74</v>
      </c>
      <c r="G166" s="1249">
        <v>140369</v>
      </c>
      <c r="H166" s="1271">
        <v>643935</v>
      </c>
      <c r="I166" s="1228">
        <v>0.82337617927275264</v>
      </c>
      <c r="J166" s="1229">
        <v>61067</v>
      </c>
      <c r="K166" s="1170">
        <v>9.483410592684044E-2</v>
      </c>
      <c r="L166" s="1230">
        <v>0.18255358868128449</v>
      </c>
      <c r="M166" s="1168">
        <v>11148</v>
      </c>
      <c r="N166" s="1231">
        <v>9261</v>
      </c>
      <c r="O166" s="1232">
        <v>0.83073196986006459</v>
      </c>
      <c r="P166" s="1169">
        <v>47.560166846071041</v>
      </c>
      <c r="Q166" s="1231">
        <v>57.250916747651438</v>
      </c>
      <c r="R166" s="1168">
        <v>5183937.3600000003</v>
      </c>
      <c r="S166" s="1233">
        <v>9.7773106842514039</v>
      </c>
      <c r="T166" s="2434">
        <v>1000</v>
      </c>
      <c r="U166" s="1251">
        <v>1123</v>
      </c>
      <c r="V166" s="1229">
        <v>906</v>
      </c>
      <c r="W166" s="1170">
        <v>0.80676758682101513</v>
      </c>
      <c r="X166" s="1171">
        <v>472.12888691006231</v>
      </c>
      <c r="Y166" s="1172">
        <v>585.21052980132447</v>
      </c>
      <c r="Z166" s="1168">
        <v>522143.19413979381</v>
      </c>
      <c r="AA166" s="1173">
        <v>0.98480283927893764</v>
      </c>
      <c r="AB166" s="1234">
        <v>576.3169913242757</v>
      </c>
      <c r="AC166" s="1178"/>
    </row>
    <row r="167" spans="1:29" s="1183" customFormat="1">
      <c r="A167" s="1241"/>
      <c r="B167" s="1272" t="s">
        <v>175</v>
      </c>
      <c r="C167" s="1247" t="s">
        <v>918</v>
      </c>
      <c r="D167" s="1269" t="s">
        <v>172</v>
      </c>
      <c r="E167" s="1196">
        <v>783086.28</v>
      </c>
      <c r="F167" s="1226">
        <v>407088.28</v>
      </c>
      <c r="G167" s="1249">
        <v>375998</v>
      </c>
      <c r="H167" s="1271">
        <v>564726</v>
      </c>
      <c r="I167" s="1228">
        <v>1.3866658875277569</v>
      </c>
      <c r="J167" s="1229">
        <v>31153</v>
      </c>
      <c r="K167" s="1170">
        <v>5.516480558713429E-2</v>
      </c>
      <c r="L167" s="1230">
        <v>0.12030944050332232</v>
      </c>
      <c r="M167" s="1168">
        <v>3748</v>
      </c>
      <c r="N167" s="1231">
        <v>2865</v>
      </c>
      <c r="O167" s="1232">
        <v>0.76440768409818571</v>
      </c>
      <c r="P167" s="1169">
        <v>208.93443970117397</v>
      </c>
      <c r="Q167" s="1231">
        <v>273.32854450261783</v>
      </c>
      <c r="R167" s="1168">
        <v>1603712.4</v>
      </c>
      <c r="S167" s="1233">
        <v>2.047938319133876</v>
      </c>
      <c r="T167" s="2434">
        <v>1000</v>
      </c>
      <c r="U167" s="1251">
        <v>309</v>
      </c>
      <c r="V167" s="1229">
        <v>235</v>
      </c>
      <c r="W167" s="1170">
        <v>0.76051779935275077</v>
      </c>
      <c r="X167" s="1171">
        <v>2534.2598058252429</v>
      </c>
      <c r="Y167" s="1172">
        <v>3332.2820425531918</v>
      </c>
      <c r="Z167" s="1168">
        <v>113585.49327868852</v>
      </c>
      <c r="AA167" s="1173">
        <v>0.14504850382347206</v>
      </c>
      <c r="AB167" s="1234">
        <v>483.34252459016392</v>
      </c>
    </row>
    <row r="168" spans="1:29" ht="16.5" customHeight="1">
      <c r="A168" s="1213"/>
      <c r="B168" s="1273"/>
      <c r="C168" s="1274" t="s">
        <v>145</v>
      </c>
      <c r="D168" s="1275"/>
      <c r="E168" s="1276">
        <v>1963867.36</v>
      </c>
      <c r="F168" s="1277">
        <v>922800.8</v>
      </c>
      <c r="G168" s="1278">
        <v>1041066.56</v>
      </c>
      <c r="H168" s="1279">
        <v>2068784</v>
      </c>
      <c r="I168" s="1280">
        <v>0.94928584134448069</v>
      </c>
      <c r="J168" s="1281">
        <v>138354</v>
      </c>
      <c r="K168" s="1282">
        <v>6.6876967339267901E-2</v>
      </c>
      <c r="L168" s="1282">
        <v>0.13731442531477225</v>
      </c>
      <c r="M168" s="1281">
        <v>18998</v>
      </c>
      <c r="N168" s="1281">
        <v>15386</v>
      </c>
      <c r="O168" s="1283">
        <v>0.80987472365512159</v>
      </c>
      <c r="P168" s="1284">
        <v>103.37232129697864</v>
      </c>
      <c r="Q168" s="1284">
        <v>127.63989080982712</v>
      </c>
      <c r="R168" s="1281">
        <v>8612467.3599999994</v>
      </c>
      <c r="S168" s="1285">
        <v>4.3854628552918147</v>
      </c>
      <c r="T168" s="1286"/>
      <c r="U168" s="1279">
        <v>1948</v>
      </c>
      <c r="V168" s="1281">
        <v>1569</v>
      </c>
      <c r="W168" s="1282">
        <v>0.80544147843942504</v>
      </c>
      <c r="X168" s="1287">
        <v>1008.1454620123204</v>
      </c>
      <c r="Y168" s="1287">
        <v>1251.6681708094329</v>
      </c>
      <c r="Z168" s="1281">
        <v>878263.44</v>
      </c>
      <c r="AA168" s="1288">
        <v>0.44721118029070961</v>
      </c>
      <c r="AB168" s="1286">
        <v>559.76</v>
      </c>
      <c r="AC168" s="1178"/>
    </row>
    <row r="169" spans="1:29">
      <c r="A169" s="1241"/>
      <c r="B169" s="1289"/>
      <c r="C169" s="1253" t="s">
        <v>146</v>
      </c>
      <c r="D169" s="1254"/>
      <c r="E169" s="1255">
        <v>1963867.36</v>
      </c>
      <c r="F169" s="1256">
        <v>922800.8</v>
      </c>
      <c r="G169" s="1257">
        <v>1041066.56</v>
      </c>
      <c r="H169" s="1258">
        <v>1992425</v>
      </c>
      <c r="I169" s="1259">
        <v>0.9856668933585957</v>
      </c>
      <c r="J169" s="1290">
        <v>129953</v>
      </c>
      <c r="K169" s="1261">
        <v>6.5223534135538358E-2</v>
      </c>
      <c r="L169" s="1291">
        <v>0.13564904234607897</v>
      </c>
      <c r="M169" s="1260">
        <v>17628</v>
      </c>
      <c r="N169" s="1260">
        <v>14331</v>
      </c>
      <c r="O169" s="1292">
        <v>0.81296800544588155</v>
      </c>
      <c r="P169" s="1263">
        <v>111.40613569321535</v>
      </c>
      <c r="Q169" s="1260">
        <v>137.03631009699254</v>
      </c>
      <c r="R169" s="1260">
        <v>8021920.5599999996</v>
      </c>
      <c r="S169" s="1264">
        <v>4.0847568035348374</v>
      </c>
      <c r="T169" s="1265"/>
      <c r="U169" s="1293">
        <v>2436</v>
      </c>
      <c r="V169" s="1290">
        <v>1949</v>
      </c>
      <c r="W169" s="1261">
        <v>0.80008210180623973</v>
      </c>
      <c r="X169" s="1294">
        <v>806.18528735632185</v>
      </c>
      <c r="Y169" s="1294">
        <v>1007.6281990764495</v>
      </c>
      <c r="Z169" s="1260">
        <v>1090972.24</v>
      </c>
      <c r="AA169" s="1295">
        <v>0.55552236480981076</v>
      </c>
      <c r="AB169" s="1265">
        <v>559.76</v>
      </c>
      <c r="AC169" s="1178"/>
    </row>
    <row r="170" spans="1:29">
      <c r="A170" s="1178"/>
      <c r="B170" s="1178"/>
      <c r="C170" s="1180"/>
      <c r="D170" s="1180"/>
      <c r="E170" s="1180"/>
      <c r="F170" s="1180"/>
      <c r="G170" s="1180"/>
      <c r="H170" s="1178"/>
      <c r="I170" s="1178"/>
      <c r="J170" s="1178"/>
      <c r="K170" s="1178"/>
      <c r="L170" s="1178"/>
      <c r="M170" s="1178"/>
      <c r="N170" s="1178"/>
      <c r="O170" s="1178"/>
      <c r="P170" s="1178"/>
      <c r="Q170" s="1178"/>
      <c r="R170" s="1178"/>
      <c r="S170" s="1178"/>
      <c r="T170" s="1178"/>
      <c r="U170" s="1178" t="s">
        <v>433</v>
      </c>
      <c r="V170" s="1178"/>
      <c r="W170" s="1178"/>
      <c r="X170" s="1178"/>
      <c r="Y170" s="1178"/>
      <c r="Z170" s="1178"/>
      <c r="AA170" s="1178"/>
      <c r="AB170" s="1178"/>
      <c r="AC170" s="1178"/>
    </row>
    <row r="171" spans="1:29">
      <c r="A171" s="1178"/>
      <c r="B171" s="1178"/>
      <c r="C171" s="1180"/>
      <c r="D171" s="1180"/>
      <c r="E171" s="1180"/>
      <c r="F171" s="1180"/>
      <c r="G171" s="1180"/>
      <c r="H171" s="1178"/>
      <c r="I171" s="1178"/>
      <c r="J171" s="1178"/>
      <c r="K171" s="1178"/>
      <c r="L171" s="1178"/>
      <c r="M171" s="1178"/>
      <c r="N171" s="1178"/>
      <c r="O171" s="1178"/>
      <c r="P171" s="1178"/>
      <c r="Q171" s="1178"/>
      <c r="R171" s="1178"/>
      <c r="S171" s="1178"/>
      <c r="T171" s="1178"/>
      <c r="U171" s="1178"/>
      <c r="V171" s="1178"/>
      <c r="W171" s="1178"/>
      <c r="X171" s="1178"/>
      <c r="Y171" s="1178"/>
      <c r="Z171" s="1178"/>
      <c r="AA171" s="1178"/>
      <c r="AB171" s="1178"/>
      <c r="AC171" s="1178"/>
    </row>
    <row r="172" spans="1:29">
      <c r="A172" s="1178"/>
      <c r="B172" s="481" t="s">
        <v>434</v>
      </c>
      <c r="C172" s="1298" t="s">
        <v>698</v>
      </c>
      <c r="D172" s="1241"/>
      <c r="E172" s="1241"/>
      <c r="F172" s="1241"/>
      <c r="G172" s="1181"/>
      <c r="H172" s="1182"/>
      <c r="I172" s="1182"/>
      <c r="J172" s="1182"/>
      <c r="K172" s="1182"/>
      <c r="L172" s="1182"/>
      <c r="M172" s="1182"/>
      <c r="N172" s="1182"/>
      <c r="O172" s="1182"/>
      <c r="P172" s="1182"/>
      <c r="Q172" s="1241"/>
      <c r="R172" s="1241"/>
      <c r="S172" s="1241"/>
      <c r="T172" s="1241"/>
      <c r="U172" s="1241"/>
      <c r="V172" s="1241"/>
      <c r="W172" s="1241"/>
      <c r="X172" s="1241"/>
      <c r="Y172" s="1241"/>
      <c r="Z172" s="1241"/>
      <c r="AA172" s="1241"/>
      <c r="AB172" s="1241"/>
      <c r="AC172" s="1178"/>
    </row>
    <row r="173" spans="1:29">
      <c r="A173" s="1241"/>
      <c r="B173" s="1155"/>
      <c r="C173" s="1241"/>
      <c r="D173" s="1241"/>
      <c r="E173" s="1241"/>
      <c r="F173" s="1241"/>
      <c r="G173" s="1185"/>
      <c r="H173" s="1186"/>
      <c r="I173" s="1186"/>
      <c r="J173" s="1186"/>
      <c r="K173" s="1186"/>
      <c r="L173" s="1186"/>
      <c r="M173" s="1186"/>
      <c r="N173" s="1186"/>
      <c r="O173" s="1186"/>
      <c r="P173" s="1186"/>
      <c r="Q173" s="1241"/>
      <c r="R173" s="1241"/>
      <c r="S173" s="1241"/>
      <c r="T173" s="1241"/>
      <c r="U173" s="1241"/>
      <c r="V173" s="1241"/>
      <c r="W173" s="1241"/>
      <c r="X173" s="1241"/>
      <c r="Y173" s="1241"/>
      <c r="Z173" s="1241"/>
      <c r="AA173" s="1241"/>
      <c r="AB173" s="1241"/>
      <c r="AC173" s="1178"/>
    </row>
    <row r="174" spans="1:29">
      <c r="B174" s="2435" t="s">
        <v>32</v>
      </c>
      <c r="C174" s="2436" t="s">
        <v>31</v>
      </c>
      <c r="D174" s="2436" t="s">
        <v>30</v>
      </c>
      <c r="E174" s="2438" t="s">
        <v>29</v>
      </c>
      <c r="F174" s="2439"/>
      <c r="G174" s="2440"/>
      <c r="H174" s="2441" t="s">
        <v>435</v>
      </c>
      <c r="I174" s="2441"/>
      <c r="J174" s="2441"/>
      <c r="K174" s="2441"/>
      <c r="L174" s="2441"/>
      <c r="M174" s="2441"/>
      <c r="N174" s="2441"/>
      <c r="O174" s="2441"/>
      <c r="P174" s="2441"/>
      <c r="Q174" s="2441"/>
      <c r="R174" s="2441"/>
      <c r="S174" s="2441"/>
      <c r="T174" s="2441"/>
      <c r="U174" s="2431" t="s">
        <v>27</v>
      </c>
      <c r="V174" s="2431"/>
      <c r="W174" s="2431"/>
      <c r="X174" s="2431"/>
      <c r="Y174" s="2431"/>
      <c r="Z174" s="2431"/>
      <c r="AA174" s="2431"/>
      <c r="AB174" s="2432"/>
    </row>
    <row r="175" spans="1:29" ht="49.5">
      <c r="B175" s="2435"/>
      <c r="C175" s="2437"/>
      <c r="D175" s="2437"/>
      <c r="E175" s="1299" t="s">
        <v>26</v>
      </c>
      <c r="F175" s="1300" t="s">
        <v>25</v>
      </c>
      <c r="G175" s="1301" t="s">
        <v>24</v>
      </c>
      <c r="H175" s="1302" t="s">
        <v>23</v>
      </c>
      <c r="I175" s="1303" t="s">
        <v>403</v>
      </c>
      <c r="J175" s="1304" t="s">
        <v>21</v>
      </c>
      <c r="K175" s="1303" t="s">
        <v>20</v>
      </c>
      <c r="L175" s="1303" t="s">
        <v>19</v>
      </c>
      <c r="M175" s="1305" t="s">
        <v>18</v>
      </c>
      <c r="N175" s="1303" t="s">
        <v>17</v>
      </c>
      <c r="O175" s="1220" t="s">
        <v>16</v>
      </c>
      <c r="P175" s="1304" t="s">
        <v>15</v>
      </c>
      <c r="Q175" s="1303" t="s">
        <v>14</v>
      </c>
      <c r="R175" s="1303" t="s">
        <v>13</v>
      </c>
      <c r="S175" s="1303" t="s">
        <v>12</v>
      </c>
      <c r="T175" s="1306" t="s">
        <v>11</v>
      </c>
      <c r="U175" s="1307" t="s">
        <v>10</v>
      </c>
      <c r="V175" s="1308" t="s">
        <v>9</v>
      </c>
      <c r="W175" s="1309" t="s">
        <v>8</v>
      </c>
      <c r="X175" s="1309" t="s">
        <v>7</v>
      </c>
      <c r="Y175" s="1309" t="s">
        <v>6</v>
      </c>
      <c r="Z175" s="1309" t="s">
        <v>5</v>
      </c>
      <c r="AA175" s="1309" t="s">
        <v>4</v>
      </c>
      <c r="AB175" s="1310" t="s">
        <v>3</v>
      </c>
    </row>
    <row r="176" spans="1:29">
      <c r="B176" s="1311" t="s">
        <v>436</v>
      </c>
      <c r="C176" s="1247" t="s">
        <v>913</v>
      </c>
      <c r="D176" s="1312" t="s">
        <v>172</v>
      </c>
      <c r="E176" s="1313">
        <v>1269588</v>
      </c>
      <c r="F176" s="1314">
        <v>125880</v>
      </c>
      <c r="G176" s="1315">
        <v>1143708</v>
      </c>
      <c r="H176" s="1316">
        <v>527565</v>
      </c>
      <c r="I176" s="1317">
        <v>2.4065053595291577</v>
      </c>
      <c r="J176" s="1318">
        <v>24399</v>
      </c>
      <c r="K176" s="1319">
        <v>4.6248329589718799E-2</v>
      </c>
      <c r="L176" s="1320">
        <v>7.8937661379564733E-2</v>
      </c>
      <c r="M176" s="1321">
        <v>1926</v>
      </c>
      <c r="N176" s="1322">
        <v>1527</v>
      </c>
      <c r="O176" s="1323">
        <v>0.79283489096573212</v>
      </c>
      <c r="P176" s="1324">
        <v>659.183800623053</v>
      </c>
      <c r="Q176" s="1322">
        <v>831.42632612966599</v>
      </c>
      <c r="R176" s="1321">
        <v>777762.17999999993</v>
      </c>
      <c r="S176" s="1325">
        <v>0.61260990179491293</v>
      </c>
      <c r="T176" s="2433">
        <v>509.34</v>
      </c>
      <c r="U176" s="1326">
        <v>262</v>
      </c>
      <c r="V176" s="1318">
        <v>218</v>
      </c>
      <c r="W176" s="1319">
        <v>0.83206106870229013</v>
      </c>
      <c r="X176" s="1327">
        <v>4845.7557251908393</v>
      </c>
      <c r="Y176" s="1328">
        <v>5823.7981651376149</v>
      </c>
      <c r="Z176" s="1321">
        <v>98042.050821917801</v>
      </c>
      <c r="AA176" s="1329">
        <v>7.7223517252776333E-2</v>
      </c>
      <c r="AB176" s="1330">
        <v>449.73417808219176</v>
      </c>
    </row>
    <row r="177" spans="2:28">
      <c r="B177" s="1311" t="s">
        <v>434</v>
      </c>
      <c r="C177" s="1247" t="s">
        <v>914</v>
      </c>
      <c r="D177" s="1312" t="s">
        <v>172</v>
      </c>
      <c r="E177" s="1313">
        <v>436986</v>
      </c>
      <c r="F177" s="1314">
        <v>296617</v>
      </c>
      <c r="G177" s="1315">
        <v>140369</v>
      </c>
      <c r="H177" s="1316">
        <v>450043</v>
      </c>
      <c r="I177" s="1317">
        <v>0.97098721677706357</v>
      </c>
      <c r="J177" s="1318">
        <v>40304</v>
      </c>
      <c r="K177" s="1319">
        <v>8.9555886881920177E-2</v>
      </c>
      <c r="L177" s="1320">
        <v>0.18323243350535928</v>
      </c>
      <c r="M177" s="1321">
        <v>7385</v>
      </c>
      <c r="N177" s="1322">
        <v>6155</v>
      </c>
      <c r="O177" s="1323">
        <v>0.83344617467840221</v>
      </c>
      <c r="P177" s="1324">
        <v>59.172105619498986</v>
      </c>
      <c r="Q177" s="1322">
        <v>70.996913078797732</v>
      </c>
      <c r="R177" s="1321">
        <v>3134987.6999999997</v>
      </c>
      <c r="S177" s="1325">
        <v>7.1741147313643907</v>
      </c>
      <c r="T177" s="2433">
        <v>1000</v>
      </c>
      <c r="U177" s="1326">
        <v>597</v>
      </c>
      <c r="V177" s="1318">
        <v>471</v>
      </c>
      <c r="W177" s="1319">
        <v>0.78894472361809043</v>
      </c>
      <c r="X177" s="1327">
        <v>731.96984924623121</v>
      </c>
      <c r="Y177" s="1328">
        <v>927.78343949044586</v>
      </c>
      <c r="Z177" s="1321">
        <v>267412.3203349234</v>
      </c>
      <c r="AA177" s="1329">
        <v>0.61194711120018352</v>
      </c>
      <c r="AB177" s="1330">
        <v>567.75439561554856</v>
      </c>
    </row>
    <row r="178" spans="2:28">
      <c r="B178" s="1311" t="s">
        <v>434</v>
      </c>
      <c r="C178" s="1247" t="s">
        <v>918</v>
      </c>
      <c r="D178" s="1312" t="s">
        <v>172</v>
      </c>
      <c r="E178" s="1313">
        <v>706284</v>
      </c>
      <c r="F178" s="1314">
        <v>330286</v>
      </c>
      <c r="G178" s="1315">
        <v>375998</v>
      </c>
      <c r="H178" s="1316">
        <v>418101</v>
      </c>
      <c r="I178" s="1317">
        <v>1.6892664691067469</v>
      </c>
      <c r="J178" s="1318">
        <v>17294</v>
      </c>
      <c r="K178" s="1319">
        <v>4.1363211281484617E-2</v>
      </c>
      <c r="L178" s="1320">
        <v>0.11379669249450676</v>
      </c>
      <c r="M178" s="1321">
        <v>1968</v>
      </c>
      <c r="N178" s="1322">
        <v>1518</v>
      </c>
      <c r="O178" s="1323">
        <v>0.77134146341463417</v>
      </c>
      <c r="P178" s="1324">
        <v>358.88414634146341</v>
      </c>
      <c r="Q178" s="1322">
        <v>465.27272727272725</v>
      </c>
      <c r="R178" s="1321">
        <v>773178.12</v>
      </c>
      <c r="S178" s="1325">
        <v>1.0947127784290738</v>
      </c>
      <c r="T178" s="2433">
        <v>1000</v>
      </c>
      <c r="U178" s="1326">
        <v>104</v>
      </c>
      <c r="V178" s="1318">
        <v>76</v>
      </c>
      <c r="W178" s="1319">
        <v>0.73076923076923073</v>
      </c>
      <c r="X178" s="1327">
        <v>6791.1923076923076</v>
      </c>
      <c r="Y178" s="1328">
        <v>9293.21052631579</v>
      </c>
      <c r="Z178" s="1321">
        <v>35265.055288808668</v>
      </c>
      <c r="AA178" s="1329">
        <v>4.9930417918016924E-2</v>
      </c>
      <c r="AB178" s="1330">
        <v>464.01388537906138</v>
      </c>
    </row>
    <row r="179" spans="2:28">
      <c r="B179" s="1331"/>
      <c r="C179" s="1332" t="s">
        <v>0</v>
      </c>
      <c r="D179" s="1332"/>
      <c r="E179" s="1333">
        <v>2412858</v>
      </c>
      <c r="F179" s="1334">
        <v>752783</v>
      </c>
      <c r="G179" s="1335">
        <v>1660075</v>
      </c>
      <c r="H179" s="1336">
        <v>1395709</v>
      </c>
      <c r="I179" s="1337">
        <v>1.7287686759919152</v>
      </c>
      <c r="J179" s="1338">
        <v>81997</v>
      </c>
      <c r="K179" s="1339">
        <v>5.8749352479635801E-2</v>
      </c>
      <c r="L179" s="1339">
        <v>0.13755381294437602</v>
      </c>
      <c r="M179" s="1338">
        <v>11279</v>
      </c>
      <c r="N179" s="1338">
        <v>9200</v>
      </c>
      <c r="O179" s="1340">
        <v>0.81567514850607326</v>
      </c>
      <c r="P179" s="1341">
        <v>213.92481602978987</v>
      </c>
      <c r="Q179" s="1341">
        <v>262.26717391304345</v>
      </c>
      <c r="R179" s="1338">
        <v>4685928</v>
      </c>
      <c r="S179" s="1342">
        <v>1.9420653847014619</v>
      </c>
      <c r="T179" s="1343"/>
      <c r="U179" s="1336">
        <v>963</v>
      </c>
      <c r="V179" s="1338">
        <v>765</v>
      </c>
      <c r="W179" s="1339">
        <v>0.79439252336448596</v>
      </c>
      <c r="X179" s="1344">
        <v>2505.563862928349</v>
      </c>
      <c r="Y179" s="1344">
        <v>3154.0627450980392</v>
      </c>
      <c r="Z179" s="1338">
        <v>389645.1</v>
      </c>
      <c r="AA179" s="1345">
        <v>0.16148695861919765</v>
      </c>
      <c r="AB179" s="1343">
        <v>509.34</v>
      </c>
    </row>
  </sheetData>
  <mergeCells count="111">
    <mergeCell ref="C12:G12"/>
    <mergeCell ref="B13:B14"/>
    <mergeCell ref="C13:C14"/>
    <mergeCell ref="D13:D14"/>
    <mergeCell ref="E13:E14"/>
    <mergeCell ref="F13:F14"/>
    <mergeCell ref="G13:G14"/>
    <mergeCell ref="H13:J13"/>
    <mergeCell ref="K13:W13"/>
    <mergeCell ref="X13:AE13"/>
    <mergeCell ref="W15:W18"/>
    <mergeCell ref="B27:B28"/>
    <mergeCell ref="C27:C28"/>
    <mergeCell ref="D27:D28"/>
    <mergeCell ref="E27:E28"/>
    <mergeCell ref="F27:F28"/>
    <mergeCell ref="G27:G28"/>
    <mergeCell ref="T40:T44"/>
    <mergeCell ref="H27:J27"/>
    <mergeCell ref="K27:W27"/>
    <mergeCell ref="X27:AE27"/>
    <mergeCell ref="W29:W32"/>
    <mergeCell ref="B38:B39"/>
    <mergeCell ref="C38:C39"/>
    <mergeCell ref="D38:D39"/>
    <mergeCell ref="E38:G38"/>
    <mergeCell ref="H38:T38"/>
    <mergeCell ref="U38:AB38"/>
    <mergeCell ref="T65:T69"/>
    <mergeCell ref="B76:B77"/>
    <mergeCell ref="C76:C77"/>
    <mergeCell ref="D76:D77"/>
    <mergeCell ref="E76:G76"/>
    <mergeCell ref="H76:T76"/>
    <mergeCell ref="U50:AB50"/>
    <mergeCell ref="T52:T56"/>
    <mergeCell ref="B63:B64"/>
    <mergeCell ref="C63:C64"/>
    <mergeCell ref="D63:D64"/>
    <mergeCell ref="E63:G63"/>
    <mergeCell ref="H63:T63"/>
    <mergeCell ref="U63:AB63"/>
    <mergeCell ref="B50:B51"/>
    <mergeCell ref="C50:C51"/>
    <mergeCell ref="D50:D51"/>
    <mergeCell ref="E50:G50"/>
    <mergeCell ref="H50:T50"/>
    <mergeCell ref="T91:T94"/>
    <mergeCell ref="B101:B102"/>
    <mergeCell ref="C101:C102"/>
    <mergeCell ref="D101:D102"/>
    <mergeCell ref="E101:G101"/>
    <mergeCell ref="H101:T101"/>
    <mergeCell ref="U76:AB76"/>
    <mergeCell ref="T78:T82"/>
    <mergeCell ref="B89:B90"/>
    <mergeCell ref="C89:C90"/>
    <mergeCell ref="D89:D90"/>
    <mergeCell ref="E89:G89"/>
    <mergeCell ref="H89:T89"/>
    <mergeCell ref="U89:AB89"/>
    <mergeCell ref="T113:T116"/>
    <mergeCell ref="B121:B122"/>
    <mergeCell ref="C121:C122"/>
    <mergeCell ref="D121:D122"/>
    <mergeCell ref="E121:G121"/>
    <mergeCell ref="H121:T121"/>
    <mergeCell ref="U101:AB101"/>
    <mergeCell ref="T103:T106"/>
    <mergeCell ref="B111:B112"/>
    <mergeCell ref="C111:C112"/>
    <mergeCell ref="D111:D112"/>
    <mergeCell ref="E111:G111"/>
    <mergeCell ref="H111:T111"/>
    <mergeCell ref="U111:AB111"/>
    <mergeCell ref="U139:AB139"/>
    <mergeCell ref="U121:AB121"/>
    <mergeCell ref="T123:T126"/>
    <mergeCell ref="B131:B132"/>
    <mergeCell ref="C131:C132"/>
    <mergeCell ref="D131:D132"/>
    <mergeCell ref="E131:G131"/>
    <mergeCell ref="H131:T131"/>
    <mergeCell ref="U131:AB131"/>
    <mergeCell ref="T141:T143"/>
    <mergeCell ref="B151:B152"/>
    <mergeCell ref="C151:C152"/>
    <mergeCell ref="D151:D152"/>
    <mergeCell ref="E151:G151"/>
    <mergeCell ref="H151:T151"/>
    <mergeCell ref="B139:B140"/>
    <mergeCell ref="C139:C140"/>
    <mergeCell ref="D139:D140"/>
    <mergeCell ref="E139:G139"/>
    <mergeCell ref="H139:T139"/>
    <mergeCell ref="U174:AB174"/>
    <mergeCell ref="T176:T178"/>
    <mergeCell ref="T165:T167"/>
    <mergeCell ref="B174:B175"/>
    <mergeCell ref="C174:C175"/>
    <mergeCell ref="D174:D175"/>
    <mergeCell ref="E174:G174"/>
    <mergeCell ref="H174:T174"/>
    <mergeCell ref="U151:AB151"/>
    <mergeCell ref="T153:T155"/>
    <mergeCell ref="B163:B164"/>
    <mergeCell ref="C163:C164"/>
    <mergeCell ref="D163:D164"/>
    <mergeCell ref="E163:G163"/>
    <mergeCell ref="H163:T163"/>
    <mergeCell ref="U163:AB16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品牌A</vt:lpstr>
      <vt:lpstr>品牌B</vt:lpstr>
      <vt:lpstr>品牌C</vt:lpstr>
      <vt:lpstr>品牌D</vt:lpstr>
      <vt:lpstr>品牌E</vt:lpstr>
      <vt:lpstr>品牌F</vt:lpstr>
      <vt:lpstr>品牌G</vt:lpstr>
      <vt:lpstr>品牌J</vt:lpstr>
      <vt:lpstr>品牌K</vt:lpstr>
      <vt:lpstr>品牌M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Wang</dc:creator>
  <cp:lastModifiedBy>Jacqueline Yang</cp:lastModifiedBy>
  <dcterms:created xsi:type="dcterms:W3CDTF">2015-06-05T18:19:34Z</dcterms:created>
  <dcterms:modified xsi:type="dcterms:W3CDTF">2026-09-29T06:19:56Z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VERAGEOTS" linkTarget="PROP_AVERAGEOTS">
    <vt:lpwstr>#REF!</vt:lpwstr>
  </property>
  <property fmtid="{D5CDD505-2E9C-101B-9397-08002B2CF9AE}" pid="3" name="CAMPAIGN" linkTarget="PROP_CAMPAIGN">
    <vt:lpwstr>#REF!</vt:lpwstr>
  </property>
  <property fmtid="{D5CDD505-2E9C-101B-9397-08002B2CF9AE}" pid="4" name="CLIENT" linkTarget="PROP_CLIENT">
    <vt:lpwstr>#REF!</vt:lpwstr>
  </property>
  <property fmtid="{D5CDD505-2E9C-101B-9397-08002B2CF9AE}" pid="5" name="CLIENTDIVI" linkTarget="PROP_CLIENTDIVI">
    <vt:lpwstr>#REF!</vt:lpwstr>
  </property>
  <property fmtid="{D5CDD505-2E9C-101B-9397-08002B2CF9AE}" pid="6" name="ClientDivision" linkTarget="prop_ClientDivision">
    <vt:lpwstr>#REF!</vt:lpwstr>
  </property>
  <property fmtid="{D5CDD505-2E9C-101B-9397-08002B2CF9AE}" pid="7" name="COUNTRY" linkTarget="PROP_COUNTRY">
    <vt:lpwstr>#REF!</vt:lpwstr>
  </property>
  <property fmtid="{D5CDD505-2E9C-101B-9397-08002B2CF9AE}" pid="8" name="CURRENCY" linkTarget="PROP_CURRENCY">
    <vt:lpwstr>#REF!</vt:lpwstr>
  </property>
  <property fmtid="{D5CDD505-2E9C-101B-9397-08002B2CF9AE}" pid="9" name="DATE" linkTarget="PROP_DATE">
    <vt:lpwstr>#REF!</vt:lpwstr>
  </property>
  <property fmtid="{D5CDD505-2E9C-101B-9397-08002B2CF9AE}" pid="10" name="EXCHANGERA" linkTarget="PROP_EXCHANGERA">
    <vt:lpwstr>#REF!</vt:lpwstr>
  </property>
  <property fmtid="{D5CDD505-2E9C-101B-9397-08002B2CF9AE}" pid="11" name="ExchangeRate" linkTarget="prop_ExchangeRate">
    <vt:lpwstr>#REF!</vt:lpwstr>
  </property>
  <property fmtid="{D5CDD505-2E9C-101B-9397-08002B2CF9AE}" pid="12" name="INDIRECTEX" linkTarget="PROP_INDIRECTEX">
    <vt:lpwstr>#REF!</vt:lpwstr>
  </property>
  <property fmtid="{D5CDD505-2E9C-101B-9397-08002B2CF9AE}" pid="13" name="IndirectExchangeRate" linkTarget="prop_IndirectExchangeRate">
    <vt:lpwstr>#REF!</vt:lpwstr>
  </property>
  <property fmtid="{D5CDD505-2E9C-101B-9397-08002B2CF9AE}" pid="14" name="MEDIABUYIN" linkTarget="PROP_MEDIABUYIN">
    <vt:lpwstr>#REF!</vt:lpwstr>
  </property>
  <property fmtid="{D5CDD505-2E9C-101B-9397-08002B2CF9AE}" pid="15" name="MediaBuyingTarget" linkTarget="prop_MediaBuyingTarget">
    <vt:lpwstr>#REF!</vt:lpwstr>
  </property>
  <property fmtid="{D5CDD505-2E9C-101B-9397-08002B2CF9AE}" pid="16" name="MEDIATYPE" linkTarget="PROP_MEDIATYPE">
    <vt:lpwstr>#REF!</vt:lpwstr>
  </property>
  <property fmtid="{D5CDD505-2E9C-101B-9397-08002B2CF9AE}" pid="17" name="PERCENTAGE" linkTarget="PROP_PERCENTAGE">
    <vt:lpwstr>#REF!</vt:lpwstr>
  </property>
  <property fmtid="{D5CDD505-2E9C-101B-9397-08002B2CF9AE}" pid="18" name="PercentageCover" linkTarget="prop_PercentageCover">
    <vt:lpwstr>#REF!</vt:lpwstr>
  </property>
  <property fmtid="{D5CDD505-2E9C-101B-9397-08002B2CF9AE}" pid="19" name="PLANNUMBER" linkTarget="PROP_PLANNUMBER">
    <vt:lpwstr>#REF!</vt:lpwstr>
  </property>
  <property fmtid="{D5CDD505-2E9C-101B-9397-08002B2CF9AE}" pid="20" name="PRODUCTARE" linkTarget="PROP_PRODUCTARE">
    <vt:lpwstr>#REF!</vt:lpwstr>
  </property>
  <property fmtid="{D5CDD505-2E9C-101B-9397-08002B2CF9AE}" pid="21" name="ProductArea" linkTarget="prop_ProductArea">
    <vt:lpwstr>#REF!</vt:lpwstr>
  </property>
  <property fmtid="{D5CDD505-2E9C-101B-9397-08002B2CF9AE}" pid="22" name="QUOTATION" linkTarget="PROP_QUOTATION">
    <vt:lpwstr>#REF!</vt:lpwstr>
  </property>
  <property fmtid="{D5CDD505-2E9C-101B-9397-08002B2CF9AE}" pid="23" name="SOURCE" linkTarget="PROP_SOURCE">
    <vt:lpwstr>#REF!</vt:lpwstr>
  </property>
  <property fmtid="{D5CDD505-2E9C-101B-9397-08002B2CF9AE}" pid="24" name="UNIVERSESI" linkTarget="PROP_UNIVERSESI">
    <vt:lpwstr>#REF!</vt:lpwstr>
  </property>
  <property fmtid="{D5CDD505-2E9C-101B-9397-08002B2CF9AE}" pid="25" name="UniverseSize" linkTarget="prop_UniverseSize">
    <vt:lpwstr>#REF!</vt:lpwstr>
  </property>
  <property fmtid="{D5CDD505-2E9C-101B-9397-08002B2CF9AE}" pid="26" name="YEAR" linkTarget="PROP_YEAR">
    <vt:lpwstr>#REF!</vt:lpwstr>
  </property>
</Properties>
</file>